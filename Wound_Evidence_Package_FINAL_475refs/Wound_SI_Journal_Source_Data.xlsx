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00_README" sheetId="1" state="visible" r:id="rId1"/>
    <sheet xmlns:r="http://schemas.openxmlformats.org/officeDocument/2006/relationships" name="01_Figure_Status" sheetId="2" state="visible" r:id="rId2"/>
    <sheet xmlns:r="http://schemas.openxmlformats.org/officeDocument/2006/relationships" name="02_Main_475_References" sheetId="3" state="visible" r:id="rId3"/>
    <sheet xmlns:r="http://schemas.openxmlformats.org/officeDocument/2006/relationships" name="03_SI_Table_Cohorts" sheetId="4" state="visible" r:id="rId4"/>
    <sheet xmlns:r="http://schemas.openxmlformats.org/officeDocument/2006/relationships" name="08_Study_Cohorts" sheetId="5" state="visible" r:id="rId5"/>
    <sheet xmlns:r="http://schemas.openxmlformats.org/officeDocument/2006/relationships" name="Code_S01" sheetId="6" state="visible" r:id="rId6"/>
    <sheet xmlns:r="http://schemas.openxmlformats.org/officeDocument/2006/relationships" name="Matrix_S01" sheetId="7" state="visible" r:id="rId7"/>
    <sheet xmlns:r="http://schemas.openxmlformats.org/officeDocument/2006/relationships" name="Code_S02" sheetId="8" state="visible" r:id="rId8"/>
    <sheet xmlns:r="http://schemas.openxmlformats.org/officeDocument/2006/relationships" name="Matrix_S02" sheetId="9" state="visible" r:id="rId9"/>
    <sheet xmlns:r="http://schemas.openxmlformats.org/officeDocument/2006/relationships" name="Code_S03" sheetId="10" state="visible" r:id="rId10"/>
    <sheet xmlns:r="http://schemas.openxmlformats.org/officeDocument/2006/relationships" name="Matrix_S03" sheetId="11" state="visible" r:id="rId11"/>
    <sheet xmlns:r="http://schemas.openxmlformats.org/officeDocument/2006/relationships" name="Code_S04" sheetId="12" state="visible" r:id="rId12"/>
    <sheet xmlns:r="http://schemas.openxmlformats.org/officeDocument/2006/relationships" name="Matrix_S04" sheetId="13" state="visible" r:id="rId13"/>
    <sheet xmlns:r="http://schemas.openxmlformats.org/officeDocument/2006/relationships" name="Code_S05" sheetId="14" state="visible" r:id="rId14"/>
    <sheet xmlns:r="http://schemas.openxmlformats.org/officeDocument/2006/relationships" name="Matrix_S05" sheetId="15" state="visible" r:id="rId15"/>
    <sheet xmlns:r="http://schemas.openxmlformats.org/officeDocument/2006/relationships" name="Code_S06" sheetId="16" state="visible" r:id="rId16"/>
    <sheet xmlns:r="http://schemas.openxmlformats.org/officeDocument/2006/relationships" name="Matrix_S06" sheetId="17" state="visible" r:id="rId17"/>
    <sheet xmlns:r="http://schemas.openxmlformats.org/officeDocument/2006/relationships" name="Code_S07" sheetId="18" state="visible" r:id="rId18"/>
    <sheet xmlns:r="http://schemas.openxmlformats.org/officeDocument/2006/relationships" name="Matrix_S07" sheetId="19" state="visible" r:id="rId19"/>
    <sheet xmlns:r="http://schemas.openxmlformats.org/officeDocument/2006/relationships" name="Code_S08" sheetId="20" state="visible" r:id="rId20"/>
    <sheet xmlns:r="http://schemas.openxmlformats.org/officeDocument/2006/relationships" name="Matrix_S08" sheetId="21" state="visible" r:id="rId21"/>
    <sheet xmlns:r="http://schemas.openxmlformats.org/officeDocument/2006/relationships" name="Code_S09" sheetId="22" state="visible" r:id="rId22"/>
    <sheet xmlns:r="http://schemas.openxmlformats.org/officeDocument/2006/relationships" name="Matrix_S09" sheetId="23" state="visible" r:id="rId23"/>
    <sheet xmlns:r="http://schemas.openxmlformats.org/officeDocument/2006/relationships" name="Code_S10" sheetId="24" state="visible" r:id="rId24"/>
    <sheet xmlns:r="http://schemas.openxmlformats.org/officeDocument/2006/relationships" name="Matrix_S10" sheetId="25" state="visible" r:id="rId25"/>
    <sheet xmlns:r="http://schemas.openxmlformats.org/officeDocument/2006/relationships" name="Code_S11" sheetId="26" state="visible" r:id="rId26"/>
    <sheet xmlns:r="http://schemas.openxmlformats.org/officeDocument/2006/relationships" name="Matrix_S11" sheetId="27" state="visible" r:id="rId27"/>
    <sheet xmlns:r="http://schemas.openxmlformats.org/officeDocument/2006/relationships" name="09_Recalculation_Check" sheetId="28" state="visible" r:id="rId28"/>
  </sheets>
  <definedNames>
    <definedName name="_xlnm._FilterDatabase" localSheetId="5" hidden="1">'Code_S01'!$A$1:$N$197</definedName>
    <definedName name="_xlnm._FilterDatabase" localSheetId="7" hidden="1">'Code_S02'!$A$1:$N$29</definedName>
    <definedName name="_xlnm._FilterDatabase" localSheetId="9" hidden="1">'Code_S03'!$A$1:$N$45</definedName>
    <definedName name="_xlnm._FilterDatabase" localSheetId="11" hidden="1">'Code_S04'!$A$1:$N$45</definedName>
    <definedName name="_xlnm._FilterDatabase" localSheetId="13" hidden="1">'Code_S05'!$A$1:$N$120</definedName>
    <definedName name="_xlnm._FilterDatabase" localSheetId="15" hidden="1">'Code_S06'!$A$1:$N$357</definedName>
    <definedName name="_xlnm._FilterDatabase" localSheetId="17" hidden="1">'Code_S07'!$A$1:$N$370</definedName>
    <definedName name="_xlnm._FilterDatabase" localSheetId="19" hidden="1">'Code_S08'!$A$1:$N$47</definedName>
    <definedName name="_xlnm._FilterDatabase" localSheetId="21" hidden="1">'Code_S09'!$A$1:$N$75</definedName>
    <definedName name="_xlnm._FilterDatabase" localSheetId="23" hidden="1">'Code_S10'!$A$1:$N$114</definedName>
    <definedName name="_xlnm._FilterDatabase" localSheetId="25" hidden="1">'Code_S11'!$A$1:$N$115</definedName>
    <definedName name="_xlnm._FilterDatabase" localSheetId="27" hidden="1">'09_Recalculation_Check'!$A$1:$G$340</definedName>
  </definedNames>
  <calcPr calcId="124519" calcMode="auto" fullCalcOnLoad="1" forceFullCalc="1"/>
</workbook>
</file>

<file path=xl/styles.xml><?xml version="1.0" encoding="utf-8"?>
<styleSheet xmlns="http://schemas.openxmlformats.org/spreadsheetml/2006/main">
  <numFmts count="0"/>
  <fonts count="8">
    <font>
      <name val="Calibri"/>
      <family val="2"/>
      <color theme="1"/>
      <sz val="11"/>
      <scheme val="minor"/>
    </font>
    <font>
      <name val="Calibri"/>
      <family val="2"/>
      <b val="1"/>
      <color rgb="FF203B53"/>
      <sz val="17"/>
      <scheme val="minor"/>
    </font>
    <font>
      <name val="Calibri"/>
      <family val="2"/>
      <b val="1"/>
      <color rgb="FFFFFFFF"/>
      <sz val="11"/>
      <scheme val="minor"/>
    </font>
    <font>
      <name val="Calibri"/>
      <family val="2"/>
      <color rgb="FF9A5700"/>
      <sz val="11"/>
      <scheme val="minor"/>
    </font>
    <font>
      <name val="Calibri"/>
      <family val="2"/>
      <color rgb="FF06764A"/>
      <sz val="11"/>
      <scheme val="minor"/>
    </font>
    <font>
      <name val="Calibri"/>
      <family val="2"/>
      <color rgb="FF222A31"/>
      <sz val="11"/>
      <scheme val="minor"/>
    </font>
    <font>
      <name val="Calibri"/>
      <family val="2"/>
      <b val="1"/>
      <color rgb="FF047857"/>
      <sz val="11"/>
      <scheme val="minor"/>
    </font>
    <font>
      <name val="Calibri"/>
      <family val="2"/>
      <color rgb="FF656A6F"/>
      <sz val="11"/>
      <scheme val="minor"/>
    </font>
  </fonts>
  <fills count="4">
    <fill>
      <patternFill/>
    </fill>
    <fill>
      <patternFill patternType="gray125"/>
    </fill>
    <fill>
      <patternFill patternType="solid">
        <fgColor rgb="FF173E59"/>
        <bgColor indexed="64"/>
      </patternFill>
    </fill>
    <fill>
      <patternFill patternType="solid">
        <fgColor rgb="FFFFF0DB"/>
        <bgColor indexed="64"/>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applyAlignment="1" pivotButton="0" quotePrefix="0" xfId="0">
      <alignment wrapText="1"/>
    </xf>
    <xf numFmtId="0" fontId="0" fillId="0" borderId="0" applyAlignment="1" pivotButton="0" quotePrefix="0" xfId="0">
      <alignment vertical="top" wrapText="1"/>
    </xf>
    <xf numFmtId="0" fontId="4" fillId="0" borderId="0" applyAlignment="1" pivotButton="0" quotePrefix="0" xfId="0">
      <alignment vertical="top" wrapText="1"/>
    </xf>
    <xf numFmtId="1" fontId="4" fillId="0" borderId="0" applyAlignment="1" pivotButton="0" quotePrefix="0" xfId="0">
      <alignment vertical="top"/>
    </xf>
    <xf numFmtId="1" fontId="5" fillId="0" borderId="0" applyAlignment="1" pivotButton="0" quotePrefix="0" xfId="0">
      <alignment horizontal="center"/>
    </xf>
    <xf numFmtId="0" fontId="6" fillId="0" borderId="0" applyAlignment="1" pivotButton="0" quotePrefix="0" xfId="0">
      <alignment horizontal="center"/>
    </xf>
    <xf numFmtId="0" fontId="7"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pmc.ncbi.nlm.nih.gov/articles/PMC9840221/" TargetMode="External" Id="rId1"/><Relationship Type="http://schemas.openxmlformats.org/officeDocument/2006/relationships/hyperlink" Target="https://pmc.ncbi.nlm.nih.gov/articles/PMC9840221/" TargetMode="External" Id="rId2"/><Relationship Type="http://schemas.openxmlformats.org/officeDocument/2006/relationships/hyperlink" Target="https://pmc.ncbi.nlm.nih.gov/articles/PMC9840221/" TargetMode="External" Id="rId3"/><Relationship Type="http://schemas.openxmlformats.org/officeDocument/2006/relationships/hyperlink" Target="https://pmc.ncbi.nlm.nih.gov/articles/PMC9840221/" TargetMode="External" Id="rId4"/><Relationship Type="http://schemas.openxmlformats.org/officeDocument/2006/relationships/hyperlink" Target="https://pmc.ncbi.nlm.nih.gov/articles/PMC9840221/" TargetMode="External" Id="rId5"/><Relationship Type="http://schemas.openxmlformats.org/officeDocument/2006/relationships/hyperlink" Target="https://pmc.ncbi.nlm.nih.gov/articles/PMC9840221/" TargetMode="External" Id="rId6"/><Relationship Type="http://schemas.openxmlformats.org/officeDocument/2006/relationships/hyperlink" Target="https://pmc.ncbi.nlm.nih.gov/articles/PMC9840221/" TargetMode="External" Id="rId7"/><Relationship Type="http://schemas.openxmlformats.org/officeDocument/2006/relationships/hyperlink" Target="https://www.nature.com/articles/s41598-018-32851-y" TargetMode="External" Id="rId8"/><Relationship Type="http://schemas.openxmlformats.org/officeDocument/2006/relationships/hyperlink" Target="https://www.nature.com/articles/s41598-018-32851-y" TargetMode="External" Id="rId9"/><Relationship Type="http://schemas.openxmlformats.org/officeDocument/2006/relationships/hyperlink" Target="https://www.nature.com/articles/s41598-018-32851-y" TargetMode="External" Id="rId10"/><Relationship Type="http://schemas.openxmlformats.org/officeDocument/2006/relationships/hyperlink" Target="https://www.nature.com/articles/s41598-018-32851-y" TargetMode="External" Id="rId11"/><Relationship Type="http://schemas.openxmlformats.org/officeDocument/2006/relationships/hyperlink" Target="https://www.nature.com/articles/s41598-018-32851-y" TargetMode="External" Id="rId12"/><Relationship Type="http://schemas.openxmlformats.org/officeDocument/2006/relationships/hyperlink" Target="https://www.nature.com/articles/s41598-018-32851-y" TargetMode="External" Id="rId13"/><Relationship Type="http://schemas.openxmlformats.org/officeDocument/2006/relationships/hyperlink" Target="https://www.nature.com/articles/s41598-018-32851-y" TargetMode="External" Id="rId14"/><Relationship Type="http://schemas.openxmlformats.org/officeDocument/2006/relationships/hyperlink" Target="https://pubmed.ncbi.nlm.nih.gov/30905787/" TargetMode="External" Id="rId15"/><Relationship Type="http://schemas.openxmlformats.org/officeDocument/2006/relationships/hyperlink" Target="https://pubmed.ncbi.nlm.nih.gov/30905787/" TargetMode="External" Id="rId16"/><Relationship Type="http://schemas.openxmlformats.org/officeDocument/2006/relationships/hyperlink" Target="https://pubmed.ncbi.nlm.nih.gov/30905787/" TargetMode="External" Id="rId17"/><Relationship Type="http://schemas.openxmlformats.org/officeDocument/2006/relationships/hyperlink" Target="https://pubmed.ncbi.nlm.nih.gov/30905787/" TargetMode="External" Id="rId18"/><Relationship Type="http://schemas.openxmlformats.org/officeDocument/2006/relationships/hyperlink" Target="https://pubmed.ncbi.nlm.nih.gov/30905787/" TargetMode="External" Id="rId19"/><Relationship Type="http://schemas.openxmlformats.org/officeDocument/2006/relationships/hyperlink" Target="https://pubmed.ncbi.nlm.nih.gov/30905787/" TargetMode="External" Id="rId20"/><Relationship Type="http://schemas.openxmlformats.org/officeDocument/2006/relationships/hyperlink" Target="https://pubmed.ncbi.nlm.nih.gov/30905787/" TargetMode="External" Id="rId21"/><Relationship Type="http://schemas.openxmlformats.org/officeDocument/2006/relationships/hyperlink" Target="https://pmc.ncbi.nlm.nih.gov/articles/PMC5908412/" TargetMode="External" Id="rId22"/><Relationship Type="http://schemas.openxmlformats.org/officeDocument/2006/relationships/hyperlink" Target="https://pmc.ncbi.nlm.nih.gov/articles/PMC5908412/" TargetMode="External" Id="rId23"/><Relationship Type="http://schemas.openxmlformats.org/officeDocument/2006/relationships/hyperlink" Target="https://pmc.ncbi.nlm.nih.gov/articles/PMC5908412/" TargetMode="External" Id="rId24"/><Relationship Type="http://schemas.openxmlformats.org/officeDocument/2006/relationships/hyperlink" Target="https://pmc.ncbi.nlm.nih.gov/articles/PMC5908412/" TargetMode="External" Id="rId25"/><Relationship Type="http://schemas.openxmlformats.org/officeDocument/2006/relationships/hyperlink" Target="https://pmc.ncbi.nlm.nih.gov/articles/PMC5908412/" TargetMode="External" Id="rId26"/><Relationship Type="http://schemas.openxmlformats.org/officeDocument/2006/relationships/hyperlink" Target="https://pmc.ncbi.nlm.nih.gov/articles/PMC5908412/" TargetMode="External" Id="rId27"/><Relationship Type="http://schemas.openxmlformats.org/officeDocument/2006/relationships/hyperlink" Target="https://pmc.ncbi.nlm.nih.gov/articles/PMC5908412/" TargetMode="External" Id="rId28"/><Relationship Type="http://schemas.openxmlformats.org/officeDocument/2006/relationships/hyperlink" Target="https://www.sciencedirect.com/science/article/abs/pii/S1056871917301363" TargetMode="External" Id="rId29"/><Relationship Type="http://schemas.openxmlformats.org/officeDocument/2006/relationships/hyperlink" Target="https://www.sciencedirect.com/science/article/abs/pii/S1056871917301363" TargetMode="External" Id="rId30"/><Relationship Type="http://schemas.openxmlformats.org/officeDocument/2006/relationships/hyperlink" Target="https://www.sciencedirect.com/science/article/abs/pii/S1056871917301363" TargetMode="External" Id="rId31"/><Relationship Type="http://schemas.openxmlformats.org/officeDocument/2006/relationships/hyperlink" Target="https://www.sciencedirect.com/science/article/abs/pii/S1056871917301363" TargetMode="External" Id="rId32"/><Relationship Type="http://schemas.openxmlformats.org/officeDocument/2006/relationships/hyperlink" Target="https://www.sciencedirect.com/science/article/abs/pii/S1056871917301363" TargetMode="External" Id="rId33"/><Relationship Type="http://schemas.openxmlformats.org/officeDocument/2006/relationships/hyperlink" Target="https://www.sciencedirect.com/science/article/abs/pii/S1056871917301363" TargetMode="External" Id="rId34"/><Relationship Type="http://schemas.openxmlformats.org/officeDocument/2006/relationships/hyperlink" Target="https://www.sciencedirect.com/science/article/abs/pii/S1056871917301363" TargetMode="External" Id="rId35"/><Relationship Type="http://schemas.openxmlformats.org/officeDocument/2006/relationships/hyperlink" Target="https://pubmed.ncbi.nlm.nih.gov/30053440/" TargetMode="External" Id="rId36"/><Relationship Type="http://schemas.openxmlformats.org/officeDocument/2006/relationships/hyperlink" Target="https://pubmed.ncbi.nlm.nih.gov/30053440/" TargetMode="External" Id="rId37"/><Relationship Type="http://schemas.openxmlformats.org/officeDocument/2006/relationships/hyperlink" Target="https://pubmed.ncbi.nlm.nih.gov/30053440/" TargetMode="External" Id="rId38"/><Relationship Type="http://schemas.openxmlformats.org/officeDocument/2006/relationships/hyperlink" Target="https://pubmed.ncbi.nlm.nih.gov/30053440/" TargetMode="External" Id="rId39"/><Relationship Type="http://schemas.openxmlformats.org/officeDocument/2006/relationships/hyperlink" Target="https://pubmed.ncbi.nlm.nih.gov/30053440/" TargetMode="External" Id="rId40"/><Relationship Type="http://schemas.openxmlformats.org/officeDocument/2006/relationships/hyperlink" Target="https://pubmed.ncbi.nlm.nih.gov/30053440/" TargetMode="External" Id="rId41"/><Relationship Type="http://schemas.openxmlformats.org/officeDocument/2006/relationships/hyperlink" Target="https://pubmed.ncbi.nlm.nih.gov/30053440/" TargetMode="External" Id="rId42"/><Relationship Type="http://schemas.openxmlformats.org/officeDocument/2006/relationships/hyperlink" Target="https://www.sciencedirect.com/science/article/pii/S0887233317300747" TargetMode="External" Id="rId43"/><Relationship Type="http://schemas.openxmlformats.org/officeDocument/2006/relationships/hyperlink" Target="https://www.sciencedirect.com/science/article/pii/S0887233317300747" TargetMode="External" Id="rId44"/><Relationship Type="http://schemas.openxmlformats.org/officeDocument/2006/relationships/hyperlink" Target="https://www.sciencedirect.com/science/article/pii/S0887233317300747" TargetMode="External" Id="rId45"/><Relationship Type="http://schemas.openxmlformats.org/officeDocument/2006/relationships/hyperlink" Target="https://www.sciencedirect.com/science/article/pii/S0887233317300747" TargetMode="External" Id="rId46"/><Relationship Type="http://schemas.openxmlformats.org/officeDocument/2006/relationships/hyperlink" Target="https://www.sciencedirect.com/science/article/pii/S0887233317300747" TargetMode="External" Id="rId47"/><Relationship Type="http://schemas.openxmlformats.org/officeDocument/2006/relationships/hyperlink" Target="https://www.sciencedirect.com/science/article/pii/S0887233317300747" TargetMode="External" Id="rId48"/><Relationship Type="http://schemas.openxmlformats.org/officeDocument/2006/relationships/hyperlink" Target="https://www.sciencedirect.com/science/article/pii/S0887233317300747" TargetMode="External" Id="rId49"/><Relationship Type="http://schemas.openxmlformats.org/officeDocument/2006/relationships/hyperlink" Target="https://www.sciencedirect.com/science/article/pii/S0939641117312821" TargetMode="External" Id="rId50"/><Relationship Type="http://schemas.openxmlformats.org/officeDocument/2006/relationships/hyperlink" Target="https://www.sciencedirect.com/science/article/pii/S0939641117312821" TargetMode="External" Id="rId51"/><Relationship Type="http://schemas.openxmlformats.org/officeDocument/2006/relationships/hyperlink" Target="https://www.sciencedirect.com/science/article/pii/S0939641117312821" TargetMode="External" Id="rId52"/><Relationship Type="http://schemas.openxmlformats.org/officeDocument/2006/relationships/hyperlink" Target="https://www.sciencedirect.com/science/article/pii/S0939641117312821" TargetMode="External" Id="rId53"/><Relationship Type="http://schemas.openxmlformats.org/officeDocument/2006/relationships/hyperlink" Target="https://www.sciencedirect.com/science/article/pii/S0939641117312821" TargetMode="External" Id="rId54"/><Relationship Type="http://schemas.openxmlformats.org/officeDocument/2006/relationships/hyperlink" Target="https://www.sciencedirect.com/science/article/pii/S0939641117312821" TargetMode="External" Id="rId55"/><Relationship Type="http://schemas.openxmlformats.org/officeDocument/2006/relationships/hyperlink" Target="https://www.sciencedirect.com/science/article/pii/S0939641117312821" TargetMode="External" Id="rId56"/><Relationship Type="http://schemas.openxmlformats.org/officeDocument/2006/relationships/hyperlink" Target="https://pmc.ncbi.nlm.nih.gov/articles/PMC6910103/" TargetMode="External" Id="rId57"/><Relationship Type="http://schemas.openxmlformats.org/officeDocument/2006/relationships/hyperlink" Target="https://pmc.ncbi.nlm.nih.gov/articles/PMC6910103/" TargetMode="External" Id="rId58"/><Relationship Type="http://schemas.openxmlformats.org/officeDocument/2006/relationships/hyperlink" Target="https://pmc.ncbi.nlm.nih.gov/articles/PMC6910103/" TargetMode="External" Id="rId59"/><Relationship Type="http://schemas.openxmlformats.org/officeDocument/2006/relationships/hyperlink" Target="https://pmc.ncbi.nlm.nih.gov/articles/PMC6910103/" TargetMode="External" Id="rId60"/><Relationship Type="http://schemas.openxmlformats.org/officeDocument/2006/relationships/hyperlink" Target="https://pmc.ncbi.nlm.nih.gov/articles/PMC6910103/" TargetMode="External" Id="rId61"/><Relationship Type="http://schemas.openxmlformats.org/officeDocument/2006/relationships/hyperlink" Target="https://pmc.ncbi.nlm.nih.gov/articles/PMC6910103/" TargetMode="External" Id="rId62"/><Relationship Type="http://schemas.openxmlformats.org/officeDocument/2006/relationships/hyperlink" Target="https://pmc.ncbi.nlm.nih.gov/articles/PMC6910103/" TargetMode="External" Id="rId63"/><Relationship Type="http://schemas.openxmlformats.org/officeDocument/2006/relationships/hyperlink" Target="https://pmc.ncbi.nlm.nih.gov/articles/PMC6250652/" TargetMode="External" Id="rId64"/><Relationship Type="http://schemas.openxmlformats.org/officeDocument/2006/relationships/hyperlink" Target="https://pmc.ncbi.nlm.nih.gov/articles/PMC6250652/" TargetMode="External" Id="rId65"/><Relationship Type="http://schemas.openxmlformats.org/officeDocument/2006/relationships/hyperlink" Target="https://pmc.ncbi.nlm.nih.gov/articles/PMC6250652/" TargetMode="External" Id="rId66"/><Relationship Type="http://schemas.openxmlformats.org/officeDocument/2006/relationships/hyperlink" Target="https://pmc.ncbi.nlm.nih.gov/articles/PMC6250652/" TargetMode="External" Id="rId67"/><Relationship Type="http://schemas.openxmlformats.org/officeDocument/2006/relationships/hyperlink" Target="https://pmc.ncbi.nlm.nih.gov/articles/PMC6250652/" TargetMode="External" Id="rId68"/><Relationship Type="http://schemas.openxmlformats.org/officeDocument/2006/relationships/hyperlink" Target="https://pmc.ncbi.nlm.nih.gov/articles/PMC6250652/" TargetMode="External" Id="rId69"/><Relationship Type="http://schemas.openxmlformats.org/officeDocument/2006/relationships/hyperlink" Target="https://pmc.ncbi.nlm.nih.gov/articles/PMC6250652/" TargetMode="External" Id="rId70"/><Relationship Type="http://schemas.openxmlformats.org/officeDocument/2006/relationships/hyperlink" Target="https://onlinelibrary.wiley.com/doi/10.1111/exd.70137" TargetMode="External" Id="rId71"/><Relationship Type="http://schemas.openxmlformats.org/officeDocument/2006/relationships/hyperlink" Target="https://onlinelibrary.wiley.com/doi/10.1111/exd.70137" TargetMode="External" Id="rId72"/><Relationship Type="http://schemas.openxmlformats.org/officeDocument/2006/relationships/hyperlink" Target="https://onlinelibrary.wiley.com/doi/10.1111/exd.70137" TargetMode="External" Id="rId73"/><Relationship Type="http://schemas.openxmlformats.org/officeDocument/2006/relationships/hyperlink" Target="https://onlinelibrary.wiley.com/doi/10.1111/exd.70137" TargetMode="External" Id="rId74"/><Relationship Type="http://schemas.openxmlformats.org/officeDocument/2006/relationships/hyperlink" Target="https://onlinelibrary.wiley.com/doi/10.1111/exd.70137" TargetMode="External" Id="rId75"/><Relationship Type="http://schemas.openxmlformats.org/officeDocument/2006/relationships/hyperlink" Target="https://onlinelibrary.wiley.com/doi/10.1111/exd.70137" TargetMode="External" Id="rId76"/><Relationship Type="http://schemas.openxmlformats.org/officeDocument/2006/relationships/hyperlink" Target="https://onlinelibrary.wiley.com/doi/10.1111/exd.70137" TargetMode="External" Id="rId77"/><Relationship Type="http://schemas.openxmlformats.org/officeDocument/2006/relationships/hyperlink" Target="https://www.sciencedirect.com/science/article/pii/S0002944022000074" TargetMode="External" Id="rId78"/><Relationship Type="http://schemas.openxmlformats.org/officeDocument/2006/relationships/hyperlink" Target="https://www.sciencedirect.com/science/article/pii/S0002944022000074" TargetMode="External" Id="rId79"/><Relationship Type="http://schemas.openxmlformats.org/officeDocument/2006/relationships/hyperlink" Target="https://www.sciencedirect.com/science/article/pii/S0002944022000074" TargetMode="External" Id="rId80"/><Relationship Type="http://schemas.openxmlformats.org/officeDocument/2006/relationships/hyperlink" Target="https://www.sciencedirect.com/science/article/pii/S0002944022000074" TargetMode="External" Id="rId81"/><Relationship Type="http://schemas.openxmlformats.org/officeDocument/2006/relationships/hyperlink" Target="https://www.sciencedirect.com/science/article/pii/S0002944022000074" TargetMode="External" Id="rId82"/><Relationship Type="http://schemas.openxmlformats.org/officeDocument/2006/relationships/hyperlink" Target="https://www.sciencedirect.com/science/article/pii/S0002944022000074" TargetMode="External" Id="rId83"/><Relationship Type="http://schemas.openxmlformats.org/officeDocument/2006/relationships/hyperlink" Target="https://www.sciencedirect.com/science/article/pii/S0002944022000074" TargetMode="External" Id="rId84"/><Relationship Type="http://schemas.openxmlformats.org/officeDocument/2006/relationships/hyperlink" Target="https://www.sciencedirect.com/science/article/abs/pii/S0956566319306347" TargetMode="External" Id="rId85"/><Relationship Type="http://schemas.openxmlformats.org/officeDocument/2006/relationships/hyperlink" Target="https://www.sciencedirect.com/science/article/abs/pii/S0956566319306347" TargetMode="External" Id="rId86"/><Relationship Type="http://schemas.openxmlformats.org/officeDocument/2006/relationships/hyperlink" Target="https://www.sciencedirect.com/science/article/abs/pii/S0956566319306347" TargetMode="External" Id="rId87"/><Relationship Type="http://schemas.openxmlformats.org/officeDocument/2006/relationships/hyperlink" Target="https://www.sciencedirect.com/science/article/abs/pii/S0956566319306347" TargetMode="External" Id="rId88"/><Relationship Type="http://schemas.openxmlformats.org/officeDocument/2006/relationships/hyperlink" Target="https://www.sciencedirect.com/science/article/abs/pii/S0956566319306347" TargetMode="External" Id="rId89"/><Relationship Type="http://schemas.openxmlformats.org/officeDocument/2006/relationships/hyperlink" Target="https://www.sciencedirect.com/science/article/abs/pii/S0956566319306347" TargetMode="External" Id="rId90"/><Relationship Type="http://schemas.openxmlformats.org/officeDocument/2006/relationships/hyperlink" Target="https://www.sciencedirect.com/science/article/abs/pii/S0956566319306347" TargetMode="External" Id="rId91"/><Relationship Type="http://schemas.openxmlformats.org/officeDocument/2006/relationships/hyperlink" Target="https://pubmed.ncbi.nlm.nih.gov/30575205/" TargetMode="External" Id="rId92"/><Relationship Type="http://schemas.openxmlformats.org/officeDocument/2006/relationships/hyperlink" Target="https://pubmed.ncbi.nlm.nih.gov/30575205/" TargetMode="External" Id="rId93"/><Relationship Type="http://schemas.openxmlformats.org/officeDocument/2006/relationships/hyperlink" Target="https://pubmed.ncbi.nlm.nih.gov/30575205/" TargetMode="External" Id="rId94"/><Relationship Type="http://schemas.openxmlformats.org/officeDocument/2006/relationships/hyperlink" Target="https://pubmed.ncbi.nlm.nih.gov/30575205/" TargetMode="External" Id="rId95"/><Relationship Type="http://schemas.openxmlformats.org/officeDocument/2006/relationships/hyperlink" Target="https://pubmed.ncbi.nlm.nih.gov/30575205/" TargetMode="External" Id="rId96"/><Relationship Type="http://schemas.openxmlformats.org/officeDocument/2006/relationships/hyperlink" Target="https://pubmed.ncbi.nlm.nih.gov/30575205/" TargetMode="External" Id="rId97"/><Relationship Type="http://schemas.openxmlformats.org/officeDocument/2006/relationships/hyperlink" Target="https://pubmed.ncbi.nlm.nih.gov/30575205/" TargetMode="External" Id="rId98"/><Relationship Type="http://schemas.openxmlformats.org/officeDocument/2006/relationships/hyperlink" Target="https://link.springer.com/article/10.1007/s44164-025-00082-x" TargetMode="External" Id="rId99"/><Relationship Type="http://schemas.openxmlformats.org/officeDocument/2006/relationships/hyperlink" Target="https://link.springer.com/article/10.1007/s44164-025-00082-x" TargetMode="External" Id="rId100"/><Relationship Type="http://schemas.openxmlformats.org/officeDocument/2006/relationships/hyperlink" Target="https://link.springer.com/article/10.1007/s44164-025-00082-x" TargetMode="External" Id="rId101"/><Relationship Type="http://schemas.openxmlformats.org/officeDocument/2006/relationships/hyperlink" Target="https://link.springer.com/article/10.1007/s44164-025-00082-x" TargetMode="External" Id="rId102"/><Relationship Type="http://schemas.openxmlformats.org/officeDocument/2006/relationships/hyperlink" Target="https://link.springer.com/article/10.1007/s44164-025-00082-x" TargetMode="External" Id="rId103"/><Relationship Type="http://schemas.openxmlformats.org/officeDocument/2006/relationships/hyperlink" Target="https://link.springer.com/article/10.1007/s44164-025-00082-x" TargetMode="External" Id="rId104"/><Relationship Type="http://schemas.openxmlformats.org/officeDocument/2006/relationships/hyperlink" Target="https://link.springer.com/article/10.1007/s44164-025-00082-x" TargetMode="External" Id="rId105"/><Relationship Type="http://schemas.openxmlformats.org/officeDocument/2006/relationships/hyperlink" Target="https://link.springer.com/article/10.1186/s12860-021-00366-6" TargetMode="External" Id="rId106"/><Relationship Type="http://schemas.openxmlformats.org/officeDocument/2006/relationships/hyperlink" Target="https://link.springer.com/article/10.1186/s12860-021-00366-6" TargetMode="External" Id="rId107"/><Relationship Type="http://schemas.openxmlformats.org/officeDocument/2006/relationships/hyperlink" Target="https://link.springer.com/article/10.1186/s12860-021-00366-6" TargetMode="External" Id="rId108"/><Relationship Type="http://schemas.openxmlformats.org/officeDocument/2006/relationships/hyperlink" Target="https://link.springer.com/article/10.1186/s12860-021-00366-6" TargetMode="External" Id="rId109"/><Relationship Type="http://schemas.openxmlformats.org/officeDocument/2006/relationships/hyperlink" Target="https://link.springer.com/article/10.1186/s12860-021-00366-6" TargetMode="External" Id="rId110"/><Relationship Type="http://schemas.openxmlformats.org/officeDocument/2006/relationships/hyperlink" Target="https://link.springer.com/article/10.1186/s12860-021-00366-6" TargetMode="External" Id="rId111"/><Relationship Type="http://schemas.openxmlformats.org/officeDocument/2006/relationships/hyperlink" Target="https://link.springer.com/article/10.1186/s12860-021-00366-6" TargetMode="External" Id="rId112"/><Relationship Type="http://schemas.openxmlformats.org/officeDocument/2006/relationships/hyperlink" Target="https://www.mdpi.com/2079-4983/14/9/459" TargetMode="External" Id="rId113"/><Relationship Type="http://schemas.openxmlformats.org/officeDocument/2006/relationships/hyperlink" Target="https://www.mdpi.com/2079-4983/14/9/459" TargetMode="External" Id="rId114"/><Relationship Type="http://schemas.openxmlformats.org/officeDocument/2006/relationships/hyperlink" Target="https://www.mdpi.com/2079-4983/14/9/459" TargetMode="External" Id="rId115"/><Relationship Type="http://schemas.openxmlformats.org/officeDocument/2006/relationships/hyperlink" Target="https://www.mdpi.com/2079-4983/14/9/459" TargetMode="External" Id="rId116"/><Relationship Type="http://schemas.openxmlformats.org/officeDocument/2006/relationships/hyperlink" Target="https://www.mdpi.com/2079-4983/14/9/459" TargetMode="External" Id="rId117"/><Relationship Type="http://schemas.openxmlformats.org/officeDocument/2006/relationships/hyperlink" Target="https://www.mdpi.com/2079-4983/14/9/459" TargetMode="External" Id="rId118"/><Relationship Type="http://schemas.openxmlformats.org/officeDocument/2006/relationships/hyperlink" Target="https://www.mdpi.com/2079-4983/14/9/459" TargetMode="External" Id="rId119"/><Relationship Type="http://schemas.openxmlformats.org/officeDocument/2006/relationships/hyperlink" Target="https://agris.fao.org/search/en/providers/125157/records/67497a928834da021e383de0" TargetMode="External" Id="rId120"/><Relationship Type="http://schemas.openxmlformats.org/officeDocument/2006/relationships/hyperlink" Target="https://agris.fao.org/search/en/providers/125157/records/67497a928834da021e383de0" TargetMode="External" Id="rId121"/><Relationship Type="http://schemas.openxmlformats.org/officeDocument/2006/relationships/hyperlink" Target="https://agris.fao.org/search/en/providers/125157/records/67497a928834da021e383de0" TargetMode="External" Id="rId122"/><Relationship Type="http://schemas.openxmlformats.org/officeDocument/2006/relationships/hyperlink" Target="https://agris.fao.org/search/en/providers/125157/records/67497a928834da021e383de0" TargetMode="External" Id="rId123"/><Relationship Type="http://schemas.openxmlformats.org/officeDocument/2006/relationships/hyperlink" Target="https://agris.fao.org/search/en/providers/125157/records/67497a928834da021e383de0" TargetMode="External" Id="rId124"/><Relationship Type="http://schemas.openxmlformats.org/officeDocument/2006/relationships/hyperlink" Target="https://agris.fao.org/search/en/providers/125157/records/67497a928834da021e383de0" TargetMode="External" Id="rId125"/><Relationship Type="http://schemas.openxmlformats.org/officeDocument/2006/relationships/hyperlink" Target="https://agris.fao.org/search/en/providers/125157/records/67497a928834da021e383de0" TargetMode="External" Id="rId126"/><Relationship Type="http://schemas.openxmlformats.org/officeDocument/2006/relationships/hyperlink" Target="https://onlinelibrary.wiley.com/doi/full/10.1002/jbm.a.37831" TargetMode="External" Id="rId127"/><Relationship Type="http://schemas.openxmlformats.org/officeDocument/2006/relationships/hyperlink" Target="https://onlinelibrary.wiley.com/doi/full/10.1002/jbm.a.37831" TargetMode="External" Id="rId128"/><Relationship Type="http://schemas.openxmlformats.org/officeDocument/2006/relationships/hyperlink" Target="https://onlinelibrary.wiley.com/doi/full/10.1002/jbm.a.37831" TargetMode="External" Id="rId129"/><Relationship Type="http://schemas.openxmlformats.org/officeDocument/2006/relationships/hyperlink" Target="https://onlinelibrary.wiley.com/doi/full/10.1002/jbm.a.37831" TargetMode="External" Id="rId130"/><Relationship Type="http://schemas.openxmlformats.org/officeDocument/2006/relationships/hyperlink" Target="https://onlinelibrary.wiley.com/doi/full/10.1002/jbm.a.37831" TargetMode="External" Id="rId131"/><Relationship Type="http://schemas.openxmlformats.org/officeDocument/2006/relationships/hyperlink" Target="https://onlinelibrary.wiley.com/doi/full/10.1002/jbm.a.37831" TargetMode="External" Id="rId132"/><Relationship Type="http://schemas.openxmlformats.org/officeDocument/2006/relationships/hyperlink" Target="https://onlinelibrary.wiley.com/doi/full/10.1002/jbm.a.37831" TargetMode="External" Id="rId133"/><Relationship Type="http://schemas.openxmlformats.org/officeDocument/2006/relationships/hyperlink" Target="https://www.sciencedirect.com/science/article/pii/S2352492825015612" TargetMode="External" Id="rId134"/><Relationship Type="http://schemas.openxmlformats.org/officeDocument/2006/relationships/hyperlink" Target="https://www.sciencedirect.com/science/article/pii/S2352492825015612" TargetMode="External" Id="rId135"/><Relationship Type="http://schemas.openxmlformats.org/officeDocument/2006/relationships/hyperlink" Target="https://www.sciencedirect.com/science/article/pii/S2352492825015612" TargetMode="External" Id="rId136"/><Relationship Type="http://schemas.openxmlformats.org/officeDocument/2006/relationships/hyperlink" Target="https://www.sciencedirect.com/science/article/pii/S2352492825015612" TargetMode="External" Id="rId137"/><Relationship Type="http://schemas.openxmlformats.org/officeDocument/2006/relationships/hyperlink" Target="https://www.sciencedirect.com/science/article/pii/S2352492825015612" TargetMode="External" Id="rId138"/><Relationship Type="http://schemas.openxmlformats.org/officeDocument/2006/relationships/hyperlink" Target="https://www.sciencedirect.com/science/article/pii/S2352492825015612" TargetMode="External" Id="rId139"/><Relationship Type="http://schemas.openxmlformats.org/officeDocument/2006/relationships/hyperlink" Target="https://www.sciencedirect.com/science/article/pii/S2352492825015612" TargetMode="External" Id="rId140"/><Relationship Type="http://schemas.openxmlformats.org/officeDocument/2006/relationships/hyperlink" Target="https://www.isbe-online.com/?act=view&amp;id=4324&amp;mod=info&amp;ui=english" TargetMode="External" Id="rId141"/><Relationship Type="http://schemas.openxmlformats.org/officeDocument/2006/relationships/hyperlink" Target="https://www.isbe-online.com/?act=view&amp;id=4324&amp;mod=info&amp;ui=english" TargetMode="External" Id="rId142"/><Relationship Type="http://schemas.openxmlformats.org/officeDocument/2006/relationships/hyperlink" Target="https://www.isbe-online.com/?act=view&amp;id=4324&amp;mod=info&amp;ui=english" TargetMode="External" Id="rId143"/><Relationship Type="http://schemas.openxmlformats.org/officeDocument/2006/relationships/hyperlink" Target="https://www.isbe-online.com/?act=view&amp;id=4324&amp;mod=info&amp;ui=english" TargetMode="External" Id="rId144"/><Relationship Type="http://schemas.openxmlformats.org/officeDocument/2006/relationships/hyperlink" Target="https://www.isbe-online.com/?act=view&amp;id=4324&amp;mod=info&amp;ui=english" TargetMode="External" Id="rId145"/><Relationship Type="http://schemas.openxmlformats.org/officeDocument/2006/relationships/hyperlink" Target="https://www.isbe-online.com/?act=view&amp;id=4324&amp;mod=info&amp;ui=english" TargetMode="External" Id="rId146"/><Relationship Type="http://schemas.openxmlformats.org/officeDocument/2006/relationships/hyperlink" Target="https://www.isbe-online.com/?act=view&amp;id=4324&amp;mod=info&amp;ui=english" TargetMode="External" Id="rId147"/><Relationship Type="http://schemas.openxmlformats.org/officeDocument/2006/relationships/hyperlink" Target="https://link.springer.com/article/10.1007/s42452-024-06043-5" TargetMode="External" Id="rId148"/><Relationship Type="http://schemas.openxmlformats.org/officeDocument/2006/relationships/hyperlink" Target="https://link.springer.com/article/10.1007/s42452-024-06043-5" TargetMode="External" Id="rId149"/><Relationship Type="http://schemas.openxmlformats.org/officeDocument/2006/relationships/hyperlink" Target="https://link.springer.com/article/10.1007/s42452-024-06043-5" TargetMode="External" Id="rId150"/><Relationship Type="http://schemas.openxmlformats.org/officeDocument/2006/relationships/hyperlink" Target="https://link.springer.com/article/10.1007/s42452-024-06043-5" TargetMode="External" Id="rId151"/><Relationship Type="http://schemas.openxmlformats.org/officeDocument/2006/relationships/hyperlink" Target="https://link.springer.com/article/10.1007/s42452-024-06043-5" TargetMode="External" Id="rId152"/><Relationship Type="http://schemas.openxmlformats.org/officeDocument/2006/relationships/hyperlink" Target="https://link.springer.com/article/10.1007/s42452-024-06043-5" TargetMode="External" Id="rId153"/><Relationship Type="http://schemas.openxmlformats.org/officeDocument/2006/relationships/hyperlink" Target="https://link.springer.com/article/10.1007/s42452-024-06043-5" TargetMode="External" Id="rId154"/><Relationship Type="http://schemas.openxmlformats.org/officeDocument/2006/relationships/hyperlink" Target="https://pubmed.ncbi.nlm.nih.gov/35799896/" TargetMode="External" Id="rId155"/><Relationship Type="http://schemas.openxmlformats.org/officeDocument/2006/relationships/hyperlink" Target="https://pubmed.ncbi.nlm.nih.gov/35799896/" TargetMode="External" Id="rId156"/><Relationship Type="http://schemas.openxmlformats.org/officeDocument/2006/relationships/hyperlink" Target="https://pubmed.ncbi.nlm.nih.gov/35799896/" TargetMode="External" Id="rId157"/><Relationship Type="http://schemas.openxmlformats.org/officeDocument/2006/relationships/hyperlink" Target="https://pubmed.ncbi.nlm.nih.gov/35799896/" TargetMode="External" Id="rId158"/><Relationship Type="http://schemas.openxmlformats.org/officeDocument/2006/relationships/hyperlink" Target="https://pubmed.ncbi.nlm.nih.gov/35799896/" TargetMode="External" Id="rId159"/><Relationship Type="http://schemas.openxmlformats.org/officeDocument/2006/relationships/hyperlink" Target="https://pubmed.ncbi.nlm.nih.gov/35799896/" TargetMode="External" Id="rId160"/><Relationship Type="http://schemas.openxmlformats.org/officeDocument/2006/relationships/hyperlink" Target="https://pubmed.ncbi.nlm.nih.gov/35799896/" TargetMode="External" Id="rId161"/><Relationship Type="http://schemas.openxmlformats.org/officeDocument/2006/relationships/hyperlink" Target="https://www.sciencedirect.com/science/article/pii/S2405886622000471" TargetMode="External" Id="rId162"/><Relationship Type="http://schemas.openxmlformats.org/officeDocument/2006/relationships/hyperlink" Target="https://www.sciencedirect.com/science/article/pii/S2405886622000471" TargetMode="External" Id="rId163"/><Relationship Type="http://schemas.openxmlformats.org/officeDocument/2006/relationships/hyperlink" Target="https://www.sciencedirect.com/science/article/pii/S2405886622000471" TargetMode="External" Id="rId164"/><Relationship Type="http://schemas.openxmlformats.org/officeDocument/2006/relationships/hyperlink" Target="https://www.sciencedirect.com/science/article/pii/S2405886622000471" TargetMode="External" Id="rId165"/><Relationship Type="http://schemas.openxmlformats.org/officeDocument/2006/relationships/hyperlink" Target="https://www.sciencedirect.com/science/article/pii/S2405886622000471" TargetMode="External" Id="rId166"/><Relationship Type="http://schemas.openxmlformats.org/officeDocument/2006/relationships/hyperlink" Target="https://www.sciencedirect.com/science/article/pii/S2405886622000471" TargetMode="External" Id="rId167"/><Relationship Type="http://schemas.openxmlformats.org/officeDocument/2006/relationships/hyperlink" Target="https://www.sciencedirect.com/science/article/pii/S2405886622000471" TargetMode="External" Id="rId168"/><Relationship Type="http://schemas.openxmlformats.org/officeDocument/2006/relationships/hyperlink" Target="https://pmc.ncbi.nlm.nih.gov/articles/PMC7476394/" TargetMode="External" Id="rId169"/><Relationship Type="http://schemas.openxmlformats.org/officeDocument/2006/relationships/hyperlink" Target="https://pmc.ncbi.nlm.nih.gov/articles/PMC7476394/" TargetMode="External" Id="rId170"/><Relationship Type="http://schemas.openxmlformats.org/officeDocument/2006/relationships/hyperlink" Target="https://pmc.ncbi.nlm.nih.gov/articles/PMC7476394/" TargetMode="External" Id="rId171"/><Relationship Type="http://schemas.openxmlformats.org/officeDocument/2006/relationships/hyperlink" Target="https://pmc.ncbi.nlm.nih.gov/articles/PMC7476394/" TargetMode="External" Id="rId172"/><Relationship Type="http://schemas.openxmlformats.org/officeDocument/2006/relationships/hyperlink" Target="https://pmc.ncbi.nlm.nih.gov/articles/PMC7476394/" TargetMode="External" Id="rId173"/><Relationship Type="http://schemas.openxmlformats.org/officeDocument/2006/relationships/hyperlink" Target="https://pmc.ncbi.nlm.nih.gov/articles/PMC7476394/" TargetMode="External" Id="rId174"/><Relationship Type="http://schemas.openxmlformats.org/officeDocument/2006/relationships/hyperlink" Target="https://pmc.ncbi.nlm.nih.gov/articles/PMC7476394/" TargetMode="External" Id="rId175"/><Relationship Type="http://schemas.openxmlformats.org/officeDocument/2006/relationships/hyperlink" Target="https://pmc.ncbi.nlm.nih.gov/articles/PMC10770530/" TargetMode="External" Id="rId176"/><Relationship Type="http://schemas.openxmlformats.org/officeDocument/2006/relationships/hyperlink" Target="https://pmc.ncbi.nlm.nih.gov/articles/PMC10770530/" TargetMode="External" Id="rId177"/><Relationship Type="http://schemas.openxmlformats.org/officeDocument/2006/relationships/hyperlink" Target="https://pmc.ncbi.nlm.nih.gov/articles/PMC10770530/" TargetMode="External" Id="rId178"/><Relationship Type="http://schemas.openxmlformats.org/officeDocument/2006/relationships/hyperlink" Target="https://pmc.ncbi.nlm.nih.gov/articles/PMC10770530/" TargetMode="External" Id="rId179"/><Relationship Type="http://schemas.openxmlformats.org/officeDocument/2006/relationships/hyperlink" Target="https://pmc.ncbi.nlm.nih.gov/articles/PMC10770530/" TargetMode="External" Id="rId180"/><Relationship Type="http://schemas.openxmlformats.org/officeDocument/2006/relationships/hyperlink" Target="https://pmc.ncbi.nlm.nih.gov/articles/PMC10770530/" TargetMode="External" Id="rId181"/><Relationship Type="http://schemas.openxmlformats.org/officeDocument/2006/relationships/hyperlink" Target="https://pmc.ncbi.nlm.nih.gov/articles/PMC10770530/" TargetMode="External" Id="rId182"/><Relationship Type="http://schemas.openxmlformats.org/officeDocument/2006/relationships/hyperlink" Target="https://pubmed.ncbi.nlm.nih.gov/30724457/" TargetMode="External" Id="rId183"/><Relationship Type="http://schemas.openxmlformats.org/officeDocument/2006/relationships/hyperlink" Target="https://pubmed.ncbi.nlm.nih.gov/30724457/" TargetMode="External" Id="rId184"/><Relationship Type="http://schemas.openxmlformats.org/officeDocument/2006/relationships/hyperlink" Target="https://pubmed.ncbi.nlm.nih.gov/30724457/" TargetMode="External" Id="rId185"/><Relationship Type="http://schemas.openxmlformats.org/officeDocument/2006/relationships/hyperlink" Target="https://pubmed.ncbi.nlm.nih.gov/30724457/" TargetMode="External" Id="rId186"/><Relationship Type="http://schemas.openxmlformats.org/officeDocument/2006/relationships/hyperlink" Target="https://pubmed.ncbi.nlm.nih.gov/30724457/" TargetMode="External" Id="rId187"/><Relationship Type="http://schemas.openxmlformats.org/officeDocument/2006/relationships/hyperlink" Target="https://pubmed.ncbi.nlm.nih.gov/30724457/" TargetMode="External" Id="rId188"/><Relationship Type="http://schemas.openxmlformats.org/officeDocument/2006/relationships/hyperlink" Target="https://pubmed.ncbi.nlm.nih.gov/30724457/" TargetMode="External" Id="rId189"/><Relationship Type="http://schemas.openxmlformats.org/officeDocument/2006/relationships/hyperlink" Target="https://pubmed.ncbi.nlm.nih.gov/33798956/" TargetMode="External" Id="rId190"/><Relationship Type="http://schemas.openxmlformats.org/officeDocument/2006/relationships/hyperlink" Target="https://pubmed.ncbi.nlm.nih.gov/33798956/" TargetMode="External" Id="rId191"/><Relationship Type="http://schemas.openxmlformats.org/officeDocument/2006/relationships/hyperlink" Target="https://pubmed.ncbi.nlm.nih.gov/33798956/" TargetMode="External" Id="rId192"/><Relationship Type="http://schemas.openxmlformats.org/officeDocument/2006/relationships/hyperlink" Target="https://pubmed.ncbi.nlm.nih.gov/33798956/" TargetMode="External" Id="rId193"/><Relationship Type="http://schemas.openxmlformats.org/officeDocument/2006/relationships/hyperlink" Target="https://pubmed.ncbi.nlm.nih.gov/33798956/" TargetMode="External" Id="rId194"/><Relationship Type="http://schemas.openxmlformats.org/officeDocument/2006/relationships/hyperlink" Target="https://pubmed.ncbi.nlm.nih.gov/33798956/" TargetMode="External" Id="rId195"/><Relationship Type="http://schemas.openxmlformats.org/officeDocument/2006/relationships/hyperlink" Target="https://pubmed.ncbi.nlm.nih.gov/33798956/" TargetMode="External" Id="rId196"/></Relationships>
</file>

<file path=xl/worksheets/_rels/sheet8.xml.rels><Relationships xmlns="http://schemas.openxmlformats.org/package/2006/relationships"><Relationship Type="http://schemas.openxmlformats.org/officeDocument/2006/relationships/hyperlink" Target="https://pmc.ncbi.nlm.nih.gov/articles/PMC9840221/" TargetMode="External" Id="rId1"/><Relationship Type="http://schemas.openxmlformats.org/officeDocument/2006/relationships/hyperlink" Target="https://www.nature.com/articles/s41598-018-32851-y" TargetMode="External" Id="rId2"/><Relationship Type="http://schemas.openxmlformats.org/officeDocument/2006/relationships/hyperlink" Target="https://pubmed.ncbi.nlm.nih.gov/30905787/" TargetMode="External" Id="rId3"/><Relationship Type="http://schemas.openxmlformats.org/officeDocument/2006/relationships/hyperlink" Target="https://pmc.ncbi.nlm.nih.gov/articles/PMC5908412/" TargetMode="External" Id="rId4"/><Relationship Type="http://schemas.openxmlformats.org/officeDocument/2006/relationships/hyperlink" Target="https://www.sciencedirect.com/science/article/abs/pii/S1056871917301363" TargetMode="External" Id="rId5"/><Relationship Type="http://schemas.openxmlformats.org/officeDocument/2006/relationships/hyperlink" Target="https://pubmed.ncbi.nlm.nih.gov/30053440/" TargetMode="External" Id="rId6"/><Relationship Type="http://schemas.openxmlformats.org/officeDocument/2006/relationships/hyperlink" Target="https://www.sciencedirect.com/science/article/pii/S0887233317300747" TargetMode="External" Id="rId7"/><Relationship Type="http://schemas.openxmlformats.org/officeDocument/2006/relationships/hyperlink" Target="https://www.sciencedirect.com/science/article/pii/S0939641117312821" TargetMode="External" Id="rId8"/><Relationship Type="http://schemas.openxmlformats.org/officeDocument/2006/relationships/hyperlink" Target="https://pmc.ncbi.nlm.nih.gov/articles/PMC6910103/" TargetMode="External" Id="rId9"/><Relationship Type="http://schemas.openxmlformats.org/officeDocument/2006/relationships/hyperlink" Target="https://pmc.ncbi.nlm.nih.gov/articles/PMC6250652/" TargetMode="External" Id="rId10"/><Relationship Type="http://schemas.openxmlformats.org/officeDocument/2006/relationships/hyperlink" Target="https://onlinelibrary.wiley.com/doi/10.1111/exd.70137" TargetMode="External" Id="rId11"/><Relationship Type="http://schemas.openxmlformats.org/officeDocument/2006/relationships/hyperlink" Target="https://www.sciencedirect.com/science/article/pii/S0002944022000074" TargetMode="External" Id="rId12"/><Relationship Type="http://schemas.openxmlformats.org/officeDocument/2006/relationships/hyperlink" Target="https://www.sciencedirect.com/science/article/abs/pii/S0956566319306347" TargetMode="External" Id="rId13"/><Relationship Type="http://schemas.openxmlformats.org/officeDocument/2006/relationships/hyperlink" Target="https://pubmed.ncbi.nlm.nih.gov/30575205/" TargetMode="External" Id="rId14"/><Relationship Type="http://schemas.openxmlformats.org/officeDocument/2006/relationships/hyperlink" Target="https://link.springer.com/article/10.1007/s44164-025-00082-x" TargetMode="External" Id="rId15"/><Relationship Type="http://schemas.openxmlformats.org/officeDocument/2006/relationships/hyperlink" Target="https://link.springer.com/article/10.1186/s12860-021-00366-6" TargetMode="External" Id="rId16"/><Relationship Type="http://schemas.openxmlformats.org/officeDocument/2006/relationships/hyperlink" Target="https://www.mdpi.com/2079-4983/14/9/459" TargetMode="External" Id="rId17"/><Relationship Type="http://schemas.openxmlformats.org/officeDocument/2006/relationships/hyperlink" Target="https://agris.fao.org/search/en/providers/125157/records/67497a928834da021e383de0" TargetMode="External" Id="rId18"/><Relationship Type="http://schemas.openxmlformats.org/officeDocument/2006/relationships/hyperlink" Target="https://onlinelibrary.wiley.com/doi/full/10.1002/jbm.a.37831" TargetMode="External" Id="rId19"/><Relationship Type="http://schemas.openxmlformats.org/officeDocument/2006/relationships/hyperlink" Target="https://www.sciencedirect.com/science/article/pii/S2352492825015612" TargetMode="External" Id="rId20"/><Relationship Type="http://schemas.openxmlformats.org/officeDocument/2006/relationships/hyperlink" Target="https://www.isbe-online.com/?act=view&amp;id=4324&amp;mod=info&amp;ui=english" TargetMode="External" Id="rId21"/><Relationship Type="http://schemas.openxmlformats.org/officeDocument/2006/relationships/hyperlink" Target="https://link.springer.com/article/10.1007/s42452-024-06043-5" TargetMode="External" Id="rId22"/><Relationship Type="http://schemas.openxmlformats.org/officeDocument/2006/relationships/hyperlink" Target="https://pubmed.ncbi.nlm.nih.gov/35799896/" TargetMode="External" Id="rId23"/><Relationship Type="http://schemas.openxmlformats.org/officeDocument/2006/relationships/hyperlink" Target="https://www.sciencedirect.com/science/article/pii/S2405886622000471" TargetMode="External" Id="rId24"/><Relationship Type="http://schemas.openxmlformats.org/officeDocument/2006/relationships/hyperlink" Target="https://pmc.ncbi.nlm.nih.gov/articles/PMC7476394/" TargetMode="External" Id="rId25"/><Relationship Type="http://schemas.openxmlformats.org/officeDocument/2006/relationships/hyperlink" Target="https://pmc.ncbi.nlm.nih.gov/articles/PMC10770530/" TargetMode="External" Id="rId26"/><Relationship Type="http://schemas.openxmlformats.org/officeDocument/2006/relationships/hyperlink" Target="https://pubmed.ncbi.nlm.nih.gov/30724457/" TargetMode="External" Id="rId27"/><Relationship Type="http://schemas.openxmlformats.org/officeDocument/2006/relationships/hyperlink" Target="https://pubmed.ncbi.nlm.nih.gov/33798956/" TargetMode="External" Id="rId28"/></Relationships>
</file>

<file path=xl/worksheets/_rels/sheet10.xml.rels><Relationships xmlns="http://schemas.openxmlformats.org/package/2006/relationships"><Relationship Type="http://schemas.openxmlformats.org/officeDocument/2006/relationships/hyperlink" Target="https://doi.org/10.1007/s10404-025-02863-y" TargetMode="External" Id="rId1"/><Relationship Type="http://schemas.openxmlformats.org/officeDocument/2006/relationships/hyperlink" Target="https://doi.org/10.1016/j.jpba.2025.117187" TargetMode="External" Id="rId2"/><Relationship Type="http://schemas.openxmlformats.org/officeDocument/2006/relationships/hyperlink" Target="https://doi.org/10.3390/pharmaceutics11090445" TargetMode="External" Id="rId3"/><Relationship Type="http://schemas.openxmlformats.org/officeDocument/2006/relationships/hyperlink" Target="https://doi.org/10.1016/j.slast.2021.12.006" TargetMode="External" Id="rId4"/><Relationship Type="http://schemas.openxmlformats.org/officeDocument/2006/relationships/hyperlink" Target="https://doi.org/10.1039/c9lc00861f" TargetMode="External" Id="rId5"/><Relationship Type="http://schemas.openxmlformats.org/officeDocument/2006/relationships/hyperlink" Target="https://doi.org/10.1016/j.ijpharm.2020.119788" TargetMode="External" Id="rId6"/><Relationship Type="http://schemas.openxmlformats.org/officeDocument/2006/relationships/hyperlink" Target="https://doi.org/10.1007/s10404-025-02863-y" TargetMode="External" Id="rId7"/><Relationship Type="http://schemas.openxmlformats.org/officeDocument/2006/relationships/hyperlink" Target="https://doi.org/10.1016/j.jpba.2025.117187" TargetMode="External" Id="rId8"/><Relationship Type="http://schemas.openxmlformats.org/officeDocument/2006/relationships/hyperlink" Target="https://doi.org/10.3390/pharmaceutics11090445" TargetMode="External" Id="rId9"/><Relationship Type="http://schemas.openxmlformats.org/officeDocument/2006/relationships/hyperlink" Target="https://doi.org/10.1016/j.slast.2021.12.006" TargetMode="External" Id="rId10"/><Relationship Type="http://schemas.openxmlformats.org/officeDocument/2006/relationships/hyperlink" Target="https://doi.org/10.1039/c9lc00861f" TargetMode="External" Id="rId11"/><Relationship Type="http://schemas.openxmlformats.org/officeDocument/2006/relationships/hyperlink" Target="https://doi.org/10.1016/j.ijpharm.2020.119788" TargetMode="External" Id="rId12"/><Relationship Type="http://schemas.openxmlformats.org/officeDocument/2006/relationships/hyperlink" Target="https://doi.org/10.1038/s41587-022-01528-3" TargetMode="External" Id="rId13"/><Relationship Type="http://schemas.openxmlformats.org/officeDocument/2006/relationships/hyperlink" Target="https://doi.org/10.1002/adfm.202522329" TargetMode="External" Id="rId14"/><Relationship Type="http://schemas.openxmlformats.org/officeDocument/2006/relationships/hyperlink" Target="https://doi.org/10.1038/s41587-022-01528-3" TargetMode="External" Id="rId15"/><Relationship Type="http://schemas.openxmlformats.org/officeDocument/2006/relationships/hyperlink" Target="https://doi.org/10.1038/s41587-022-01528-3" TargetMode="External" Id="rId16"/><Relationship Type="http://schemas.openxmlformats.org/officeDocument/2006/relationships/hyperlink" Target="https://doi.org/10.1002/adfm.202522329" TargetMode="External" Id="rId17"/><Relationship Type="http://schemas.openxmlformats.org/officeDocument/2006/relationships/hyperlink" Target="https://doi.org/10.1038/s41587-022-01528-3" TargetMode="External" Id="rId18"/><Relationship Type="http://schemas.openxmlformats.org/officeDocument/2006/relationships/hyperlink" Target="https://doi.org/10.1002/adfm.202522329" TargetMode="External" Id="rId19"/><Relationship Type="http://schemas.openxmlformats.org/officeDocument/2006/relationships/hyperlink" Target="https://doi.org/10.1038/s41598-023-34796-3" TargetMode="External" Id="rId20"/><Relationship Type="http://schemas.openxmlformats.org/officeDocument/2006/relationships/hyperlink" Target="https://doi.org/10.1039/d4lc00898g" TargetMode="External" Id="rId21"/><Relationship Type="http://schemas.openxmlformats.org/officeDocument/2006/relationships/hyperlink" Target="https://doi.org/10.1038/s41598-023-34796-3" TargetMode="External" Id="rId22"/><Relationship Type="http://schemas.openxmlformats.org/officeDocument/2006/relationships/hyperlink" Target="https://doi.org/10.1038/s41598-021-91875-z" TargetMode="External" Id="rId23"/><Relationship Type="http://schemas.openxmlformats.org/officeDocument/2006/relationships/hyperlink" Target="https://doi.org/10.1039/d4lc00898g" TargetMode="External" Id="rId24"/><Relationship Type="http://schemas.openxmlformats.org/officeDocument/2006/relationships/hyperlink" Target="https://doi.org/10.1016/j.mtbio.2023.100703" TargetMode="External" Id="rId25"/><Relationship Type="http://schemas.openxmlformats.org/officeDocument/2006/relationships/hyperlink" Target="https://doi.org/10.3389/fbioe.2022.939629" TargetMode="External" Id="rId26"/><Relationship Type="http://schemas.openxmlformats.org/officeDocument/2006/relationships/hyperlink" Target="https://doi.org/10.7554/eLife.107813" TargetMode="External" Id="rId27"/><Relationship Type="http://schemas.openxmlformats.org/officeDocument/2006/relationships/hyperlink" Target="https://doi.org/10.1016/j.biopha.2025.118957" TargetMode="External" Id="rId28"/><Relationship Type="http://schemas.openxmlformats.org/officeDocument/2006/relationships/hyperlink" Target="https://doi.org/10.3389/fbioe.2022.939629" TargetMode="External" Id="rId29"/><Relationship Type="http://schemas.openxmlformats.org/officeDocument/2006/relationships/hyperlink" Target="https://doi.org/10.7554/eLife.107813" TargetMode="External" Id="rId30"/><Relationship Type="http://schemas.openxmlformats.org/officeDocument/2006/relationships/hyperlink" Target="https://doi.org/10.3390/pharmaceutics14081529" TargetMode="External" Id="rId31"/><Relationship Type="http://schemas.openxmlformats.org/officeDocument/2006/relationships/hyperlink" Target="https://doi.org/10.1016/j.biopha.2025.118957" TargetMode="External" Id="rId32"/><Relationship Type="http://schemas.openxmlformats.org/officeDocument/2006/relationships/hyperlink" Target="https://doi.org/10.7554/eLife.107813" TargetMode="External" Id="rId33"/><Relationship Type="http://schemas.openxmlformats.org/officeDocument/2006/relationships/hyperlink" Target="https://doi.org/10.3389/fbioe.2022.939629" TargetMode="External" Id="rId34"/><Relationship Type="http://schemas.openxmlformats.org/officeDocument/2006/relationships/hyperlink" Target="https://doi.org/10.7554/eLife.107813" TargetMode="External" Id="rId35"/><Relationship Type="http://schemas.openxmlformats.org/officeDocument/2006/relationships/hyperlink" Target="https://doi.org/10.3390/pharmaceutics14081529" TargetMode="External" Id="rId36"/><Relationship Type="http://schemas.openxmlformats.org/officeDocument/2006/relationships/hyperlink" Target="https://doi.org/10.1016/j.biopha.2025.118957" TargetMode="External" Id="rId37"/><Relationship Type="http://schemas.openxmlformats.org/officeDocument/2006/relationships/hyperlink" Target="https://doi.org/10.1126/sciadv.abg9614" TargetMode="External" Id="rId38"/><Relationship Type="http://schemas.openxmlformats.org/officeDocument/2006/relationships/hyperlink" Target="https://doi.org/10.1126/sciadv.abg9614" TargetMode="External" Id="rId39"/><Relationship Type="http://schemas.openxmlformats.org/officeDocument/2006/relationships/hyperlink" Target="https://doi.org/10.1126/sciadv.abg9614" TargetMode="External" Id="rId40"/><Relationship Type="http://schemas.openxmlformats.org/officeDocument/2006/relationships/hyperlink" Target="https://doi.org/10.1016/j.cej.2024.157673" TargetMode="External" Id="rId41"/><Relationship Type="http://schemas.openxmlformats.org/officeDocument/2006/relationships/hyperlink" Target="https://doi.org/10.1002/adhm.202301280" TargetMode="External" Id="rId42"/></Relationships>
</file>

<file path=xl/worksheets/_rels/sheet12.xml.rels><Relationships xmlns="http://schemas.openxmlformats.org/package/2006/relationships"><Relationship Type="http://schemas.openxmlformats.org/officeDocument/2006/relationships/hyperlink" Target="https://doi.org/10.1007/s10404-025-02863-y" TargetMode="External" Id="rId1"/><Relationship Type="http://schemas.openxmlformats.org/officeDocument/2006/relationships/hyperlink" Target="https://doi.org/10.1016/j.jpba.2025.117187" TargetMode="External" Id="rId2"/><Relationship Type="http://schemas.openxmlformats.org/officeDocument/2006/relationships/hyperlink" Target="https://doi.org/10.3390/pharmaceutics11090445" TargetMode="External" Id="rId3"/><Relationship Type="http://schemas.openxmlformats.org/officeDocument/2006/relationships/hyperlink" Target="https://doi.org/10.1016/j.slast.2021.12.006" TargetMode="External" Id="rId4"/><Relationship Type="http://schemas.openxmlformats.org/officeDocument/2006/relationships/hyperlink" Target="https://doi.org/10.1007/s10404-025-02863-y" TargetMode="External" Id="rId5"/><Relationship Type="http://schemas.openxmlformats.org/officeDocument/2006/relationships/hyperlink" Target="https://doi.org/10.3390/pharmaceutics11090445" TargetMode="External" Id="rId6"/><Relationship Type="http://schemas.openxmlformats.org/officeDocument/2006/relationships/hyperlink" Target="https://doi.org/10.1016/j.slast.2021.12.006" TargetMode="External" Id="rId7"/><Relationship Type="http://schemas.openxmlformats.org/officeDocument/2006/relationships/hyperlink" Target="https://doi.org/10.1039/c9lc00861f" TargetMode="External" Id="rId8"/><Relationship Type="http://schemas.openxmlformats.org/officeDocument/2006/relationships/hyperlink" Target="https://doi.org/10.1016/j.ijpharm.2020.119788" TargetMode="External" Id="rId9"/><Relationship Type="http://schemas.openxmlformats.org/officeDocument/2006/relationships/hyperlink" Target="https://doi.org/10.1007/s10404-025-02863-y" TargetMode="External" Id="rId10"/><Relationship Type="http://schemas.openxmlformats.org/officeDocument/2006/relationships/hyperlink" Target="https://doi.org/10.1016/j.jpba.2025.117187" TargetMode="External" Id="rId11"/><Relationship Type="http://schemas.openxmlformats.org/officeDocument/2006/relationships/hyperlink" Target="https://doi.org/10.1039/c9lc00861f" TargetMode="External" Id="rId12"/><Relationship Type="http://schemas.openxmlformats.org/officeDocument/2006/relationships/hyperlink" Target="https://doi.org/10.1016/j.ijpharm.2020.119788" TargetMode="External" Id="rId13"/><Relationship Type="http://schemas.openxmlformats.org/officeDocument/2006/relationships/hyperlink" Target="https://doi.org/10.1039/c9lc00861f" TargetMode="External" Id="rId14"/><Relationship Type="http://schemas.openxmlformats.org/officeDocument/2006/relationships/hyperlink" Target="https://doi.org/10.1016/j.ijpharm.2020.119788" TargetMode="External" Id="rId15"/><Relationship Type="http://schemas.openxmlformats.org/officeDocument/2006/relationships/hyperlink" Target="https://doi.org/10.1038/s41587-022-01528-3" TargetMode="External" Id="rId16"/><Relationship Type="http://schemas.openxmlformats.org/officeDocument/2006/relationships/hyperlink" Target="https://doi.org/10.1002/adfm.202522329" TargetMode="External" Id="rId17"/><Relationship Type="http://schemas.openxmlformats.org/officeDocument/2006/relationships/hyperlink" Target="https://doi.org/10.1038/s41587-022-01528-3" TargetMode="External" Id="rId18"/><Relationship Type="http://schemas.openxmlformats.org/officeDocument/2006/relationships/hyperlink" Target="https://doi.org/10.1038/s41587-022-01528-3" TargetMode="External" Id="rId19"/><Relationship Type="http://schemas.openxmlformats.org/officeDocument/2006/relationships/hyperlink" Target="https://doi.org/10.1002/adfm.202522329" TargetMode="External" Id="rId20"/><Relationship Type="http://schemas.openxmlformats.org/officeDocument/2006/relationships/hyperlink" Target="https://doi.org/10.1038/s41598-023-34796-3" TargetMode="External" Id="rId21"/><Relationship Type="http://schemas.openxmlformats.org/officeDocument/2006/relationships/hyperlink" Target="https://doi.org/10.1038/s41598-021-91875-z" TargetMode="External" Id="rId22"/><Relationship Type="http://schemas.openxmlformats.org/officeDocument/2006/relationships/hyperlink" Target="https://doi.org/10.1016/j.mtbio.2023.100703" TargetMode="External" Id="rId23"/><Relationship Type="http://schemas.openxmlformats.org/officeDocument/2006/relationships/hyperlink" Target="https://doi.org/10.1038/s41598-023-34796-3" TargetMode="External" Id="rId24"/><Relationship Type="http://schemas.openxmlformats.org/officeDocument/2006/relationships/hyperlink" Target="https://doi.org/10.1039/d4lc00898g" TargetMode="External" Id="rId25"/><Relationship Type="http://schemas.openxmlformats.org/officeDocument/2006/relationships/hyperlink" Target="https://doi.org/10.1016/j.mtbio.2023.100703" TargetMode="External" Id="rId26"/><Relationship Type="http://schemas.openxmlformats.org/officeDocument/2006/relationships/hyperlink" Target="https://doi.org/10.3389/fbioe.2022.939629" TargetMode="External" Id="rId27"/><Relationship Type="http://schemas.openxmlformats.org/officeDocument/2006/relationships/hyperlink" Target="https://doi.org/10.1016/j.biopha.2025.118957" TargetMode="External" Id="rId28"/><Relationship Type="http://schemas.openxmlformats.org/officeDocument/2006/relationships/hyperlink" Target="https://doi.org/10.3390/pharmaceutics14081529" TargetMode="External" Id="rId29"/><Relationship Type="http://schemas.openxmlformats.org/officeDocument/2006/relationships/hyperlink" Target="https://doi.org/10.1016/j.biopha.2025.118957" TargetMode="External" Id="rId30"/><Relationship Type="http://schemas.openxmlformats.org/officeDocument/2006/relationships/hyperlink" Target="https://doi.org/10.7554/eLife.107813" TargetMode="External" Id="rId31"/><Relationship Type="http://schemas.openxmlformats.org/officeDocument/2006/relationships/hyperlink" Target="https://doi.org/10.7554/eLife.107813" TargetMode="External" Id="rId32"/><Relationship Type="http://schemas.openxmlformats.org/officeDocument/2006/relationships/hyperlink" Target="https://doi.org/10.3389/fbioe.2022.939629" TargetMode="External" Id="rId33"/><Relationship Type="http://schemas.openxmlformats.org/officeDocument/2006/relationships/hyperlink" Target="https://doi.org/10.7554/eLife.107813" TargetMode="External" Id="rId34"/><Relationship Type="http://schemas.openxmlformats.org/officeDocument/2006/relationships/hyperlink" Target="https://doi.org/10.3390/pharmaceutics14081529" TargetMode="External" Id="rId35"/><Relationship Type="http://schemas.openxmlformats.org/officeDocument/2006/relationships/hyperlink" Target="https://doi.org/10.1016/j.biopha.2025.118957" TargetMode="External" Id="rId36"/><Relationship Type="http://schemas.openxmlformats.org/officeDocument/2006/relationships/hyperlink" Target="https://doi.org/10.1002/adhm.202301280" TargetMode="External" Id="rId37"/><Relationship Type="http://schemas.openxmlformats.org/officeDocument/2006/relationships/hyperlink" Target="https://doi.org/10.1126/sciadv.abg9614" TargetMode="External" Id="rId38"/><Relationship Type="http://schemas.openxmlformats.org/officeDocument/2006/relationships/hyperlink" Target="https://doi.org/10.1126/sciadv.abg9614" TargetMode="External" Id="rId39"/><Relationship Type="http://schemas.openxmlformats.org/officeDocument/2006/relationships/hyperlink" Target="https://doi.org/10.1126/sciadv.abg9614" TargetMode="External" Id="rId40"/><Relationship Type="http://schemas.openxmlformats.org/officeDocument/2006/relationships/hyperlink" Target="https://doi.org/10.1016/j.cej.2024.157673" TargetMode="External" Id="rId41"/><Relationship Type="http://schemas.openxmlformats.org/officeDocument/2006/relationships/hyperlink" Target="https://doi.org/10.1002/adhm.202301280" TargetMode="External" Id="rId42"/></Relationships>
</file>

<file path=xl/worksheets/_rels/sheet14.xml.rels><Relationships xmlns="http://schemas.openxmlformats.org/package/2006/relationships"><Relationship Type="http://schemas.openxmlformats.org/officeDocument/2006/relationships/hyperlink" Target="https://doi.org/10.1039/d4lc00898g" TargetMode="External" Id="rId1"/><Relationship Type="http://schemas.openxmlformats.org/officeDocument/2006/relationships/hyperlink" Target="https://doi.org/10.1038/s41598-023-34796-3" TargetMode="External" Id="rId2"/><Relationship Type="http://schemas.openxmlformats.org/officeDocument/2006/relationships/hyperlink" Target="https://doi.org/10.1038/s41598-021-91875-z" TargetMode="External" Id="rId3"/><Relationship Type="http://schemas.openxmlformats.org/officeDocument/2006/relationships/hyperlink" Target="https://doi.org/10.1016/j.mtbio.2023.100703" TargetMode="External" Id="rId4"/><Relationship Type="http://schemas.openxmlformats.org/officeDocument/2006/relationships/hyperlink" Target="https://doi.org/10.1007/s10404-025-02863-y" TargetMode="External" Id="rId5"/><Relationship Type="http://schemas.openxmlformats.org/officeDocument/2006/relationships/hyperlink" Target="https://doi.org/10.3389/fbioe.2022.939629" TargetMode="External" Id="rId6"/><Relationship Type="http://schemas.openxmlformats.org/officeDocument/2006/relationships/hyperlink" Target="https://doi.org/10.7554/eLife.107813" TargetMode="External" Id="rId7"/><Relationship Type="http://schemas.openxmlformats.org/officeDocument/2006/relationships/hyperlink" Target="https://doi.org/10.1016/j.jpba.2025.117187" TargetMode="External" Id="rId8"/><Relationship Type="http://schemas.openxmlformats.org/officeDocument/2006/relationships/hyperlink" Target="https://doi.org/10.1126/sciadv.abg9614" TargetMode="External" Id="rId9"/><Relationship Type="http://schemas.openxmlformats.org/officeDocument/2006/relationships/hyperlink" Target="https://doi.org/10.1016/j.cej.2024.157673" TargetMode="External" Id="rId10"/><Relationship Type="http://schemas.openxmlformats.org/officeDocument/2006/relationships/hyperlink" Target="https://doi.org/10.1002/adhm.202301280" TargetMode="External" Id="rId11"/><Relationship Type="http://schemas.openxmlformats.org/officeDocument/2006/relationships/hyperlink" Target="https://doi.org/10.1038/s41587-022-01528-3" TargetMode="External" Id="rId12"/><Relationship Type="http://schemas.openxmlformats.org/officeDocument/2006/relationships/hyperlink" Target="https://doi.org/10.1002/adfm.202522329" TargetMode="External" Id="rId13"/><Relationship Type="http://schemas.openxmlformats.org/officeDocument/2006/relationships/hyperlink" Target="https://doi.org/10.3390/pharmaceutics11090445" TargetMode="External" Id="rId14"/><Relationship Type="http://schemas.openxmlformats.org/officeDocument/2006/relationships/hyperlink" Target="https://doi.org/10.1016/j.slast.2021.12.006" TargetMode="External" Id="rId15"/><Relationship Type="http://schemas.openxmlformats.org/officeDocument/2006/relationships/hyperlink" Target="https://doi.org/10.1039/c9lc00861f" TargetMode="External" Id="rId16"/><Relationship Type="http://schemas.openxmlformats.org/officeDocument/2006/relationships/hyperlink" Target="https://doi.org/10.1016/j.ijpharm.2020.119788" TargetMode="External" Id="rId17"/><Relationship Type="http://schemas.openxmlformats.org/officeDocument/2006/relationships/hyperlink" Target="https://doi.org/10.3390/pharmaceutics14081529" TargetMode="External" Id="rId18"/><Relationship Type="http://schemas.openxmlformats.org/officeDocument/2006/relationships/hyperlink" Target="https://doi.org/10.1016/j.biopha.2025.118957" TargetMode="External" Id="rId19"/><Relationship Type="http://schemas.openxmlformats.org/officeDocument/2006/relationships/hyperlink" Target="https://doi.org/10.1039/d4lc00898g" TargetMode="External" Id="rId20"/><Relationship Type="http://schemas.openxmlformats.org/officeDocument/2006/relationships/hyperlink" Target="https://doi.org/10.1016/j.mtbio.2023.100703" TargetMode="External" Id="rId21"/><Relationship Type="http://schemas.openxmlformats.org/officeDocument/2006/relationships/hyperlink" Target="https://doi.org/10.3389/fbioe.2022.939629" TargetMode="External" Id="rId22"/><Relationship Type="http://schemas.openxmlformats.org/officeDocument/2006/relationships/hyperlink" Target="https://doi.org/10.7554/eLife.107813" TargetMode="External" Id="rId23"/><Relationship Type="http://schemas.openxmlformats.org/officeDocument/2006/relationships/hyperlink" Target="https://doi.org/10.1126/sciadv.abg9614" TargetMode="External" Id="rId24"/><Relationship Type="http://schemas.openxmlformats.org/officeDocument/2006/relationships/hyperlink" Target="https://doi.org/10.1016/j.cej.2024.157673" TargetMode="External" Id="rId25"/><Relationship Type="http://schemas.openxmlformats.org/officeDocument/2006/relationships/hyperlink" Target="https://doi.org/10.1016/j.biopha.2025.118957" TargetMode="External" Id="rId26"/><Relationship Type="http://schemas.openxmlformats.org/officeDocument/2006/relationships/hyperlink" Target="https://doi.org/10.1039/d4lc00898g" TargetMode="External" Id="rId27"/><Relationship Type="http://schemas.openxmlformats.org/officeDocument/2006/relationships/hyperlink" Target="https://doi.org/10.1038/s41598-023-34796-3" TargetMode="External" Id="rId28"/><Relationship Type="http://schemas.openxmlformats.org/officeDocument/2006/relationships/hyperlink" Target="https://doi.org/10.1038/s41598-021-91875-z" TargetMode="External" Id="rId29"/><Relationship Type="http://schemas.openxmlformats.org/officeDocument/2006/relationships/hyperlink" Target="https://doi.org/10.1016/j.mtbio.2023.100703" TargetMode="External" Id="rId30"/><Relationship Type="http://schemas.openxmlformats.org/officeDocument/2006/relationships/hyperlink" Target="https://doi.org/10.1007/s10404-025-02863-y" TargetMode="External" Id="rId31"/><Relationship Type="http://schemas.openxmlformats.org/officeDocument/2006/relationships/hyperlink" Target="https://doi.org/10.3389/fbioe.2022.939629" TargetMode="External" Id="rId32"/><Relationship Type="http://schemas.openxmlformats.org/officeDocument/2006/relationships/hyperlink" Target="https://doi.org/10.1016/j.jpba.2025.117187" TargetMode="External" Id="rId33"/><Relationship Type="http://schemas.openxmlformats.org/officeDocument/2006/relationships/hyperlink" Target="https://doi.org/10.1002/adhm.202301280" TargetMode="External" Id="rId34"/><Relationship Type="http://schemas.openxmlformats.org/officeDocument/2006/relationships/hyperlink" Target="https://doi.org/10.1039/c9lc00861f" TargetMode="External" Id="rId35"/><Relationship Type="http://schemas.openxmlformats.org/officeDocument/2006/relationships/hyperlink" Target="https://doi.org/10.1016/j.ijpharm.2020.119788" TargetMode="External" Id="rId36"/><Relationship Type="http://schemas.openxmlformats.org/officeDocument/2006/relationships/hyperlink" Target="https://doi.org/10.3390/pharmaceutics14081529" TargetMode="External" Id="rId37"/><Relationship Type="http://schemas.openxmlformats.org/officeDocument/2006/relationships/hyperlink" Target="https://doi.org/10.1016/j.biopha.2025.118957" TargetMode="External" Id="rId38"/><Relationship Type="http://schemas.openxmlformats.org/officeDocument/2006/relationships/hyperlink" Target="https://doi.org/10.1038/s41598-023-34796-3" TargetMode="External" Id="rId39"/><Relationship Type="http://schemas.openxmlformats.org/officeDocument/2006/relationships/hyperlink" Target="https://doi.org/10.1038/s41598-021-91875-z" TargetMode="External" Id="rId40"/><Relationship Type="http://schemas.openxmlformats.org/officeDocument/2006/relationships/hyperlink" Target="https://doi.org/10.3389/fbioe.2022.939629" TargetMode="External" Id="rId41"/><Relationship Type="http://schemas.openxmlformats.org/officeDocument/2006/relationships/hyperlink" Target="https://doi.org/10.7554/eLife.107813" TargetMode="External" Id="rId42"/><Relationship Type="http://schemas.openxmlformats.org/officeDocument/2006/relationships/hyperlink" Target="https://doi.org/10.1126/sciadv.abg9614" TargetMode="External" Id="rId43"/><Relationship Type="http://schemas.openxmlformats.org/officeDocument/2006/relationships/hyperlink" Target="https://doi.org/10.1016/j.cej.2024.157673" TargetMode="External" Id="rId44"/><Relationship Type="http://schemas.openxmlformats.org/officeDocument/2006/relationships/hyperlink" Target="https://doi.org/10.1002/adhm.202301280" TargetMode="External" Id="rId45"/><Relationship Type="http://schemas.openxmlformats.org/officeDocument/2006/relationships/hyperlink" Target="https://doi.org/10.1002/adfm.202522329" TargetMode="External" Id="rId46"/><Relationship Type="http://schemas.openxmlformats.org/officeDocument/2006/relationships/hyperlink" Target="https://doi.org/10.3390/pharmaceutics11090445" TargetMode="External" Id="rId47"/><Relationship Type="http://schemas.openxmlformats.org/officeDocument/2006/relationships/hyperlink" Target="https://doi.org/10.1016/j.slast.2021.12.006" TargetMode="External" Id="rId48"/><Relationship Type="http://schemas.openxmlformats.org/officeDocument/2006/relationships/hyperlink" Target="https://doi.org/10.1039/c9lc00861f" TargetMode="External" Id="rId49"/><Relationship Type="http://schemas.openxmlformats.org/officeDocument/2006/relationships/hyperlink" Target="https://doi.org/10.1016/j.ijpharm.2020.119788" TargetMode="External" Id="rId50"/><Relationship Type="http://schemas.openxmlformats.org/officeDocument/2006/relationships/hyperlink" Target="https://doi.org/10.1016/j.biopha.2025.118957" TargetMode="External" Id="rId51"/><Relationship Type="http://schemas.openxmlformats.org/officeDocument/2006/relationships/hyperlink" Target="https://doi.org/10.1039/d4lc00898g" TargetMode="External" Id="rId52"/><Relationship Type="http://schemas.openxmlformats.org/officeDocument/2006/relationships/hyperlink" Target="https://doi.org/10.1038/s41598-023-34796-3" TargetMode="External" Id="rId53"/><Relationship Type="http://schemas.openxmlformats.org/officeDocument/2006/relationships/hyperlink" Target="https://doi.org/10.1038/s41598-021-91875-z" TargetMode="External" Id="rId54"/><Relationship Type="http://schemas.openxmlformats.org/officeDocument/2006/relationships/hyperlink" Target="https://doi.org/10.1016/j.mtbio.2023.100703" TargetMode="External" Id="rId55"/><Relationship Type="http://schemas.openxmlformats.org/officeDocument/2006/relationships/hyperlink" Target="https://doi.org/10.1007/s10404-025-02863-y" TargetMode="External" Id="rId56"/><Relationship Type="http://schemas.openxmlformats.org/officeDocument/2006/relationships/hyperlink" Target="https://doi.org/10.3389/fbioe.2022.939629" TargetMode="External" Id="rId57"/><Relationship Type="http://schemas.openxmlformats.org/officeDocument/2006/relationships/hyperlink" Target="https://doi.org/10.7554/eLife.107813" TargetMode="External" Id="rId58"/><Relationship Type="http://schemas.openxmlformats.org/officeDocument/2006/relationships/hyperlink" Target="https://doi.org/10.1016/j.jpba.2025.117187" TargetMode="External" Id="rId59"/><Relationship Type="http://schemas.openxmlformats.org/officeDocument/2006/relationships/hyperlink" Target="https://doi.org/10.1002/adfm.202522329" TargetMode="External" Id="rId60"/><Relationship Type="http://schemas.openxmlformats.org/officeDocument/2006/relationships/hyperlink" Target="https://doi.org/10.3390/pharmaceutics11090445" TargetMode="External" Id="rId61"/><Relationship Type="http://schemas.openxmlformats.org/officeDocument/2006/relationships/hyperlink" Target="https://doi.org/10.1016/j.slast.2021.12.006" TargetMode="External" Id="rId62"/><Relationship Type="http://schemas.openxmlformats.org/officeDocument/2006/relationships/hyperlink" Target="https://doi.org/10.1039/c9lc00861f" TargetMode="External" Id="rId63"/><Relationship Type="http://schemas.openxmlformats.org/officeDocument/2006/relationships/hyperlink" Target="https://doi.org/10.1016/j.ijpharm.2020.119788" TargetMode="External" Id="rId64"/><Relationship Type="http://schemas.openxmlformats.org/officeDocument/2006/relationships/hyperlink" Target="https://doi.org/10.3390/pharmaceutics14081529" TargetMode="External" Id="rId65"/><Relationship Type="http://schemas.openxmlformats.org/officeDocument/2006/relationships/hyperlink" Target="https://doi.org/10.1016/j.biopha.2025.118957" TargetMode="External" Id="rId66"/><Relationship Type="http://schemas.openxmlformats.org/officeDocument/2006/relationships/hyperlink" Target="https://doi.org/10.1039/d4lc00898g" TargetMode="External" Id="rId67"/><Relationship Type="http://schemas.openxmlformats.org/officeDocument/2006/relationships/hyperlink" Target="https://doi.org/10.1038/s41598-023-34796-3" TargetMode="External" Id="rId68"/><Relationship Type="http://schemas.openxmlformats.org/officeDocument/2006/relationships/hyperlink" Target="https://doi.org/10.1038/s41598-021-91875-z" TargetMode="External" Id="rId69"/><Relationship Type="http://schemas.openxmlformats.org/officeDocument/2006/relationships/hyperlink" Target="https://doi.org/10.1016/j.mtbio.2023.100703" TargetMode="External" Id="rId70"/><Relationship Type="http://schemas.openxmlformats.org/officeDocument/2006/relationships/hyperlink" Target="https://doi.org/10.1007/s10404-025-02863-y" TargetMode="External" Id="rId71"/><Relationship Type="http://schemas.openxmlformats.org/officeDocument/2006/relationships/hyperlink" Target="https://doi.org/10.3389/fbioe.2022.939629" TargetMode="External" Id="rId72"/><Relationship Type="http://schemas.openxmlformats.org/officeDocument/2006/relationships/hyperlink" Target="https://doi.org/10.7554/eLife.107813" TargetMode="External" Id="rId73"/><Relationship Type="http://schemas.openxmlformats.org/officeDocument/2006/relationships/hyperlink" Target="https://doi.org/10.1016/j.jpba.2025.117187" TargetMode="External" Id="rId74"/><Relationship Type="http://schemas.openxmlformats.org/officeDocument/2006/relationships/hyperlink" Target="https://doi.org/10.3390/pharmaceutics11090445" TargetMode="External" Id="rId75"/><Relationship Type="http://schemas.openxmlformats.org/officeDocument/2006/relationships/hyperlink" Target="https://doi.org/10.1016/j.slast.2021.12.006" TargetMode="External" Id="rId76"/><Relationship Type="http://schemas.openxmlformats.org/officeDocument/2006/relationships/hyperlink" Target="https://doi.org/10.1039/c9lc00861f" TargetMode="External" Id="rId77"/><Relationship Type="http://schemas.openxmlformats.org/officeDocument/2006/relationships/hyperlink" Target="https://doi.org/10.1016/j.ijpharm.2020.119788" TargetMode="External" Id="rId78"/><Relationship Type="http://schemas.openxmlformats.org/officeDocument/2006/relationships/hyperlink" Target="https://doi.org/10.3390/pharmaceutics14081529" TargetMode="External" Id="rId79"/><Relationship Type="http://schemas.openxmlformats.org/officeDocument/2006/relationships/hyperlink" Target="https://doi.org/10.1016/j.biopha.2025.118957" TargetMode="External" Id="rId80"/><Relationship Type="http://schemas.openxmlformats.org/officeDocument/2006/relationships/hyperlink" Target="https://doi.org/10.1039/d4lc00898g" TargetMode="External" Id="rId81"/><Relationship Type="http://schemas.openxmlformats.org/officeDocument/2006/relationships/hyperlink" Target="https://doi.org/10.1038/s41598-023-34796-3" TargetMode="External" Id="rId82"/><Relationship Type="http://schemas.openxmlformats.org/officeDocument/2006/relationships/hyperlink" Target="https://doi.org/10.1038/s41598-021-91875-z" TargetMode="External" Id="rId83"/><Relationship Type="http://schemas.openxmlformats.org/officeDocument/2006/relationships/hyperlink" Target="https://doi.org/10.1016/j.mtbio.2023.100703" TargetMode="External" Id="rId84"/><Relationship Type="http://schemas.openxmlformats.org/officeDocument/2006/relationships/hyperlink" Target="https://doi.org/10.1007/s10404-025-02863-y" TargetMode="External" Id="rId85"/><Relationship Type="http://schemas.openxmlformats.org/officeDocument/2006/relationships/hyperlink" Target="https://doi.org/10.3389/fbioe.2022.939629" TargetMode="External" Id="rId86"/><Relationship Type="http://schemas.openxmlformats.org/officeDocument/2006/relationships/hyperlink" Target="https://doi.org/10.1016/j.jpba.2025.117187" TargetMode="External" Id="rId87"/><Relationship Type="http://schemas.openxmlformats.org/officeDocument/2006/relationships/hyperlink" Target="https://doi.org/10.1002/adfm.202522329" TargetMode="External" Id="rId88"/><Relationship Type="http://schemas.openxmlformats.org/officeDocument/2006/relationships/hyperlink" Target="https://doi.org/10.3390/pharmaceutics11090445" TargetMode="External" Id="rId89"/><Relationship Type="http://schemas.openxmlformats.org/officeDocument/2006/relationships/hyperlink" Target="https://doi.org/10.1016/j.slast.2021.12.006" TargetMode="External" Id="rId90"/><Relationship Type="http://schemas.openxmlformats.org/officeDocument/2006/relationships/hyperlink" Target="https://doi.org/10.1039/c9lc00861f" TargetMode="External" Id="rId91"/><Relationship Type="http://schemas.openxmlformats.org/officeDocument/2006/relationships/hyperlink" Target="https://doi.org/10.1016/j.ijpharm.2020.119788" TargetMode="External" Id="rId92"/><Relationship Type="http://schemas.openxmlformats.org/officeDocument/2006/relationships/hyperlink" Target="https://doi.org/10.3390/pharmaceutics14081529" TargetMode="External" Id="rId93"/><Relationship Type="http://schemas.openxmlformats.org/officeDocument/2006/relationships/hyperlink" Target="https://doi.org/10.1016/j.biopha.2025.118957" TargetMode="External" Id="rId94"/><Relationship Type="http://schemas.openxmlformats.org/officeDocument/2006/relationships/hyperlink" Target="https://doi.org/10.1039/d4lc00898g" TargetMode="External" Id="rId95"/><Relationship Type="http://schemas.openxmlformats.org/officeDocument/2006/relationships/hyperlink" Target="https://doi.org/10.1038/s41598-023-34796-3" TargetMode="External" Id="rId96"/><Relationship Type="http://schemas.openxmlformats.org/officeDocument/2006/relationships/hyperlink" Target="https://doi.org/10.1038/s41598-021-91875-z" TargetMode="External" Id="rId97"/><Relationship Type="http://schemas.openxmlformats.org/officeDocument/2006/relationships/hyperlink" Target="https://doi.org/10.1016/j.mtbio.2023.100703" TargetMode="External" Id="rId98"/><Relationship Type="http://schemas.openxmlformats.org/officeDocument/2006/relationships/hyperlink" Target="https://doi.org/10.1007/s10404-025-02863-y" TargetMode="External" Id="rId99"/><Relationship Type="http://schemas.openxmlformats.org/officeDocument/2006/relationships/hyperlink" Target="https://doi.org/10.7554/eLife.107813" TargetMode="External" Id="rId100"/><Relationship Type="http://schemas.openxmlformats.org/officeDocument/2006/relationships/hyperlink" Target="https://doi.org/10.1016/j.jpba.2025.117187" TargetMode="External" Id="rId101"/><Relationship Type="http://schemas.openxmlformats.org/officeDocument/2006/relationships/hyperlink" Target="https://doi.org/10.1002/adhm.202301280" TargetMode="External" Id="rId102"/><Relationship Type="http://schemas.openxmlformats.org/officeDocument/2006/relationships/hyperlink" Target="https://doi.org/10.3390/pharmaceutics11090445" TargetMode="External" Id="rId103"/><Relationship Type="http://schemas.openxmlformats.org/officeDocument/2006/relationships/hyperlink" Target="https://doi.org/10.1016/j.slast.2021.12.006" TargetMode="External" Id="rId104"/><Relationship Type="http://schemas.openxmlformats.org/officeDocument/2006/relationships/hyperlink" Target="https://doi.org/10.1039/c9lc00861f" TargetMode="External" Id="rId105"/><Relationship Type="http://schemas.openxmlformats.org/officeDocument/2006/relationships/hyperlink" Target="https://doi.org/10.1016/j.ijpharm.2020.119788" TargetMode="External" Id="rId106"/><Relationship Type="http://schemas.openxmlformats.org/officeDocument/2006/relationships/hyperlink" Target="https://doi.org/10.3390/pharmaceutics14081529" TargetMode="External" Id="rId107"/><Relationship Type="http://schemas.openxmlformats.org/officeDocument/2006/relationships/hyperlink" Target="https://doi.org/10.1039/d4lc00898g" TargetMode="External" Id="rId108"/><Relationship Type="http://schemas.openxmlformats.org/officeDocument/2006/relationships/hyperlink" Target="https://doi.org/10.1038/s41598-023-34796-3" TargetMode="External" Id="rId109"/><Relationship Type="http://schemas.openxmlformats.org/officeDocument/2006/relationships/hyperlink" Target="https://doi.org/10.1038/s41598-021-91875-z" TargetMode="External" Id="rId110"/><Relationship Type="http://schemas.openxmlformats.org/officeDocument/2006/relationships/hyperlink" Target="https://doi.org/10.1038/s41587-022-01528-3" TargetMode="External" Id="rId111"/><Relationship Type="http://schemas.openxmlformats.org/officeDocument/2006/relationships/hyperlink" Target="https://doi.org/10.1002/adfm.202522329" TargetMode="External" Id="rId112"/><Relationship Type="http://schemas.openxmlformats.org/officeDocument/2006/relationships/hyperlink" Target="https://doi.org/10.1002/adhm.202301280" TargetMode="External" Id="rId113"/></Relationships>
</file>

<file path=xl/worksheets/sheet1.xml><?xml version="1.0" encoding="utf-8"?>
<worksheet xmlns="http://schemas.openxmlformats.org/spreadsheetml/2006/main">
  <sheetPr>
    <outlinePr summaryBelow="1" summaryRight="1"/>
    <pageSetUpPr/>
  </sheetPr>
  <dimension ref="A1:E12"/>
  <sheetViews>
    <sheetView showGridLines="0" tabSelected="1" workbookViewId="0">
      <selection activeCell="A1" sqref="A1"/>
    </sheetView>
  </sheetViews>
  <sheetFormatPr baseColWidth="8" defaultRowHeight="15"/>
  <cols>
    <col width="22.7109375" customWidth="1" min="1" max="1"/>
    <col width="27.7109375" customWidth="1" min="2" max="5"/>
  </cols>
  <sheetData>
    <row r="1">
      <c r="A1" s="1" t="inlineStr">
        <is>
          <t>REPRODUCIBLE SOURCE DATA | 11 DESCRIPTIVE FIGURES</t>
        </is>
      </c>
    </row>
    <row r="2"/>
    <row r="3"/>
    <row r="4" ht="38" customHeight="1">
      <c r="A4" s="2" t="inlineStr">
        <is>
          <t>Status</t>
        </is>
      </c>
      <c r="B4" s="3" t="inlineStr">
        <is>
          <t>Final manuscript-aligned source register: 3 ordinal plots excluded, 11 descriptive plots retained.</t>
        </is>
      </c>
    </row>
    <row r="5" ht="38" customHeight="1">
      <c r="A5" s="2" t="inlineStr">
        <is>
          <t>Scope</t>
        </is>
      </c>
      <c r="B5" s="4" t="inlineStr">
        <is>
          <t>Narrative evidence map from selected references; not a systematic meta-analysis.</t>
        </is>
      </c>
    </row>
    <row r="6" ht="38" customHeight="1">
      <c r="A6" s="2" t="inlineStr">
        <is>
          <t>Retained figures</t>
        </is>
      </c>
      <c r="B6" s="4" t="inlineStr">
        <is>
          <t>S1-S11, renumbered from original S1,S2,S4-S10,S12,S14.</t>
        </is>
      </c>
    </row>
    <row r="7" ht="38" customHeight="1">
      <c r="A7" s="2" t="inlineStr">
        <is>
          <t>Removed figures</t>
        </is>
      </c>
      <c r="B7" s="3" t="inlineStr">
        <is>
          <t>Original S3, S11, S13; 104 related unvalidated scoring decisions omitted.</t>
        </is>
      </c>
    </row>
    <row r="8" ht="38" customHeight="1">
      <c r="A8" s="2" t="inlineStr">
        <is>
          <t>Results</t>
        </is>
      </c>
      <c r="B8" s="4" t="inlineStr">
        <is>
          <t>339/339 source-to-matrix checks; 11 figures numerically rebuilt.</t>
        </is>
      </c>
    </row>
    <row r="9" ht="38" customHeight="1">
      <c r="A9" s="2" t="inlineStr">
        <is>
          <t>Consequence</t>
        </is>
      </c>
      <c r="B9" s="3" t="inlineStr">
        <is>
          <t>The original Stage2 bibliography [404] is flagged but not yet deleted in this handoff.</t>
        </is>
      </c>
    </row>
    <row r="10" ht="38" customHeight="1">
      <c r="A10" s="2" t="inlineStr">
        <is>
          <t>Caution</t>
        </is>
      </c>
      <c r="B10" s="3" t="inlineStr">
        <is>
          <t>Numeric reproducibility is not independent scientific validation of study-level extraction.</t>
        </is>
      </c>
    </row>
    <row r="11" ht="38" customHeight="1">
      <c r="A11" s="2" t="inlineStr">
        <is>
          <t>Contents</t>
        </is>
      </c>
      <c r="B11" s="4" t="inlineStr">
        <is>
          <t>Code_Sxx records, Matrix_Sxx formula matrices, 09_Recalculation_Check cached audit.</t>
        </is>
      </c>
    </row>
    <row r="12" ht="38" customHeight="1">
      <c r="A12" s="2" t="inlineStr">
        <is>
          <t>Sources</t>
        </is>
      </c>
      <c r="B12" s="4" t="inlineStr">
        <is>
          <t>Source URLs/DOIs in Code_Sxx and Reference_Register; blank DOI is not proof of missing publication.</t>
        </is>
      </c>
    </row>
  </sheetData>
  <mergeCells count="10">
    <mergeCell ref="B9:E9"/>
    <mergeCell ref="B8:E8"/>
    <mergeCell ref="B4:E4"/>
    <mergeCell ref="B12:E12"/>
    <mergeCell ref="B6:E6"/>
    <mergeCell ref="B7:E7"/>
    <mergeCell ref="B11:E11"/>
    <mergeCell ref="A1:E2"/>
    <mergeCell ref="B5:E5"/>
    <mergeCell ref="B10:E10"/>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15"/>
  <sheetViews>
    <sheetView showGridLines="0" workbookViewId="0">
      <pane ySplit="1" topLeftCell="A2" activePane="bottomLeft" state="frozen"/>
      <selection pane="bottomLeft" activeCell="A1" sqref="A1"/>
    </sheetView>
  </sheetViews>
  <sheetFormatPr baseColWidth="8" defaultRowHeight="15"/>
  <cols>
    <col width="20.7109375" customWidth="1" min="1" max="4"/>
    <col width="82.7109375" customWidth="1" min="5" max="5"/>
  </cols>
  <sheetData>
    <row r="1">
      <c r="A1" s="2" t="inlineStr">
        <is>
          <t>Original figure</t>
        </is>
      </c>
      <c r="B1" s="2" t="inlineStr">
        <is>
          <t>New figure</t>
        </is>
      </c>
      <c r="C1" s="2" t="inlineStr">
        <is>
          <t>Source table</t>
        </is>
      </c>
      <c r="D1" s="2" t="inlineStr">
        <is>
          <t>References (current)</t>
        </is>
      </c>
      <c r="E1" s="2" t="inlineStr">
        <is>
          <t>Decision / meaning</t>
        </is>
      </c>
    </row>
    <row r="2">
      <c r="A2" s="5" t="inlineStr">
        <is>
          <t>S1</t>
        </is>
      </c>
      <c r="B2" s="5" t="inlineStr">
        <is>
          <t>S1</t>
        </is>
      </c>
      <c r="C2" s="5" t="inlineStr">
        <is>
          <t>S1</t>
        </is>
      </c>
      <c r="D2" s="5" t="n">
        <v>28</v>
      </c>
      <c r="E2" s="5" t="inlineStr">
        <is>
          <t>Retained source-coded descriptive category plot</t>
        </is>
      </c>
    </row>
    <row r="3">
      <c r="A3" s="5" t="inlineStr">
        <is>
          <t>S2</t>
        </is>
      </c>
      <c r="B3" s="5" t="inlineStr">
        <is>
          <t>S2</t>
        </is>
      </c>
      <c r="C3" s="5" t="inlineStr">
        <is>
          <t>S1</t>
        </is>
      </c>
      <c r="D3" s="5" t="n">
        <v>28</v>
      </c>
      <c r="E3" s="5" t="inlineStr">
        <is>
          <t>Retained source-coded descriptive category plot</t>
        </is>
      </c>
    </row>
    <row r="4">
      <c r="A4" s="3" t="inlineStr">
        <is>
          <t>S3</t>
        </is>
      </c>
      <c r="B4" s="3" t="inlineStr">
        <is>
          <t>REMOVED</t>
        </is>
      </c>
      <c r="C4" s="3" t="inlineStr">
        <is>
          <t>S1</t>
        </is>
      </c>
      <c r="D4" s="3" t="n">
        <v>28</v>
      </c>
      <c r="E4" s="3" t="inlineStr">
        <is>
          <t>Unsupported ordinal/hypothetical ranking excluded (author audit separately archived)</t>
        </is>
      </c>
    </row>
    <row r="5">
      <c r="A5" s="5" t="inlineStr">
        <is>
          <t>S4</t>
        </is>
      </c>
      <c r="B5" s="5" t="inlineStr">
        <is>
          <t>S3</t>
        </is>
      </c>
      <c r="C5" s="5" t="inlineStr">
        <is>
          <t>S2</t>
        </is>
      </c>
      <c r="D5" s="5" t="n">
        <v>20</v>
      </c>
      <c r="E5" s="5" t="inlineStr">
        <is>
          <t>Retained source-coded descriptive category plot</t>
        </is>
      </c>
    </row>
    <row r="6">
      <c r="A6" s="5" t="inlineStr">
        <is>
          <t>S5</t>
        </is>
      </c>
      <c r="B6" s="5" t="inlineStr">
        <is>
          <t>S4</t>
        </is>
      </c>
      <c r="C6" s="5" t="inlineStr">
        <is>
          <t>S2</t>
        </is>
      </c>
      <c r="D6" s="5" t="n">
        <v>20</v>
      </c>
      <c r="E6" s="5" t="inlineStr">
        <is>
          <t>Retained source-coded descriptive category plot</t>
        </is>
      </c>
    </row>
    <row r="7">
      <c r="A7" s="5" t="inlineStr">
        <is>
          <t>S6</t>
        </is>
      </c>
      <c r="B7" s="5" t="inlineStr">
        <is>
          <t>S5</t>
        </is>
      </c>
      <c r="C7" s="5" t="inlineStr">
        <is>
          <t>S2</t>
        </is>
      </c>
      <c r="D7" s="5" t="n">
        <v>20</v>
      </c>
      <c r="E7" s="5" t="inlineStr">
        <is>
          <t>Retained source-coded descriptive category plot</t>
        </is>
      </c>
    </row>
    <row r="8">
      <c r="A8" s="5" t="inlineStr">
        <is>
          <t>S7</t>
        </is>
      </c>
      <c r="B8" s="5" t="inlineStr">
        <is>
          <t>S6</t>
        </is>
      </c>
      <c r="C8" s="5" t="inlineStr">
        <is>
          <t>S3</t>
        </is>
      </c>
      <c r="D8" s="5" t="n">
        <v>37</v>
      </c>
      <c r="E8" s="5" t="inlineStr">
        <is>
          <t>Retained source-coded descriptive category plot</t>
        </is>
      </c>
    </row>
    <row r="9">
      <c r="A9" s="5" t="inlineStr">
        <is>
          <t>S8</t>
        </is>
      </c>
      <c r="B9" s="5" t="inlineStr">
        <is>
          <t>S7</t>
        </is>
      </c>
      <c r="C9" s="5" t="inlineStr">
        <is>
          <t>S3</t>
        </is>
      </c>
      <c r="D9" s="5" t="n">
        <v>41</v>
      </c>
      <c r="E9" s="5" t="inlineStr">
        <is>
          <t>Retained source-coded descriptive category plot</t>
        </is>
      </c>
    </row>
    <row r="10">
      <c r="A10" s="5" t="inlineStr">
        <is>
          <t>S9</t>
        </is>
      </c>
      <c r="B10" s="5" t="inlineStr">
        <is>
          <t>S8</t>
        </is>
      </c>
      <c r="C10" s="5" t="inlineStr">
        <is>
          <t>S4</t>
        </is>
      </c>
      <c r="D10" s="5" t="n">
        <v>45</v>
      </c>
      <c r="E10" s="5" t="inlineStr">
        <is>
          <t>Retained source-coded descriptive category plot</t>
        </is>
      </c>
    </row>
    <row r="11">
      <c r="A11" s="5" t="inlineStr">
        <is>
          <t>S10</t>
        </is>
      </c>
      <c r="B11" s="5" t="inlineStr">
        <is>
          <t>S9</t>
        </is>
      </c>
      <c r="C11" s="5" t="inlineStr">
        <is>
          <t>S4</t>
        </is>
      </c>
      <c r="D11" s="5" t="n">
        <v>45</v>
      </c>
      <c r="E11" s="5" t="inlineStr">
        <is>
          <t>Retained source-coded descriptive category plot</t>
        </is>
      </c>
    </row>
    <row r="12">
      <c r="A12" s="3" t="inlineStr">
        <is>
          <t>S11</t>
        </is>
      </c>
      <c r="B12" s="3" t="inlineStr">
        <is>
          <t>REMOVED</t>
        </is>
      </c>
      <c r="C12" s="3" t="inlineStr">
        <is>
          <t>S5</t>
        </is>
      </c>
      <c r="D12" s="3" t="n">
        <v>38</v>
      </c>
      <c r="E12" s="3" t="inlineStr">
        <is>
          <t>Unsupported ordinal/hypothetical ranking excluded (author audit separately archived)</t>
        </is>
      </c>
    </row>
    <row r="13">
      <c r="A13" s="5" t="inlineStr">
        <is>
          <t>S12</t>
        </is>
      </c>
      <c r="B13" s="5" t="inlineStr">
        <is>
          <t>S10</t>
        </is>
      </c>
      <c r="C13" s="5" t="inlineStr">
        <is>
          <t>S5</t>
        </is>
      </c>
      <c r="D13" s="5" t="n">
        <v>34</v>
      </c>
      <c r="E13" s="5" t="inlineStr">
        <is>
          <t>Retained source-coded descriptive category plot</t>
        </is>
      </c>
    </row>
    <row r="14">
      <c r="A14" s="3" t="inlineStr">
        <is>
          <t>S13</t>
        </is>
      </c>
      <c r="B14" s="3" t="inlineStr">
        <is>
          <t>REMOVED</t>
        </is>
      </c>
      <c r="C14" s="3" t="inlineStr">
        <is>
          <t>S5</t>
        </is>
      </c>
      <c r="D14" s="3" t="n">
        <v>38</v>
      </c>
      <c r="E14" s="3" t="inlineStr">
        <is>
          <t>Unsupported ordinal/hypothetical ranking excluded (author audit separately archived)</t>
        </is>
      </c>
    </row>
    <row r="15">
      <c r="A15" s="5" t="inlineStr">
        <is>
          <t>S14</t>
        </is>
      </c>
      <c r="B15" s="5" t="inlineStr">
        <is>
          <t>S11</t>
        </is>
      </c>
      <c r="C15" s="5" t="inlineStr">
        <is>
          <t>S5</t>
        </is>
      </c>
      <c r="D15" s="5" t="n">
        <v>34</v>
      </c>
      <c r="E15" s="5" t="inlineStr">
        <is>
          <t>Retained source-coded descriptive category plot</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476"/>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47.7109375" customWidth="1" min="2" max="2"/>
    <col width="58.7109375" customWidth="1" min="3" max="3"/>
    <col width="38.7109375" customWidth="1" min="4" max="12"/>
  </cols>
  <sheetData>
    <row r="1" ht="44" customHeight="1">
      <c r="A1" s="2" t="inlineStr">
        <is>
          <t>Reference_number</t>
        </is>
      </c>
      <c r="B1" s="2" t="inlineStr">
        <is>
          <t>Title_in_manuscript_register</t>
        </is>
      </c>
      <c r="C1" s="2" t="inlineStr">
        <is>
          <t>DOI_in_register</t>
        </is>
      </c>
      <c r="D1" s="2" t="inlineStr">
        <is>
          <t>Exact_bibliography_entry</t>
        </is>
      </c>
    </row>
    <row r="2">
      <c r="A2" s="5" t="n">
        <v>1</v>
      </c>
      <c r="B2" s="5" t="inlineStr">
        <is>
          <t>The initiation of oxidative stress and therapeutic strategies in wound healing</t>
        </is>
      </c>
      <c r="C2" s="5" t="inlineStr">
        <is>
          <t>10.1016/j.biopha.2022.114004</t>
        </is>
      </c>
      <c r="D2" s="5" t="inlineStr">
        <is>
          <t>Wang, G., et al., The initiation of oxidative stress and therapeutic strategies in wound healing. Biomedicine &amp; Pharmacotherapy, 2023. 157: p. 114004.</t>
        </is>
      </c>
    </row>
    <row r="3">
      <c r="A3" s="5" t="n">
        <v>2</v>
      </c>
      <c r="B3" s="5" t="inlineStr">
        <is>
          <t>Human wound and its burden: Updated 2025 compendium of estimates</t>
        </is>
      </c>
      <c r="C3" s="5" t="inlineStr">
        <is>
          <t>10.1177/21621918251359554</t>
        </is>
      </c>
      <c r="D3" s="5" t="inlineStr">
        <is>
          <t>Sen, C.K., Human wound and its burden: Updated 2025 compendium of estimates. 2025, SAGE Publications Sage CA: Los Angeles, CA. p. 429–438.</t>
        </is>
      </c>
    </row>
    <row r="4">
      <c r="A4" s="5" t="n">
        <v>3</v>
      </c>
      <c r="B4" s="5" t="inlineStr">
        <is>
          <t>Challenges and new therapeutic approaches in the management of chronic wounds</t>
        </is>
      </c>
      <c r="C4" s="5" t="inlineStr">
        <is>
          <t>10.2174/1389450121666200623131200</t>
        </is>
      </c>
      <c r="D4" s="5" t="inlineStr">
        <is>
          <t>Sun, H., L. Pulakat, and D.W. Anderson, Challenges and new therapeutic approaches in the management of chronic wounds. Current drug targets, 2020. 21(12): p. 1264–1275.</t>
        </is>
      </c>
    </row>
    <row r="5">
      <c r="A5" s="5" t="n">
        <v>4</v>
      </c>
      <c r="B5" s="5" t="inlineStr">
        <is>
          <t>Healing of chronic wounds: an update of recent developments and future possibilities</t>
        </is>
      </c>
      <c r="C5" s="5" t="inlineStr">
        <is>
          <t>10.1089/ten.TEB.2019.0019</t>
        </is>
      </c>
      <c r="D5" s="5" t="inlineStr">
        <is>
          <t>Kathawala, M.H., et al., Healing of chronic wounds: an update of recent developments and future possibilities. Tissue Engineering Part B: Reviews, 2019. 25(5): p. 429–444.</t>
        </is>
      </c>
    </row>
    <row r="6">
      <c r="A6" s="5" t="n">
        <v>5</v>
      </c>
      <c r="B6" s="5" t="inlineStr">
        <is>
          <t>The discovery and development of topical medicines for wound healing</t>
        </is>
      </c>
      <c r="C6" s="5" t="inlineStr">
        <is>
          <t>10.1080/17460441.2019.1588879</t>
        </is>
      </c>
      <c r="D6" s="5" t="inlineStr">
        <is>
          <t>Öhnstedt, E., et al., The discovery and development of topical medicines for wound healing. Expert opinion on drug discovery, 2019. 14(5): p. 485–497.</t>
        </is>
      </c>
    </row>
    <row r="7">
      <c r="A7" s="5" t="n">
        <v>6</v>
      </c>
      <c r="B7" s="5" t="inlineStr">
        <is>
          <t>Innovative treatment strategies to accelerate wound healing: trajectory and recent advancements</t>
        </is>
      </c>
      <c r="C7" s="5" t="inlineStr">
        <is>
          <t>10.3390/cells11152439</t>
        </is>
      </c>
      <c r="D7" s="5" t="inlineStr">
        <is>
          <t>Kolimi, P., et al., Innovative treatment strategies to accelerate wound healing: trajectory and recent advancements. Cells, 2022. 11(15): p. 2439.</t>
        </is>
      </c>
    </row>
    <row r="8">
      <c r="A8" s="5" t="n">
        <v>7</v>
      </c>
      <c r="B8" s="5" t="inlineStr">
        <is>
          <t>Clinically Unmet Needs of Conventional Diabetic Foot Ulcer Dressings</t>
        </is>
      </c>
      <c r="C8" s="5" t="inlineStr">
        <is>
          <t>10.1021/acsmaterialslett.5c00971</t>
        </is>
      </c>
      <c r="D8" s="5" t="inlineStr">
        <is>
          <t>Hsu, C.-W.R., et al., Clinically Unmet Needs of Conventional Diabetic Foot Ulcer Dressings. ACS Materials Letters, 2025. 8(1): p. 2–15.</t>
        </is>
      </c>
    </row>
    <row r="9">
      <c r="A9" s="5" t="n">
        <v>8</v>
      </c>
      <c r="B9" s="5" t="inlineStr">
        <is>
          <t>Food and Drug Administration perspective: Advancing product development for non‐healing chronic wounds</t>
        </is>
      </c>
      <c r="C9" s="5" t="inlineStr">
        <is>
          <t>10.1111/wrr.13008</t>
        </is>
      </c>
      <c r="D9" s="5" t="inlineStr">
        <is>
          <t>Verma, K.D., et al., Food and Drug Administration perspective: Advancing product development for non‐healing chronic wounds. Wound Repair and Regeneration, 2022. 30(3): p. 299–302.</t>
        </is>
      </c>
    </row>
    <row r="10">
      <c r="A10" s="5" t="n">
        <v>9</v>
      </c>
      <c r="B10" s="5" t="inlineStr">
        <is>
          <t>Limited treatment options for diabetic wounds: barriers to clinical translation despite therapeutic success in murine models</t>
        </is>
      </c>
      <c r="C10" s="5" t="inlineStr">
        <is>
          <t>10.1089/wound.2020.1254</t>
        </is>
      </c>
      <c r="D10" s="5" t="inlineStr">
        <is>
          <t>Barakat, M., L.A. DiPietro, and L. Chen, Limited treatment options for diabetic wounds: barriers to clinical translation despite therapeutic success in murine models. Advances in Wound Care, 2021. 10(8): p. 436–460.</t>
        </is>
      </c>
    </row>
    <row r="11">
      <c r="A11" s="5" t="n">
        <v>10</v>
      </c>
      <c r="B11" s="5" t="inlineStr">
        <is>
          <t>Translational development of ABCB5+ dermal mesenchymal stem cells for therapeutic induction of angiogenesis in non-healing diabetic foot ulcers</t>
        </is>
      </c>
      <c r="C11" s="5" t="inlineStr">
        <is>
          <t>10.1186/s13287-022-03156-9</t>
        </is>
      </c>
      <c r="D11" s="5" t="inlineStr">
        <is>
          <t>Kerstan, A., et al., Translational development of ABCB5+ dermal mesenchymal stem cells for therapeutic induction of angiogenesis in non-healing diabetic foot ulcers. Stem cell research &amp; therapy, 2022. 13(1): p. 455.</t>
        </is>
      </c>
    </row>
    <row r="12">
      <c r="A12" s="5" t="n">
        <v>11</v>
      </c>
      <c r="B12" s="5" t="inlineStr">
        <is>
          <t>Challenges faced in developing an ideal chronic wound model</t>
        </is>
      </c>
      <c r="C12" s="5" t="inlineStr">
        <is>
          <t>10.1080/17460441.2023.2158809</t>
        </is>
      </c>
      <c r="D12" s="5" t="inlineStr">
        <is>
          <t>Tan, M.L.L., et al., Challenges faced in developing an ideal chronic wound model. Expert opinion on drug discovery, 2023. 18(1): p. 99–114.</t>
        </is>
      </c>
    </row>
    <row r="13">
      <c r="A13" s="5" t="n">
        <v>12</v>
      </c>
      <c r="B13" s="5" t="inlineStr">
        <is>
          <t>Advances in, and prospects of, 3D preclinical models for skin drug discovery</t>
        </is>
      </c>
      <c r="C13" s="5" t="inlineStr">
        <is>
          <t>10.1016/j.drudis.2024.104208</t>
        </is>
      </c>
      <c r="D13" s="5" t="inlineStr">
        <is>
          <t>Imran, M., et al., Advances in, and prospects of, 3D preclinical models for skin drug discovery. Drug Discovery Today, 2024. 29(12): p. 104208.</t>
        </is>
      </c>
    </row>
    <row r="14">
      <c r="A14" s="5" t="n">
        <v>13</v>
      </c>
      <c r="B14" s="5" t="inlineStr">
        <is>
          <t>Toward developing immunocompetent diabetic foot ulcer-on-a-chip models for drug testing</t>
        </is>
      </c>
      <c r="C14" s="5" t="inlineStr">
        <is>
          <t>10.1089/ten.TEC.2020.0331</t>
        </is>
      </c>
      <c r="D14" s="5" t="inlineStr">
        <is>
          <t>Ejiugwo, M., et al., Toward developing immunocompetent diabetic foot ulcer-on-a-chip models for drug testing. Tissue Engineering Part C: Methods, 2021. 27(2): p. 77–88.</t>
        </is>
      </c>
    </row>
    <row r="15">
      <c r="A15" s="5" t="n">
        <v>14</v>
      </c>
      <c r="B15" s="5" t="inlineStr">
        <is>
          <t>Wound management materials and technologies from bench to bedside and beyond</t>
        </is>
      </c>
      <c r="C15" s="5" t="inlineStr">
        <is>
          <t>10.1038/s41578-024-00693-y</t>
        </is>
      </c>
      <c r="D15" s="5" t="inlineStr">
        <is>
          <t>Wang, C., et al., Wound management materials and technologies from bench to bedside and beyond. Nature Reviews Materials, 2024. 9(8): p. 550–566.</t>
        </is>
      </c>
    </row>
    <row r="16">
      <c r="A16" s="5" t="n">
        <v>15</v>
      </c>
      <c r="B16" s="5" t="inlineStr">
        <is>
          <t>Innovative therapies for diabetic foot ulcers: application and prospects of smart dressings</t>
        </is>
      </c>
      <c r="C16" s="5" t="inlineStr">
        <is>
          <t>10.1016/j.biopha.2025.118498</t>
        </is>
      </c>
      <c r="D16" s="5" t="inlineStr">
        <is>
          <t>Zhao, X., et al., Innovative therapies for diabetic foot ulcers: application and prospects of smart dressings. Biomedicine &amp; Pharmacotherapy, 2025. 191: p. 118498.</t>
        </is>
      </c>
    </row>
    <row r="17">
      <c r="A17" s="5" t="n">
        <v>16</v>
      </c>
      <c r="B17" s="5" t="inlineStr">
        <is>
          <t>Continuous self‐oxygenated double‐layered hydrogel under natural light for real‐time infection monitoring, enhanced photodynamic therapy, and hypoxia relief in refractory diabetic wounds healing</t>
        </is>
      </c>
      <c r="C17" s="5" t="inlineStr">
        <is>
          <t>10.1002/adfm.202201875</t>
        </is>
      </c>
      <c r="D17" s="5" t="inlineStr">
        <is>
          <t>Zhu, Z., et al., Continuous self‐oxygenated double‐layered hydrogel under natural light for real‐time infection monitoring, enhanced photodynamic therapy, and hypoxia relief in refractory diabetic wounds healing. Advanced Functional Materials, 2022. 32(32): p. 2201875.</t>
        </is>
      </c>
    </row>
    <row r="18">
      <c r="A18" s="5" t="n">
        <v>17</v>
      </c>
      <c r="B18" s="5" t="inlineStr">
        <is>
          <t>Sustained oxygenation accelerates diabetic wound healing by promoting epithelialization and angiogenesis and decreasing inflammation</t>
        </is>
      </c>
      <c r="C18" s="5" t="inlineStr">
        <is>
          <t>10.1126/sciadv.abj0153</t>
        </is>
      </c>
      <c r="D18" s="5" t="inlineStr">
        <is>
          <t>Guan, Y., et al., Sustained oxygenation accelerates diabetic wound healing by promoting epithelialization and angiogenesis and decreasing inflammation. Science advances, 2021. 7(35): p. eabj0153.</t>
        </is>
      </c>
    </row>
    <row r="19">
      <c r="A19" s="5" t="n">
        <v>18</v>
      </c>
      <c r="B19" s="5" t="inlineStr">
        <is>
          <t>Biodegradable Oxygen‐Generating Microneedle Patches for Regenerative Medicine Applications</t>
        </is>
      </c>
      <c r="C19" s="5" t="inlineStr">
        <is>
          <t>10.1002/anbr.202400093</t>
        </is>
      </c>
      <c r="D19" s="5" t="inlineStr">
        <is>
          <t>Barnum, L., et al., Biodegradable Oxygen‐Generating Microneedle Patches for Regenerative Medicine Applications. Advanced NanoBiomed Research, 2025. 5(1): p. 2400093.</t>
        </is>
      </c>
    </row>
    <row r="20">
      <c r="A20" s="5" t="n">
        <v>19</v>
      </c>
      <c r="B20" s="5" t="inlineStr">
        <is>
          <t>Progress in the application of artificial intelligence in skin wound assessment and prediction of healing time</t>
        </is>
      </c>
      <c r="C20" s="5" t="inlineStr">
        <is>
          <t>10.62347/MYHE3488</t>
        </is>
      </c>
      <c r="D20" s="5" t="inlineStr">
        <is>
          <t>Chen, M.-Y., M.-Q. Cao, and T.-Y. Xu, Progress in the application of artificial intelligence in skin wound assessment and prediction of healing time. American Journal of Translational Research, 2024. 16(7): p. 2765.</t>
        </is>
      </c>
    </row>
    <row r="21">
      <c r="A21" s="5" t="n">
        <v>20</v>
      </c>
      <c r="B21" s="5" t="inlineStr">
        <is>
          <t>Predicting chronic wound healing time using machine learning</t>
        </is>
      </c>
      <c r="C21" s="5" t="inlineStr">
        <is>
          <t>10.1089/wound.2021.0073</t>
        </is>
      </c>
      <c r="D21" s="5" t="inlineStr">
        <is>
          <t>Berezo, M., et al., Predicting chronic wound healing time using machine learning. Advances in wound care, 2022. 11(6): p. 281–296.</t>
        </is>
      </c>
    </row>
    <row r="22">
      <c r="A22" s="5" t="n">
        <v>21</v>
      </c>
      <c r="B22" s="5" t="inlineStr">
        <is>
          <t>The enlightening role of explainable artificial intelligence in chronic wound classification</t>
        </is>
      </c>
      <c r="C22" s="5" t="inlineStr">
        <is>
          <t>10.3390/electronics10121406</t>
        </is>
      </c>
      <c r="D22" s="5" t="inlineStr">
        <is>
          <t>Sarp, S., et al., The enlightening role of explainable artificial intelligence in chronic wound classification. Electronics, 2021. 10(12): p. 1406.</t>
        </is>
      </c>
    </row>
    <row r="23">
      <c r="A23" s="5" t="n">
        <v>22</v>
      </c>
      <c r="B23" s="5" t="inlineStr">
        <is>
          <t>Artificial intelligence-assisted bioinformatics, microneedle, and diabetic wound healing: a “new deal” of an old drug</t>
        </is>
      </c>
      <c r="C23" s="5" t="inlineStr">
        <is>
          <t>10.1021/acsami.2c08994</t>
        </is>
      </c>
      <c r="D23" s="5" t="inlineStr">
        <is>
          <t>Xue, Y., et al., Artificial intelligence-assisted bioinformatics, microneedle, and diabetic wound healing: a “new deal” of an old drug. ACS applied materials &amp; interfaces, 2022. 14(33): p. 37396–37409.</t>
        </is>
      </c>
    </row>
    <row r="24">
      <c r="A24" s="5" t="n">
        <v>23</v>
      </c>
      <c r="B24" s="5" t="inlineStr">
        <is>
          <t>Machine learning combining external validation to explore the immunopathogenesis of diabetic foot ulcer and predict therapeutic drugs</t>
        </is>
      </c>
      <c r="C24" s="5" t="inlineStr">
        <is>
          <t>10.1371/journal.pone.0328906</t>
        </is>
      </c>
      <c r="D24" s="5" t="inlineStr">
        <is>
          <t>Lu, Z., et al., Machine learning combining external validation to explore the immunopathogenesis of diabetic foot ulcer and predict therapeutic drugs. Plos one, 2025. 20(8): p. e0328906.</t>
        </is>
      </c>
    </row>
    <row r="25">
      <c r="A25" s="5" t="n">
        <v>24</v>
      </c>
      <c r="B25" s="5" t="inlineStr">
        <is>
          <t>Microfluidic skin‐on‐a‐chip models: Toward biomimetic artificial skin</t>
        </is>
      </c>
      <c r="C25" s="5" t="inlineStr"/>
      <c r="D25" s="5" t="inlineStr">
        <is>
          <t>Sutterby, E., et al., Microfluidic skin‐on‐a‐chip models: Toward biomimetic artificial skin. Small, 2020. 16(39): p. 2002515.</t>
        </is>
      </c>
    </row>
    <row r="26">
      <c r="A26" s="5" t="n">
        <v>25</v>
      </c>
      <c r="B26" s="5" t="inlineStr">
        <is>
          <t>Fibroblast derived skin wound healing modeling on chip under the influence of micro-capillary shear stress</t>
        </is>
      </c>
      <c r="C26" s="5" t="inlineStr"/>
      <c r="D26" s="5" t="inlineStr">
        <is>
          <t>Gupta, S., et al., Fibroblast derived skin wound healing modeling on chip under the influence of micro-capillary shear stress. Micromachines, 2022. 13(2): p. 305.</t>
        </is>
      </c>
    </row>
    <row r="27">
      <c r="A27" s="5" t="n">
        <v>26</v>
      </c>
      <c r="B27" s="5" t="inlineStr">
        <is>
          <t>Full-thickness perfused skin-on-a-chip with in vivo-like drug response for drug and cosmetics testing</t>
        </is>
      </c>
      <c r="C27" t="inlineStr"/>
      <c r="D27" s="5" t="inlineStr">
        <is>
          <t>Rhee, S., et al., Full-thickness perfused skin-on-a-chip with in vivo-like drug response for drug and cosmetics testing. Bioengineering, 2024. 11(11): p. 1055.</t>
        </is>
      </c>
    </row>
    <row r="28">
      <c r="A28" s="5" t="n">
        <v>27</v>
      </c>
      <c r="B28" s="5" t="inlineStr">
        <is>
          <t>Smart closed-loop drug delivery systems</t>
        </is>
      </c>
      <c r="C28" t="inlineStr"/>
      <c r="D28" s="5" t="inlineStr">
        <is>
          <t>Paci, M.M., et al., Smart closed-loop drug delivery systems. Nature Reviews Bioengineering, 2025. 3(10): p. 816–834.</t>
        </is>
      </c>
    </row>
    <row r="29">
      <c r="A29" s="5" t="n">
        <v>28</v>
      </c>
      <c r="B29" s="5" t="inlineStr">
        <is>
          <t>Human relevant platforms for cutaneous wound healing research: current landscape, translational gaps, and emerging frontiers</t>
        </is>
      </c>
      <c r="C29" t="inlineStr">
        <is>
          <t>10.3389/fbioe.2026.1917429</t>
        </is>
      </c>
      <c r="D29" s="5" t="inlineStr">
        <is>
          <t>Latheef, F. and K. Suthindhiran, Human relevant platforms for cutaneous wound healing research: current landscape, translational gaps, and emerging frontiers. Frontiers in Bioengineering and Biotechnology, 2026. 14: p. 1917429.</t>
        </is>
      </c>
    </row>
    <row r="30">
      <c r="A30" s="5" t="n">
        <v>29</v>
      </c>
      <c r="B30" s="5" t="inlineStr">
        <is>
          <t>Advances in skin-on-a-chip technology: functional innovations and translational challenges</t>
        </is>
      </c>
      <c r="C30" t="inlineStr">
        <is>
          <t>10.1016/j.trac.2025.118500</t>
        </is>
      </c>
      <c r="D30" s="5" t="inlineStr">
        <is>
          <t>Zhang, J., et al., Advances in skin-on-a-chip technology: functional innovations and translational challenges. TrAC Trends in Analytical Chemistry, 2025: p. 118500.</t>
        </is>
      </c>
    </row>
    <row r="31">
      <c r="A31" s="5" t="n">
        <v>30</v>
      </c>
      <c r="B31" s="5" t="inlineStr">
        <is>
          <t>Bio-inks for skin regeneration: phase-adaptive design, multifunctional platforms, and 4D bioprinting frontiers</t>
        </is>
      </c>
      <c r="C31" t="inlineStr">
        <is>
          <t>10.3389/fbioe.2026.1919338</t>
        </is>
      </c>
      <c r="D31" s="5" t="inlineStr">
        <is>
          <t>Bahrami, G., et al., Bio-inks for skin regeneration: phase-adaptive design, multifunctional platforms, and 4D bioprinting frontiers. Frontiers in Bioengineering and Biotechnology, 2026. 14: p. 1919338.</t>
        </is>
      </c>
    </row>
    <row r="32">
      <c r="A32" s="5" t="n">
        <v>31</v>
      </c>
      <c r="B32" s="5" t="inlineStr">
        <is>
          <t>The synergy of artificial intelligence and organ-on-a-chip: building a next-generation intelligent engine for drug development</t>
        </is>
      </c>
      <c r="C32" t="inlineStr">
        <is>
          <t>10.1016/j.ijpharm.2026.127339</t>
        </is>
      </c>
      <c r="D32" s="5" t="inlineStr">
        <is>
          <t>Yong, Q., et al., The synergy of artificial intelligence and organ-on-a-chip: building a next-generation intelligent engine for drug development. International Journal of Pharmaceutics, 2026: p. 127339.</t>
        </is>
      </c>
    </row>
    <row r="33">
      <c r="A33" s="5" t="n">
        <v>32</v>
      </c>
      <c r="B33" s="5" t="inlineStr">
        <is>
          <t>Wound healing: cellular mechanisms and pathological outcomes</t>
        </is>
      </c>
      <c r="C33" t="inlineStr">
        <is>
          <t>10.1098/rsob.200223</t>
        </is>
      </c>
      <c r="D33" s="5" t="inlineStr">
        <is>
          <t>Wilkinson, H.N. and M.J. Hardman, Wound healing: cellular mechanisms and pathological outcomes. Open biology, 2020. 10(9).</t>
        </is>
      </c>
    </row>
    <row r="34">
      <c r="A34" s="5" t="n">
        <v>33</v>
      </c>
      <c r="B34" s="5" t="inlineStr">
        <is>
          <t>Immunology of acute and chronic wound healing</t>
        </is>
      </c>
      <c r="C34" t="inlineStr">
        <is>
          <t>10.3390/biom11050700</t>
        </is>
      </c>
      <c r="D34" s="5" t="inlineStr">
        <is>
          <t>Raziyeva, K., et al., Immunology of acute and chronic wound healing. Biomolecules, 2021. 11(5): p. 700.</t>
        </is>
      </c>
    </row>
    <row r="35">
      <c r="A35" s="5" t="n">
        <v>34</v>
      </c>
      <c r="B35" s="5" t="inlineStr">
        <is>
          <t>Emerging Technologies and Solutions for Chronic Wound Care and Diagnosis</t>
        </is>
      </c>
      <c r="C35" t="inlineStr"/>
      <c r="D35" s="5" t="inlineStr">
        <is>
          <t>Matoori, S. and E. Engel, Emerging Technologies and Solutions for Chronic Wound Care and Diagnosis. 2025, ACS Publications. p. 1435–1437.</t>
        </is>
      </c>
    </row>
    <row r="36">
      <c r="A36" s="5" t="n">
        <v>35</v>
      </c>
      <c r="B36" s="5" t="inlineStr">
        <is>
          <t>The impact of prolonged inflammation on wound healing</t>
        </is>
      </c>
      <c r="C36" t="inlineStr"/>
      <c r="D36" s="5" t="inlineStr">
        <is>
          <t>Holzer-Geissler, J.C., et al., The impact of prolonged inflammation on wound healing. Biomedicines, 2022. 10(4): p. 856.</t>
        </is>
      </c>
    </row>
    <row r="37">
      <c r="A37" s="5" t="n">
        <v>36</v>
      </c>
      <c r="B37" s="5" t="inlineStr">
        <is>
          <t>Deregulated immune cell recruitment orchestrated by FOXM1 impairs human diabetic wound healing</t>
        </is>
      </c>
      <c r="C37" t="inlineStr"/>
      <c r="D37" s="5" t="inlineStr">
        <is>
          <t>Sawaya, A.P., et al., Deregulated immune cell recruitment orchestrated by FOXM1 impairs human diabetic wound healing. Nature communications, 2020. 11(1): p. 4678.</t>
        </is>
      </c>
    </row>
    <row r="38">
      <c r="A38" s="5" t="n">
        <v>37</v>
      </c>
      <c r="B38" s="5" t="inlineStr">
        <is>
          <t>The epidermal keratinocyte as a therapeutic target for management of diabetic wounds</t>
        </is>
      </c>
      <c r="C38" t="inlineStr"/>
      <c r="D38" s="5" t="inlineStr">
        <is>
          <t>Fang, W.-C. and C.-C.E. Lan, The epidermal keratinocyte as a therapeutic target for management of diabetic wounds. International Journal of Molecular Sciences, 2023. 24(5): p. 4290.</t>
        </is>
      </c>
    </row>
    <row r="39">
      <c r="A39" s="5" t="n">
        <v>38</v>
      </c>
      <c r="B39" s="5" t="inlineStr">
        <is>
          <t>Keratinocyte function in normal and diabetic wounds and modulation by FOXO1</t>
        </is>
      </c>
      <c r="C39" t="inlineStr"/>
      <c r="D39" s="5" t="inlineStr">
        <is>
          <t>Wang, Y. and D.T. Graves, Keratinocyte function in normal and diabetic wounds and modulation by FOXO1. Journal of Diabetes Research, 2020. 2020(1): p. 3714704.</t>
        </is>
      </c>
    </row>
    <row r="40">
      <c r="A40" s="5" t="n">
        <v>39</v>
      </c>
      <c r="B40" s="5" t="inlineStr">
        <is>
          <t>Amniotic epithelial cells accelerate diabetic wound healing by protecting keratinocytes and fibroblasts from high‐glucose‐induced senescence</t>
        </is>
      </c>
      <c r="C40" t="inlineStr"/>
      <c r="D40" s="5" t="inlineStr">
        <is>
          <t>Shu, F., et al., Amniotic epithelial cells accelerate diabetic wound healing by protecting keratinocytes and fibroblasts from high‐glucose‐induced senescence. Cell Biology International, 2022. 46(5): p. 755–770.</t>
        </is>
      </c>
    </row>
    <row r="41">
      <c r="A41" s="5" t="n">
        <v>40</v>
      </c>
      <c r="B41" s="5" t="inlineStr">
        <is>
          <t>EGCG restores keratinocyte autophagy to promote diabetic wound healing through the AMPK/ULK1 pathway</t>
        </is>
      </c>
      <c r="C41" t="inlineStr"/>
      <c r="D41" s="5" t="inlineStr">
        <is>
          <t>Tian, C., et al., EGCG restores keratinocyte autophagy to promote diabetic wound healing through the AMPK/ULK1 pathway. Frontiers in Bioscience-Landmark, 2023. 28(12): p. 324.</t>
        </is>
      </c>
    </row>
    <row r="42">
      <c r="A42" s="5" t="n">
        <v>41</v>
      </c>
      <c r="B42" s="5" t="inlineStr">
        <is>
          <t>Human wound and its burden: updated 2022 compendium of estimates</t>
        </is>
      </c>
      <c r="C42" t="inlineStr"/>
      <c r="D42" s="5" t="inlineStr">
        <is>
          <t>Sen, C.K., Human wound and its burden: updated 2022 compendium of estimates. 2023, SAGE Publications Sage CA: Los Angeles, CA. p. 657–670.</t>
        </is>
      </c>
    </row>
    <row r="43">
      <c r="A43" s="5" t="n">
        <v>42</v>
      </c>
      <c r="B43" s="5" t="inlineStr">
        <is>
          <t>Fibroblasts in diabetic foot ulcers</t>
        </is>
      </c>
      <c r="C43" t="inlineStr"/>
      <c r="D43" s="5" t="inlineStr">
        <is>
          <t>Voza, F.A., et al., Fibroblasts in diabetic foot ulcers. International journal of molecular sciences, 2024. 25(4): p. 2172.</t>
        </is>
      </c>
    </row>
    <row r="44">
      <c r="A44" s="5" t="n">
        <v>43</v>
      </c>
      <c r="B44" s="5" t="inlineStr">
        <is>
          <t>Diabetic wound healing: The impact of diabetes on myofibroblast activity and its potential therapeutic treatments</t>
        </is>
      </c>
      <c r="C44" t="inlineStr"/>
      <c r="D44" s="5" t="inlineStr">
        <is>
          <t>Wan, R., et al., Diabetic wound healing: The impact of diabetes on myofibroblast activity and its potential therapeutic treatments. Wound Repair and Regeneration, 2021. 29(4): p. 573–581.</t>
        </is>
      </c>
    </row>
    <row r="45">
      <c r="A45" s="5" t="n">
        <v>44</v>
      </c>
      <c r="B45" s="5" t="inlineStr">
        <is>
          <t>Fibroblast Dysfunction and Immune Dysregulation Impair Palatal Wound Healing in Diabetic Rats</t>
        </is>
      </c>
      <c r="C45" t="inlineStr"/>
      <c r="D45" s="5" t="inlineStr">
        <is>
          <t>Pan, L., et al., Fibroblast Dysfunction and Immune Dysregulation Impair Palatal Wound Healing in Diabetic Rats. International Dental Journal, 2025. 75(6): p. 103894.</t>
        </is>
      </c>
    </row>
    <row r="46">
      <c r="A46" s="5" t="n">
        <v>45</v>
      </c>
      <c r="B46" s="5" t="inlineStr">
        <is>
          <t>Macrophage dysregulation and impaired skin wound healing in diabetes</t>
        </is>
      </c>
      <c r="C46" t="inlineStr"/>
      <c r="D46" s="5" t="inlineStr">
        <is>
          <t>Barman, P.K. and T.J. Koh, Macrophage dysregulation and impaired skin wound healing in diabetes. Frontiers in cell and developmental biology, 2020. 8: p. 528.</t>
        </is>
      </c>
    </row>
    <row r="47">
      <c r="A47" s="5" t="n">
        <v>46</v>
      </c>
      <c r="B47" s="5" t="inlineStr">
        <is>
          <t>The role of macrophages in acute and chronic wound healing and interventions to promote pro-wound healing phenotypes</t>
        </is>
      </c>
      <c r="C47" t="inlineStr"/>
      <c r="D47" s="5" t="inlineStr">
        <is>
          <t>Krzyszczyk, P., et al., The role of macrophages in acute and chronic wound healing and interventions to promote pro-wound healing phenotypes. Frontiers in physiology, 2018. 9: p. 419.</t>
        </is>
      </c>
    </row>
    <row r="48">
      <c r="A48" s="5" t="n">
        <v>47</v>
      </c>
      <c r="B48" s="5" t="inlineStr">
        <is>
          <t>Macrophage polarity and wound age determination</t>
        </is>
      </c>
      <c r="C48" t="inlineStr"/>
      <c r="D48" s="5" t="inlineStr">
        <is>
          <t>Kuninaka, Y., et al., Macrophage polarity and wound age determination. Scientific Reports, 2022. 12(1): p. 20327.</t>
        </is>
      </c>
    </row>
    <row r="49">
      <c r="A49" s="5" t="n">
        <v>48</v>
      </c>
      <c r="B49" s="5" t="inlineStr">
        <is>
          <t>Role of macrophage polarisation in skin wound healing</t>
        </is>
      </c>
      <c r="C49" t="inlineStr"/>
      <c r="D49" s="5" t="inlineStr">
        <is>
          <t>Gao, X., et al., Role of macrophage polarisation in skin wound healing. International wound journal, 2023. 20(7): p. 2551–2562.</t>
        </is>
      </c>
    </row>
    <row r="50">
      <c r="A50" s="5" t="n">
        <v>49</v>
      </c>
      <c r="B50" s="5" t="inlineStr">
        <is>
          <t>IL-33 improves wound healing through enhanced M2 macrophage polarization in diabetic mice</t>
        </is>
      </c>
      <c r="C50" t="inlineStr"/>
      <c r="D50" s="5" t="inlineStr">
        <is>
          <t>He, R., et al., IL-33 improves wound healing through enhanced M2 macrophage polarization in diabetic mice. Molecular immunology, 2017. 90: p. 42–49.</t>
        </is>
      </c>
    </row>
    <row r="51">
      <c r="A51" s="5" t="n">
        <v>50</v>
      </c>
      <c r="B51" s="5" t="inlineStr">
        <is>
          <t>M2-polarized macrophages mediate wound healing by regulating connective tissue growth factor via AKT, ERK1/2, and STAT3 signaling pathways</t>
        </is>
      </c>
      <c r="C51" t="inlineStr"/>
      <c r="D51" s="5" t="inlineStr">
        <is>
          <t>Zhang, S.-M., et al., M2-polarized macrophages mediate wound healing by regulating connective tissue growth factor via AKT, ERK1/2, and STAT3 signaling pathways. Molecular Biology Reports, 2021. 48(9): p. 6443–6456.</t>
        </is>
      </c>
    </row>
    <row r="52">
      <c r="A52" s="5" t="n">
        <v>51</v>
      </c>
      <c r="B52" s="5" t="inlineStr">
        <is>
          <t>High glucose-induced STING activation inhibits diabetic wound healing through promoting M1 polarization of macrophages</t>
        </is>
      </c>
      <c r="C52" t="inlineStr"/>
      <c r="D52" s="5" t="inlineStr">
        <is>
          <t>Geng, K., et al., High glucose-induced STING activation inhibits diabetic wound healing through promoting M1 polarization of macrophages. Cell death discovery, 2023. 9(1): p. 136.</t>
        </is>
      </c>
    </row>
    <row r="53">
      <c r="A53" s="5" t="n">
        <v>52</v>
      </c>
      <c r="B53" s="5" t="inlineStr">
        <is>
          <t>The emerging roles of neutrophil extracellular traps in wound healing</t>
        </is>
      </c>
      <c r="C53" t="inlineStr"/>
      <c r="D53" s="5" t="inlineStr">
        <is>
          <t>Zhu, S., et al., The emerging roles of neutrophil extracellular traps in wound healing. Cell death &amp; disease, 2021. 12(11): p. 984.</t>
        </is>
      </c>
    </row>
    <row r="54">
      <c r="A54" s="5" t="n">
        <v>53</v>
      </c>
      <c r="B54" s="5" t="inlineStr">
        <is>
          <t>Neutrophil extracellular traps are markers of wound healing impairment in patients with diabetic foot ulcers treated in a multidisciplinary setting</t>
        </is>
      </c>
      <c r="C54" t="inlineStr"/>
      <c r="D54" s="5" t="inlineStr">
        <is>
          <t>Yang, S., et al., Neutrophil extracellular traps are markers of wound healing impairment in patients with diabetic foot ulcers treated in a multidisciplinary setting. Advances in wound care, 2020. 9(1): p. 16–27.</t>
        </is>
      </c>
    </row>
    <row r="55">
      <c r="A55" s="5" t="n">
        <v>54</v>
      </c>
      <c r="B55" s="5" t="inlineStr">
        <is>
          <t>NLRP3 activation induced by neutrophil extracellular traps sustains inflammatory response in the diabetic wound</t>
        </is>
      </c>
      <c r="C55" t="inlineStr"/>
      <c r="D55" s="5" t="inlineStr">
        <is>
          <t>Liu, D., et al., NLRP3 activation induced by neutrophil extracellular traps sustains inflammatory response in the diabetic wound. Clinical Science, 2019. 133(4): p. 565–582.</t>
        </is>
      </c>
    </row>
    <row r="56">
      <c r="A56" s="5" t="n">
        <v>55</v>
      </c>
      <c r="B56" s="5" t="inlineStr">
        <is>
          <t>NLRP3: a key regulator of skin wound healing and macrophage-fibroblast interactions in mice</t>
        </is>
      </c>
      <c r="C56" t="inlineStr"/>
      <c r="D56" s="5" t="inlineStr">
        <is>
          <t>Zhao, J., et al., NLRP3: a key regulator of skin wound healing and macrophage-fibroblast interactions in mice. Cell Communication and Signaling, 2025. 23(1): p. 55.</t>
        </is>
      </c>
    </row>
    <row r="57">
      <c r="A57" s="5" t="n">
        <v>56</v>
      </c>
      <c r="B57" s="5" t="inlineStr">
        <is>
          <t>Macrophages regulate healing-associated fibroblasts in diabetic wound</t>
        </is>
      </c>
      <c r="C57" t="inlineStr"/>
      <c r="D57" s="5" t="inlineStr">
        <is>
          <t>Xiao, Y., et al., Macrophages regulate healing-associated fibroblasts in diabetic wound. Molecular Biology Reports, 2024. 51(1): p. 203.</t>
        </is>
      </c>
    </row>
    <row r="58">
      <c r="A58" s="5" t="n">
        <v>57</v>
      </c>
      <c r="B58" s="5" t="inlineStr">
        <is>
          <t>Dermal fibroblasts promote alternative macrophage activation improving impaired wound healing</t>
        </is>
      </c>
      <c r="C58" t="inlineStr"/>
      <c r="D58" s="5" t="inlineStr">
        <is>
          <t>Ferrer, R.A., et al., Dermal fibroblasts promote alternative macrophage activation improving impaired wound healing. Journal of Investigative Dermatology, 2017. 137(4): p. 941–950.</t>
        </is>
      </c>
    </row>
    <row r="59">
      <c r="A59" s="5" t="n">
        <v>58</v>
      </c>
      <c r="B59" s="5" t="inlineStr">
        <is>
          <t>Analysis of drug efficacy for inflammatory skin on an organ-chip system</t>
        </is>
      </c>
      <c r="C59" t="inlineStr"/>
      <c r="D59" s="5" t="inlineStr">
        <is>
          <t>Quan, Q., et al., Analysis of drug efficacy for inflammatory skin on an organ-chip system. Frontiers in Bioengineering and Biotechnology, 2022. 10: p. 939629.</t>
        </is>
      </c>
    </row>
    <row r="60">
      <c r="A60" s="5" t="n">
        <v>59</v>
      </c>
      <c r="B60" s="5" t="inlineStr">
        <is>
          <t>Skin-on-a-chip technology: microengineering physiologically relevant in vitro skin models</t>
        </is>
      </c>
      <c r="C60" t="inlineStr"/>
      <c r="D60" s="5" t="inlineStr">
        <is>
          <t>Zoio, P. and A. Oliva, Skin-on-a-chip technology: microengineering physiologically relevant in vitro skin models. Pharmaceutics, 2022. 14(3): p. 682.</t>
        </is>
      </c>
    </row>
    <row r="61">
      <c r="A61" s="5" t="n">
        <v>60</v>
      </c>
      <c r="B61" s="5" t="inlineStr">
        <is>
          <t>Full-thickness human skin-on-chip with enhanced epidermal morphogenesis and barrier function</t>
        </is>
      </c>
      <c r="C61" t="inlineStr"/>
      <c r="D61" s="5" t="inlineStr">
        <is>
          <t>Sriram, G., et al., Full-thickness human skin-on-chip with enhanced epidermal morphogenesis and barrier function. Materials Today, 2018. 21(4): p. 326–340.</t>
        </is>
      </c>
    </row>
    <row r="62">
      <c r="A62" s="5" t="n">
        <v>61</v>
      </c>
      <c r="B62" s="5" t="inlineStr">
        <is>
          <t>Artificial intelligence in drug development</t>
        </is>
      </c>
      <c r="C62" t="inlineStr"/>
      <c r="D62" s="5" t="inlineStr">
        <is>
          <t>Zhang, K., et al., Artificial intelligence in drug development. Nature medicine, 2025. 31(1): p. 45–59.</t>
        </is>
      </c>
    </row>
    <row r="63">
      <c r="A63" s="5" t="n">
        <v>62</v>
      </c>
      <c r="B63" s="5" t="inlineStr">
        <is>
          <t>Dynamic role of oxygen in wound healing: a microbial, immunological, and biochemical perspective</t>
        </is>
      </c>
      <c r="C63" t="inlineStr"/>
      <c r="D63" s="5" t="inlineStr">
        <is>
          <t>Gupta, S., et al., Dynamic role of oxygen in wound healing: a microbial, immunological, and biochemical perspective. Archives of Razi Institute, 2022. 77(2): p. 513.</t>
        </is>
      </c>
    </row>
    <row r="64">
      <c r="A64" s="5" t="n">
        <v>63</v>
      </c>
      <c r="B64" s="5" t="inlineStr">
        <is>
          <t>Biofilm-innate immune interface: contribution to chronic wound formation</t>
        </is>
      </c>
      <c r="C64" t="inlineStr"/>
      <c r="D64" s="5" t="inlineStr">
        <is>
          <t>Versey, Z., et al., Biofilm-innate immune interface: contribution to chronic wound formation. Frontiers in immunology, 2021. 12: p. 648554.</t>
        </is>
      </c>
    </row>
    <row r="65">
      <c r="A65" s="5" t="n">
        <v>64</v>
      </c>
      <c r="B65" s="5" t="inlineStr">
        <is>
          <t>Biofilm survival strategies in chronic wounds</t>
        </is>
      </c>
      <c r="C65" t="inlineStr"/>
      <c r="D65" s="5" t="inlineStr">
        <is>
          <t>Thaarup, I.C., et al., Biofilm survival strategies in chronic wounds. Microorganisms, 2022. 10(4): p. 775.</t>
        </is>
      </c>
    </row>
    <row r="66">
      <c r="A66" s="5" t="n">
        <v>65</v>
      </c>
      <c r="B66" s="5" t="inlineStr">
        <is>
          <t>Reactive oxygen species and NOX enzymes are emerging as key players in cutaneous wound repair</t>
        </is>
      </c>
      <c r="C66" t="inlineStr"/>
      <c r="D66" s="5" t="inlineStr">
        <is>
          <t>André-Lévigne, D., et al., Reactive oxygen species and NOX enzymes are emerging as key players in cutaneous wound repair. International journal of molecular sciences, 2017. 18(10): p. 2149.</t>
        </is>
      </c>
    </row>
    <row r="67">
      <c r="A67" s="5" t="n">
        <v>66</v>
      </c>
      <c r="B67" s="5" t="inlineStr">
        <is>
          <t>Reoxygenation modulates the adverse effects of hypoxia on wound repair</t>
        </is>
      </c>
      <c r="C67" t="inlineStr"/>
      <c r="D67" s="5" t="inlineStr">
        <is>
          <t>Bai, Q., et al., Reoxygenation modulates the adverse effects of hypoxia on wound repair. International journal of molecular sciences, 2022. 23(24): p. 15832.</t>
        </is>
      </c>
    </row>
    <row r="68">
      <c r="A68" s="5" t="n">
        <v>67</v>
      </c>
      <c r="B68" s="5" t="inlineStr">
        <is>
          <t>Hypoxic microenvironment reconstruction with synergistic biofunctional ions promotes diabetic wound healing</t>
        </is>
      </c>
      <c r="C68" t="inlineStr"/>
      <c r="D68" s="5" t="inlineStr">
        <is>
          <t>Chen, X., et al., Hypoxic microenvironment reconstruction with synergistic biofunctional ions promotes diabetic wound healing. Advanced healthcare materials, 2023. 12(32): p. 2301984.</t>
        </is>
      </c>
    </row>
    <row r="69">
      <c r="A69" s="5" t="n">
        <v>68</v>
      </c>
      <c r="B69" s="5" t="inlineStr">
        <is>
          <t>Nano-oxygenated hydrogels for locally and permeably hypoxia relieving to heal chronic wounds</t>
        </is>
      </c>
      <c r="C69" t="inlineStr"/>
      <c r="D69" s="5" t="inlineStr">
        <is>
          <t>Yang, Z., et al., Nano-oxygenated hydrogels for locally and permeably hypoxia relieving to heal chronic wounds. Biomaterials, 2022. 282: p. 121401.</t>
        </is>
      </c>
    </row>
    <row r="70">
      <c r="A70" s="5" t="n">
        <v>69</v>
      </c>
      <c r="B70" s="5" t="inlineStr">
        <is>
          <t>Silk sericin‐based ROS‐responsive oxygen generating microneedle platform promotes angiogenesis and decreases inflammation for scarless diabetic wound healing</t>
        </is>
      </c>
      <c r="C70" t="inlineStr"/>
      <c r="D70" s="5" t="inlineStr">
        <is>
          <t>Liu, H., et al., Silk sericin‐based ROS‐responsive oxygen generating microneedle platform promotes angiogenesis and decreases inflammation for scarless diabetic wound healing. Advanced Functional Materials, 2025. 35(7): p. 2404461.</t>
        </is>
      </c>
    </row>
    <row r="71">
      <c r="A71" s="5" t="n">
        <v>70</v>
      </c>
      <c r="B71" s="5" t="inlineStr">
        <is>
          <t>Challenges and opportunities of pH in chronic wounds</t>
        </is>
      </c>
      <c r="C71" t="inlineStr"/>
      <c r="D71" s="5" t="inlineStr">
        <is>
          <t>Wallace, L.A., L. Gwynne, and T. Jenkins, Challenges and opportunities of pH in chronic wounds. Therapeutic delivery, 2019. 10(11): p. 719–735.</t>
        </is>
      </c>
    </row>
    <row r="72">
      <c r="A72" s="5" t="n">
        <v>71</v>
      </c>
      <c r="B72" s="5" t="inlineStr">
        <is>
          <t>The effect of pH on cell viability, cell migration, cell proliferation, wound closure, and wound reepithelialization: In vitro and in vivo study</t>
        </is>
      </c>
      <c r="C72" t="inlineStr"/>
      <c r="D72" s="5" t="inlineStr">
        <is>
          <t>Kruse, C.R., et al., The effect of pH on cell viability, cell migration, cell proliferation, wound closure, and wound reepithelialization: In vitro and in vivo study. Wound Repair and Regeneration, 2017. 25(2): p. 260–269.</t>
        </is>
      </c>
    </row>
    <row r="73">
      <c r="A73" s="5" t="n">
        <v>72</v>
      </c>
      <c r="B73" s="5" t="inlineStr">
        <is>
          <t>Influence of acidic pH on wound healing in vivo: a novel perspective for wound treatment</t>
        </is>
      </c>
      <c r="C73" t="inlineStr"/>
      <c r="D73" s="5" t="inlineStr">
        <is>
          <t>Sim, P., et al., Influence of acidic pH on wound healing in vivo: a novel perspective for wound treatment. International journal of molecular sciences, 2022. 23(21): p. 13655.</t>
        </is>
      </c>
    </row>
    <row r="74">
      <c r="A74" s="5" t="n">
        <v>73</v>
      </c>
      <c r="B74" s="5" t="inlineStr">
        <is>
          <t>Micro‐gel ensembles for accelerated healing of chronic wound via pH regulation</t>
        </is>
      </c>
      <c r="C74" t="inlineStr"/>
      <c r="D74" s="5" t="inlineStr">
        <is>
          <t>Cui, T., et al., Micro‐gel ensembles for accelerated healing of chronic wound via pH regulation. Advanced Science, 2022. 9(22): p. 2201254.</t>
        </is>
      </c>
    </row>
    <row r="75">
      <c r="A75" s="5" t="n">
        <v>74</v>
      </c>
      <c r="B75" s="5" t="inlineStr">
        <is>
          <t>pH-switchable nanozyme cascade catalysis: a strategy for spatial–temporal modulation of pathological wound microenvironment to rescue stalled healing in diabetic ulcer</t>
        </is>
      </c>
      <c r="C75" t="inlineStr"/>
      <c r="D75" s="5" t="inlineStr">
        <is>
          <t>Du, X., et al., pH-switchable nanozyme cascade catalysis: a strategy for spatial–temporal modulation of pathological wound microenvironment to rescue stalled healing in diabetic ulcer. Journal of Nanobiotechnology, 2022. 20(1): p. 12.</t>
        </is>
      </c>
    </row>
    <row r="76">
      <c r="A76" s="5" t="n">
        <v>75</v>
      </c>
      <c r="B76" s="5" t="inlineStr">
        <is>
          <t>Staphylococcus aureus biofilm infection compromises wound healing by causing deficiencies in granulation tissue collagen</t>
        </is>
      </c>
      <c r="C76" t="inlineStr"/>
      <c r="D76" s="5" t="inlineStr">
        <is>
          <t>Roy, S., et al., Staphylococcus aureus biofilm infection compromises wound healing by causing deficiencies in granulation tissue collagen. Annals of surgery, 2020. 271(6): p. 1174–1185.</t>
        </is>
      </c>
    </row>
    <row r="77">
      <c r="A77" s="5" t="n">
        <v>76</v>
      </c>
      <c r="B77" s="5" t="inlineStr">
        <is>
          <t>Insulin treatment enhances pseudomonas aeruginosa biofilm formation by increasing intracellular cyclic di-GMP levels, leading to chronic wound infection and delayed wound healing</t>
        </is>
      </c>
      <c r="C77" t="inlineStr"/>
      <c r="D77" s="5" t="inlineStr">
        <is>
          <t>Wei, Q., et al., Insulin treatment enhances pseudomonas aeruginosa biofilm formation by increasing intracellular cyclic di-GMP levels, leading to chronic wound infection and delayed wound healing. American journal of translational research, 2019. 11(6): p. 3261.</t>
        </is>
      </c>
    </row>
    <row r="78">
      <c r="A78" s="5" t="n">
        <v>77</v>
      </c>
      <c r="B78" s="5" t="inlineStr">
        <is>
          <t>Multi‐drug resistant Staphylococcus epidermidis from chronic wounds impair healing in human wound model</t>
        </is>
      </c>
      <c r="C78" t="inlineStr"/>
      <c r="D78" s="5" t="inlineStr">
        <is>
          <t>Dinić, M., et al., Multi‐drug resistant Staphylococcus epidermidis from chronic wounds impair healing in human wound model. Wound repair and regeneration, 2024. 32(6): p. 799–810.</t>
        </is>
      </c>
    </row>
    <row r="79">
      <c r="A79" s="5" t="n">
        <v>78</v>
      </c>
      <c r="B79" s="5" t="inlineStr">
        <is>
          <t>Effectiveness of biofilm‐based wound care system on wound healing in chronic wounds</t>
        </is>
      </c>
      <c r="C79" t="inlineStr"/>
      <c r="D79" s="5" t="inlineStr">
        <is>
          <t>Mori, Y., et al., Effectiveness of biofilm‐based wound care system on wound healing in chronic wounds. Wound Repair and Regeneration, 2019. 27(5): p. 540–547.</t>
        </is>
      </c>
    </row>
    <row r="80">
      <c r="A80" s="5" t="n">
        <v>79</v>
      </c>
      <c r="B80" s="5" t="inlineStr">
        <is>
          <t>The role of extracellular matrix in skin wound healing</t>
        </is>
      </c>
      <c r="C80" t="inlineStr"/>
      <c r="D80" s="5" t="inlineStr">
        <is>
          <t>Potekaev, N.N., et al., The role of extracellular matrix in skin wound healing. Journal of Clinical Medicine, 2021. 10(24): p. 5947.</t>
        </is>
      </c>
    </row>
    <row r="81">
      <c r="A81" s="5" t="n">
        <v>80</v>
      </c>
      <c r="B81" s="5" t="inlineStr">
        <is>
          <t>Matrix metalloproteinases: the sculptors of chronic cutaneous wounds</t>
        </is>
      </c>
      <c r="C81" t="inlineStr"/>
      <c r="D81" s="5" t="inlineStr">
        <is>
          <t>Krishnaswamy, V.R., D. Mintz, and I. Sagi, Matrix metalloproteinases: the sculptors of chronic cutaneous wounds. Biochimica et Biophysica Acta (BBA)-Molecular Cell Research, 2017. 1864(11): p. 2220–2227.</t>
        </is>
      </c>
    </row>
    <row r="82">
      <c r="A82" s="5" t="n">
        <v>81</v>
      </c>
      <c r="B82" s="5" t="inlineStr">
        <is>
          <t>Metalloproteinases in chronic and acute wounds: A systematic review and meta‐analysis</t>
        </is>
      </c>
      <c r="C82" t="inlineStr"/>
      <c r="D82" s="5" t="inlineStr">
        <is>
          <t>Tardáguila‐García, A., et al., Metalloproteinases in chronic and acute wounds: A systematic review and meta‐analysis. Wound repair and regeneration, 2019. 27(4): p. 415–420.</t>
        </is>
      </c>
    </row>
    <row r="83">
      <c r="A83" s="5" t="n">
        <v>82</v>
      </c>
      <c r="B83" s="5" t="inlineStr">
        <is>
          <t>Strategy for treatment of infected diabetic foot ulcers</t>
        </is>
      </c>
      <c r="C83" t="inlineStr"/>
      <c r="D83" s="5" t="inlineStr">
        <is>
          <t>Chang, M. and T.T. Nguyen, Strategy for treatment of infected diabetic foot ulcers. Accounts of chemical research, 2021. 54(5): p. 1080–1093.</t>
        </is>
      </c>
    </row>
    <row r="84">
      <c r="A84" s="5" t="n">
        <v>83</v>
      </c>
      <c r="B84" s="5" t="inlineStr">
        <is>
          <t>Dissolvable immunomodulatory microneedles for treatment of skin wounds</t>
        </is>
      </c>
      <c r="C84" s="5" t="inlineStr"/>
      <c r="D84" s="5" t="inlineStr">
        <is>
          <t>Ghelich, P., et al., Dissolvable immunomodulatory microneedles for treatment of skin wounds. Advanced healthcare materials, 2024. 13(16): p. 2302836.</t>
        </is>
      </c>
    </row>
    <row r="85">
      <c r="A85" s="5" t="n">
        <v>84</v>
      </c>
      <c r="B85" s="5" t="inlineStr">
        <is>
          <t>Bacteria-responsive programmed self-activating antibacterial hydrogel to remodel regeneration microenvironment for infected wound healing</t>
        </is>
      </c>
      <c r="C85" t="inlineStr"/>
      <c r="D85" s="5" t="inlineStr">
        <is>
          <t>Yang, Y., et al., Bacteria-responsive programmed self-activating antibacterial hydrogel to remodel regeneration microenvironment for infected wound healing. National Science Review, 2024. 11(4): p. nwae044.</t>
        </is>
      </c>
    </row>
    <row r="86">
      <c r="A86" s="5" t="n">
        <v>85</v>
      </c>
      <c r="B86" s="5" t="inlineStr">
        <is>
          <t>Biomaterials releasing drug responsively to promote wound healing via regulation of pathological microenvironment</t>
        </is>
      </c>
      <c r="C86" t="inlineStr"/>
      <c r="D86" s="5" t="inlineStr">
        <is>
          <t>Li, H., et al., Biomaterials releasing drug responsively to promote wound healing via regulation of pathological microenvironment. Advanced drug delivery reviews, 2023. 196: p. 114778.</t>
        </is>
      </c>
    </row>
    <row r="87">
      <c r="A87" s="5" t="n">
        <v>86</v>
      </c>
      <c r="B87" s="5" t="inlineStr">
        <is>
          <t>Smart Wound Dressings and the Biological Parameters They Monitor: A Scoping Review</t>
        </is>
      </c>
      <c r="C87" t="inlineStr"/>
      <c r="D87" s="5" t="inlineStr">
        <is>
          <t>Probst, S., et al., Smart Wound Dressings and the Biological Parameters They Monitor: A Scoping Review. International wound journal, 2026. 23(4): p. e70919.</t>
        </is>
      </c>
    </row>
    <row r="88">
      <c r="A88" s="5" t="n">
        <v>87</v>
      </c>
      <c r="B88" s="5" t="inlineStr">
        <is>
          <t>Diabetic wound-healing science</t>
        </is>
      </c>
      <c r="C88" t="inlineStr"/>
      <c r="D88" s="5" t="inlineStr">
        <is>
          <t>Burgess, J.L., et al., Diabetic wound-healing science. Medicina, 2021. 57(10): p. 1072.</t>
        </is>
      </c>
    </row>
    <row r="89">
      <c r="A89" s="5" t="n">
        <v>88</v>
      </c>
      <c r="B89" s="5" t="inlineStr">
        <is>
          <t>Immune regulation of skin wound healing: mechanisms and novel therapeutic targets</t>
        </is>
      </c>
      <c r="C89" t="inlineStr"/>
      <c r="D89" s="5" t="inlineStr">
        <is>
          <t>Larouche, J., et al., Immune regulation of skin wound healing: mechanisms and novel therapeutic targets. Advances in wound care, 2018. 7(7): p. 209–231.</t>
        </is>
      </c>
    </row>
    <row r="90">
      <c r="A90" s="5" t="n">
        <v>89</v>
      </c>
      <c r="B90" s="5" t="inlineStr">
        <is>
          <t>All‐natural immunomodulatory bioadhesive hydrogel promotes angiogenesis and diabetic wound healing by regulating macrophage heterogeneity</t>
        </is>
      </c>
      <c r="C90" t="inlineStr"/>
      <c r="D90" s="5" t="inlineStr">
        <is>
          <t>Fu, Y.J., et al., All‐natural immunomodulatory bioadhesive hydrogel promotes angiogenesis and diabetic wound healing by regulating macrophage heterogeneity. Advanced Science, 2023. 10(13): p. 2206771.</t>
        </is>
      </c>
    </row>
    <row r="91">
      <c r="A91" s="5" t="n">
        <v>90</v>
      </c>
      <c r="B91" s="5" t="inlineStr">
        <is>
          <t>Engineering bioactive M2 macrophage‐polarized anti‐inflammatory, antioxidant, and antibacterial scaffolds for rapid angiogenesis and diabetic wound repair</t>
        </is>
      </c>
      <c r="C91" t="inlineStr"/>
      <c r="D91" s="5" t="inlineStr">
        <is>
          <t>Tu, Z., et al., Engineering bioactive M2 macrophage‐polarized anti‐inflammatory, antioxidant, and antibacterial scaffolds for rapid angiogenesis and diabetic wound repair. Advanced Functional Materials, 2021. 31(30): p. 2100924.</t>
        </is>
      </c>
    </row>
    <row r="92">
      <c r="A92" s="5" t="n">
        <v>91</v>
      </c>
      <c r="B92" s="5" t="inlineStr">
        <is>
          <t>Promising Biomarkers for Chronic Wound Healing: A Pilot Cohort Study on Wound Cytokines and a Novel Biofilm Detection Kit for Predicting 90‐Day Outcomes</t>
        </is>
      </c>
      <c r="C92" t="inlineStr">
        <is>
          <t>10.1111/wrr.70100</t>
        </is>
      </c>
      <c r="D92" s="5" t="inlineStr">
        <is>
          <t>Wu, Y.F., et al., Promising Biomarkers for Chronic Wound Healing: A Pilot Cohort Study on Wound Cytokines and a Novel Biofilm Detection Kit for Predicting 90‐Day Outcomes. Wound Repair and Regeneration, 2025. 33(5): p. e70100.</t>
        </is>
      </c>
    </row>
    <row r="93">
      <c r="A93" s="5" t="n">
        <v>92</v>
      </c>
      <c r="B93" s="5" t="inlineStr">
        <is>
          <t>Compromised angiogenesis and vascular Integrity in impaired diabetic wound healing</t>
        </is>
      </c>
      <c r="C93" t="inlineStr"/>
      <c r="D93" s="5" t="inlineStr">
        <is>
          <t>Okonkwo, U.A., et al., Compromised angiogenesis and vascular Integrity in impaired diabetic wound healing. PloS one, 2020. 15(4): p. e0231962.</t>
        </is>
      </c>
    </row>
    <row r="94">
      <c r="A94" s="5" t="n">
        <v>93</v>
      </c>
      <c r="B94" s="5" t="inlineStr">
        <is>
          <t>Diabetes and wound angiogenesis</t>
        </is>
      </c>
      <c r="C94" s="5" t="inlineStr"/>
      <c r="D94" s="5" t="inlineStr">
        <is>
          <t>Okonkwo, U.A. and L.A. DiPietro, Diabetes and wound angiogenesis. International journal of molecular sciences, 2017. 18(7): p. 1419.</t>
        </is>
      </c>
    </row>
    <row r="95">
      <c r="A95" s="5" t="n">
        <v>94</v>
      </c>
      <c r="B95" s="5" t="inlineStr">
        <is>
          <t>Gene therapy targeting inflammatory pericytes corrects angiopathy during diabetic wound healing</t>
        </is>
      </c>
      <c r="C95" s="5" t="inlineStr"/>
      <c r="D95" s="5" t="inlineStr">
        <is>
          <t>Jin, W., et al., Gene therapy targeting inflammatory pericytes corrects angiopathy during diabetic wound healing. Frontiers in Immunology, 2022. 13: p. 960925.</t>
        </is>
      </c>
    </row>
    <row r="96">
      <c r="A96" s="5" t="n">
        <v>95</v>
      </c>
      <c r="B96" s="5" t="inlineStr">
        <is>
          <t>Targeting S100A12 to improve angiogenesis and accelerate diabetic wound healing</t>
        </is>
      </c>
      <c r="C96" t="inlineStr"/>
      <c r="D96" s="5" t="inlineStr">
        <is>
          <t>Qin, S., et al., Targeting S100A12 to improve angiogenesis and accelerate diabetic wound healing. Inflammation, 2025. 48(2): p. 633–648.</t>
        </is>
      </c>
    </row>
    <row r="97">
      <c r="A97" s="5" t="n">
        <v>96</v>
      </c>
      <c r="B97" s="5" t="inlineStr">
        <is>
          <t>Miniaturized needle Array‐mediated drug delivery accelerates wound healing</t>
        </is>
      </c>
      <c r="C97" s="5" t="inlineStr"/>
      <c r="D97" s="5" t="inlineStr">
        <is>
          <t>Samandari, M., et al., Miniaturized needle Array‐mediated drug delivery accelerates wound healing. Advanced Healthcare Materials, 2021. 10(8): p. 2001800.</t>
        </is>
      </c>
    </row>
    <row r="98">
      <c r="A98" s="5" t="n">
        <v>97</v>
      </c>
      <c r="B98" s="5" t="inlineStr">
        <is>
          <t>A wirelessly controlled smart bandage with 3D‐printed miniaturized needle arrays</t>
        </is>
      </c>
      <c r="C98" s="5" t="inlineStr"/>
      <c r="D98" s="5" t="inlineStr">
        <is>
          <t>Derakhshandeh, H., et al., A wirelessly controlled smart bandage with 3D‐printed miniaturized needle arrays. Advanced functional materials, 2020. 30(13): p. 1905544.</t>
        </is>
      </c>
    </row>
    <row r="99">
      <c r="A99" s="5" t="n">
        <v>98</v>
      </c>
      <c r="B99" s="5" t="inlineStr">
        <is>
          <t>Targeting signalling pathways in chronic wound healing</t>
        </is>
      </c>
      <c r="C99" s="5" t="inlineStr"/>
      <c r="D99" s="5" t="inlineStr">
        <is>
          <t>Bonnici, L., et al., Targeting signalling pathways in chronic wound healing. International Journal of Molecular Sciences, 2023. 25(1): p. 50.</t>
        </is>
      </c>
    </row>
    <row r="100">
      <c r="A100" s="5" t="n">
        <v>99</v>
      </c>
      <c r="B100" s="5" t="inlineStr">
        <is>
          <t>In vitro wound healing activity of wheat-derived nanovesicles</t>
        </is>
      </c>
      <c r="C100" s="5" t="inlineStr"/>
      <c r="D100" s="5" t="inlineStr">
        <is>
          <t>Şahin, F., et al., In vitro wound healing activity of wheat-derived nanovesicles. Applied biochemistry and biotechnology, 2019. 188(2): p. 381–394.</t>
        </is>
      </c>
    </row>
    <row r="101">
      <c r="A101" s="5" t="n">
        <v>100</v>
      </c>
      <c r="B101" s="5" t="inlineStr">
        <is>
          <t>Cinnamaldehyde accelerates wound healing by promoting angiogenesis via up-regulation of PI3K and MAPK signaling pathways</t>
        </is>
      </c>
      <c r="C101" s="5" t="inlineStr"/>
      <c r="D101" s="5" t="inlineStr">
        <is>
          <t>Yuan, X., et al., Cinnamaldehyde accelerates wound healing by promoting angiogenesis via up-regulation of PI3K and MAPK signaling pathways. Laboratory investigation, 2018. 98(6): p. 783–798.</t>
        </is>
      </c>
    </row>
    <row r="102">
      <c r="A102" s="5" t="n">
        <v>101</v>
      </c>
      <c r="B102" s="5" t="inlineStr">
        <is>
          <t>A flexible multiplexed immunosensor for point-of-care in situ wound monitoring</t>
        </is>
      </c>
      <c r="C102" s="5" t="inlineStr">
        <is>
          <t>10.1126/sciadv.abg9614</t>
        </is>
      </c>
      <c r="D102" s="5" t="inlineStr">
        <is>
          <t>Gao, Y., et al., A flexible multiplexed immunosensor for point-of-care in situ wound monitoring. Science Advances, 2021. 7(21): p. eabg9614.</t>
        </is>
      </c>
    </row>
    <row r="103">
      <c r="A103" s="5" t="n">
        <v>102</v>
      </c>
      <c r="B103" s="5" t="inlineStr">
        <is>
          <t>Multifunctional hydrogel as wound dressing for intelligent wound monitoring</t>
        </is>
      </c>
      <c r="C103" s="5" t="inlineStr">
        <is>
          <t>10.1016/j.cej.2022.134625</t>
        </is>
      </c>
      <c r="D103" s="5" t="inlineStr">
        <is>
          <t>Wang, L., et al., Multifunctional hydrogel as wound dressing for intelligent wound monitoring. Chemical Engineering Journal, 2022. 433: p. 134625.</t>
        </is>
      </c>
    </row>
    <row r="104">
      <c r="A104" s="5" t="n">
        <v>103</v>
      </c>
      <c r="B104" s="5" t="inlineStr">
        <is>
          <t>Applications of single-cell RNA sequencing in drug discovery and development</t>
        </is>
      </c>
      <c r="C104" s="5" t="inlineStr"/>
      <c r="D104" s="5" t="inlineStr">
        <is>
          <t>Van de Sande, B., et al., Applications of single-cell RNA sequencing in drug discovery and development. Nature reviews Drug discovery, 2023. 22(6): p. 496–520.</t>
        </is>
      </c>
    </row>
    <row r="105">
      <c r="A105" s="5" t="n">
        <v>104</v>
      </c>
      <c r="B105" s="5" t="inlineStr">
        <is>
          <t>A novel in vitro wound healing assay to evaluate cell migration</t>
        </is>
      </c>
      <c r="C105" s="5" t="inlineStr">
        <is>
          <t>10.3791/56825</t>
        </is>
      </c>
      <c r="D105" s="5" t="inlineStr">
        <is>
          <t>Cappiello, F., B. Casciaro, and M.L. Mangoni, A novel in vitro wound healing assay to evaluate cell migration. Journal of visualized experiments: JoVE, 2018(133): p. 56825.</t>
        </is>
      </c>
    </row>
    <row r="106">
      <c r="A106" s="5" t="n">
        <v>105</v>
      </c>
      <c r="B106" s="5" t="inlineStr">
        <is>
          <t>Comparison of in vitro scratch wound assay experimental procedures</t>
        </is>
      </c>
      <c r="C106" s="5" t="inlineStr">
        <is>
          <t>10.1016/j.bbrep.2023.101423</t>
        </is>
      </c>
      <c r="D106" s="5" t="inlineStr">
        <is>
          <t>Radstake, W.E., et al., Comparison of in vitro scratch wound assay experimental procedures. Biochemistry and Biophysics Reports, 2023. 33: p. 101423.</t>
        </is>
      </c>
    </row>
    <row r="107">
      <c r="A107" s="5" t="n">
        <v>106</v>
      </c>
      <c r="B107" s="5" t="inlineStr">
        <is>
          <t>ERK activating peptide, AES16-2M promotes wound healing through accelerating migration of keratinocytes</t>
        </is>
      </c>
      <c r="C107" t="inlineStr">
        <is>
          <t>10.1038/s41598-018-32851-y</t>
        </is>
      </c>
      <c r="D107" s="5" t="inlineStr">
        <is>
          <t>Lee, S., et al., ERK activating peptide, AES16-2M promotes wound healing through accelerating migration of keratinocytes. Scientific reports, 2018. 8(1): p. 14398.</t>
        </is>
      </c>
    </row>
    <row r="108">
      <c r="A108" s="5" t="n">
        <v>107</v>
      </c>
      <c r="B108" s="5" t="inlineStr">
        <is>
          <t>Effects of Periploca forrestii Schltr on wound healing by Src meditated Mek/Erk and PI3K/Akt signals</t>
        </is>
      </c>
      <c r="C108" s="5" t="inlineStr">
        <is>
          <t>10.1016/j.jep.2019.03.046</t>
        </is>
      </c>
      <c r="D108" s="5" t="inlineStr">
        <is>
          <t>Li, J., et al., Effects of Periploca forrestii Schltr on wound healing by Src meditated Mek/Erk and PI3K/Akt signals. Journal of ethnopharmacology, 2019. 237: p. 116–127.</t>
        </is>
      </c>
    </row>
    <row r="109">
      <c r="A109" s="5" t="n">
        <v>108</v>
      </c>
      <c r="B109" s="5" t="inlineStr">
        <is>
          <t>Microscopy based methods for the assessment of epithelial cell migration during in vitro wound healing</t>
        </is>
      </c>
      <c r="C109" s="5" t="inlineStr">
        <is>
          <t>10.3791/56799</t>
        </is>
      </c>
      <c r="D109" s="5" t="inlineStr">
        <is>
          <t>Liarte, S., et al., Microscopy based methods for the assessment of epithelial cell migration during in vitro wound healing. Journal of Visualized Experiments: Jove, 2018(131): p. 56799.</t>
        </is>
      </c>
    </row>
    <row r="110">
      <c r="A110" s="5" t="n">
        <v>109</v>
      </c>
      <c r="B110" s="5" t="inlineStr">
        <is>
          <t>Establishment of a cell-based wound healing assay for bio-relevant testing of wound therapeutics</t>
        </is>
      </c>
      <c r="C110" t="inlineStr">
        <is>
          <t>10.1016/j.vascn.2017.10.003</t>
        </is>
      </c>
      <c r="D110" s="5" t="inlineStr">
        <is>
          <t>Planz, V., J. Wang, and M. Windbergs, Establishment of a cell-based wound healing assay for bio-relevant testing of wound therapeutics. Journal of pharmacological and toxicological methods, 2018. 89: p. 19–25.</t>
        </is>
      </c>
    </row>
    <row r="111">
      <c r="A111" s="5" t="n">
        <v>110</v>
      </c>
      <c r="B111" s="5" t="inlineStr">
        <is>
          <t>Property characterization of reconstructed human epidermis equivalents, and performance as a skin irritation model</t>
        </is>
      </c>
      <c r="C111" t="inlineStr">
        <is>
          <t>10.1016/j.tiv.2018.07.005</t>
        </is>
      </c>
      <c r="D111" s="5" t="inlineStr">
        <is>
          <t>Capallere, C., et al., Property characterization of reconstructed human epidermis equivalents, and performance as a skin irritation model. Toxicology in Vitro, 2018. 53: p. 45–56.</t>
        </is>
      </c>
    </row>
    <row r="112">
      <c r="A112" s="5" t="n">
        <v>111</v>
      </c>
      <c r="B112" s="5" t="inlineStr">
        <is>
          <t>A new reconstructed human epidermis for in vitro skin irritation testing</t>
        </is>
      </c>
      <c r="C112" s="5" t="inlineStr">
        <is>
          <t>10.1016/j.tiv.2017.03.010</t>
        </is>
      </c>
      <c r="D112" s="5" t="inlineStr">
        <is>
          <t>do Nascimento Pedrosa, T., et al., A new reconstructed human epidermis for in vitro skin irritation testing. Toxicology in Vitro, 2017. 42: p. 31–37.</t>
        </is>
      </c>
    </row>
    <row r="113">
      <c r="A113" s="5" t="n">
        <v>112</v>
      </c>
      <c r="B113" s="5" t="inlineStr">
        <is>
          <t>Skin corrosion test: A comparison between reconstructed human epidermis and full thickness skin models</t>
        </is>
      </c>
      <c r="C113" s="5" t="inlineStr">
        <is>
          <t>10.1016/j.ejpb.2018.01.002</t>
        </is>
      </c>
      <c r="D113" s="5" t="inlineStr">
        <is>
          <t>Catarino, C.M., et al., Skin corrosion test: A comparison between reconstructed human epidermis and full thickness skin models. European Journal of Pharmaceutics and Biopharmaceutics, 2018. 125: p. 51–57.</t>
        </is>
      </c>
    </row>
    <row r="114">
      <c r="A114" s="5" t="n">
        <v>113</v>
      </c>
      <c r="B114" s="5" t="inlineStr">
        <is>
          <t>Fundamental in vitro 3D human skin equivalent tool development for assessing biological safety and biocompatibility–towards alternative for animal experiments</t>
        </is>
      </c>
      <c r="C114" t="inlineStr">
        <is>
          <t>10.1051/fopen/2021001</t>
        </is>
      </c>
      <c r="D114" s="5" t="inlineStr">
        <is>
          <t>Idrees, A., et al., Fundamental in vitro 3D human skin equivalent tool development for assessing biological safety and biocompatibility–towards alternative for animal experiments. 4open, 2021. 4: p. 1.</t>
        </is>
      </c>
    </row>
    <row r="115">
      <c r="A115" s="5" t="n">
        <v>114</v>
      </c>
      <c r="B115" s="5" t="inlineStr">
        <is>
          <t>Characterization of a new reconstructed full thickness skin model, T-skin™, and its application for investigations of anti-aging compounds</t>
        </is>
      </c>
      <c r="C115" t="inlineStr"/>
      <c r="D115" s="5" t="inlineStr">
        <is>
          <t>Bataillon, M., et al., Characterization of a new reconstructed full thickness skin model, T-skin™, and its application for investigations of anti-aging compounds. International journal of molecular sciences, 2019. 20(9): p. 2240.</t>
        </is>
      </c>
    </row>
    <row r="116">
      <c r="A116" s="5" t="n">
        <v>115</v>
      </c>
      <c r="B116" s="5" t="inlineStr">
        <is>
          <t>Skin toxicity assessment of silver nanoparticles in a 3D epidermal model compared to 2D keratinocytes</t>
        </is>
      </c>
      <c r="C116" s="5" t="inlineStr">
        <is>
          <t>10.2147/IJN.S225451</t>
        </is>
      </c>
      <c r="D116" s="5" t="inlineStr">
        <is>
          <t>Chen, L., et al., Skin toxicity assessment of silver nanoparticles in a 3D epidermal model compared to 2D keratinocytes. International Journal of Nanomedicine, 2019: p. 9707–9719.</t>
        </is>
      </c>
    </row>
    <row r="117">
      <c r="A117" s="5" t="n">
        <v>116</v>
      </c>
      <c r="B117" s="5" t="inlineStr">
        <is>
          <t>Engineering a 3D wounded skin equivalent to study early inflammatory and regenerative responses in vitro</t>
        </is>
      </c>
      <c r="C117" s="5" t="inlineStr"/>
      <c r="D117" s="5" t="inlineStr">
        <is>
          <t>Nuwayhid, R., et al., Engineering a 3D wounded skin equivalent to study early inflammatory and regenerative responses in vitro. Frontiers in Bioengineering and Biotechnology, 2025. 13: p. 1621566.</t>
        </is>
      </c>
    </row>
    <row r="118">
      <c r="A118" s="5" t="n">
        <v>117</v>
      </c>
      <c r="B118" s="5" t="inlineStr">
        <is>
          <t>A 3D in vitro model for burn wounds: monitoring of regeneration on the epidermal level</t>
        </is>
      </c>
      <c r="C118" s="5" t="inlineStr"/>
      <c r="D118" s="5" t="inlineStr">
        <is>
          <t>Schneider, V., et al., A 3D in vitro model for burn wounds: monitoring of regeneration on the epidermal level. Biomedicines, 2021. 9(9): p. 1153.</t>
        </is>
      </c>
    </row>
    <row r="119">
      <c r="A119" s="5" t="n">
        <v>118</v>
      </c>
      <c r="B119" s="5" t="inlineStr">
        <is>
          <t>New Methodological Approach to Follow the Re‐Epithelialisation Phase in the Wound Healing Process on a 3D Full Thickness Skin Model</t>
        </is>
      </c>
      <c r="C119" s="5" t="inlineStr">
        <is>
          <t>10.1111/exd.70137</t>
        </is>
      </c>
      <c r="D119" s="5" t="inlineStr">
        <is>
          <t>Fallou, B., et al., New Methodological Approach to Follow the Re‐Epithelialisation Phase in the Wound Healing Process on a 3D Full Thickness Skin Model. Experimental Dermatology, 2025. 34(7): p. e70137.</t>
        </is>
      </c>
    </row>
    <row r="120">
      <c r="A120" s="5" t="n">
        <v>119</v>
      </c>
      <c r="B120" s="5" t="inlineStr">
        <is>
          <t>Assessment of skin toxicity in an in vitro reconstituted human epidermis model using deep learning</t>
        </is>
      </c>
      <c r="C120" t="inlineStr">
        <is>
          <t>10.1016/j.ajpath.2021.12.007</t>
        </is>
      </c>
      <c r="D120" s="5" t="inlineStr">
        <is>
          <t>Hu, F., et al., Assessment of skin toxicity in an in vitro reconstituted human epidermis model using deep learning. The American journal of pathology, 2022. 192(4): p. 687–700.</t>
        </is>
      </c>
    </row>
    <row r="121">
      <c r="A121" s="5" t="n">
        <v>120</v>
      </c>
      <c r="B121" s="5" t="inlineStr">
        <is>
          <t>Human in vitro skin models for wound healing and wound healing disorders</t>
        </is>
      </c>
      <c r="C121" s="5" t="inlineStr"/>
      <c r="D121" s="5" t="inlineStr">
        <is>
          <t>Hofmann, E., et al., Human in vitro skin models for wound healing and wound healing disorders. Biomedicines, 2023. 11(4): p. 1056.</t>
        </is>
      </c>
    </row>
    <row r="122">
      <c r="A122" s="5" t="n">
        <v>121</v>
      </c>
      <c r="B122" s="5" t="inlineStr">
        <is>
          <t>Overview of advanced in-vitro and ex-vivo test methods for pre-clinical evaluation of wound care products</t>
        </is>
      </c>
      <c r="C122" s="5" t="inlineStr"/>
      <c r="D122" s="5" t="inlineStr">
        <is>
          <t>Schuhladen, K., et al., Overview of advanced in-vitro and ex-vivo test methods for pre-clinical evaluation of wound care products. Skin Pharmacology and Physiology, 2026.</t>
        </is>
      </c>
    </row>
    <row r="123">
      <c r="A123" s="5" t="n">
        <v>122</v>
      </c>
      <c r="B123" s="5" t="inlineStr">
        <is>
          <t>Keratinocyte migration in a three-dimensional in vitro wound healing model co-cultured with fibroblasts</t>
        </is>
      </c>
      <c r="C123" s="5" t="inlineStr">
        <is>
          <t>10.1007/s13770-018-0145-7</t>
        </is>
      </c>
      <c r="D123" s="5" t="inlineStr">
        <is>
          <t>Iyer, K., et al., Keratinocyte migration in a three-dimensional in vitro wound healing model co-cultured with fibroblasts. Tissue engineering and regenerative medicine, 2018. 15(6): p. 721–733.</t>
        </is>
      </c>
    </row>
    <row r="124">
      <c r="A124" s="5" t="n">
        <v>123</v>
      </c>
      <c r="B124" s="5" t="inlineStr">
        <is>
          <t>Reepithelialization in focus: Non-invasive monitoring of epidermal wound healing in vitro</t>
        </is>
      </c>
      <c r="C124" s="5" t="inlineStr">
        <is>
          <t>10.1016/j.bios.2019.111555</t>
        </is>
      </c>
      <c r="D124" s="5" t="inlineStr">
        <is>
          <t>Kiesewetter, L., et al., Reepithelialization in focus: Non-invasive monitoring of epidermal wound healing in vitro. Biosensors and Bioelectronics, 2019. 142: p. 111555.</t>
        </is>
      </c>
    </row>
    <row r="125">
      <c r="A125" s="5" t="n">
        <v>124</v>
      </c>
      <c r="B125" s="5" t="inlineStr">
        <is>
          <t>Fluorescent cell tracer dye permits real‐time assessment of re‐epithelialization in a serum‐free ex vivo human skin wound assay</t>
        </is>
      </c>
      <c r="C125" s="5" t="inlineStr">
        <is>
          <t>10.1111/wrr.12688</t>
        </is>
      </c>
      <c r="D125" s="5" t="inlineStr">
        <is>
          <t>Nasir, N.A.M., R. Paus, and D.M. Ansell, Fluorescent cell tracer dye permits real‐time assessment of re‐epithelialization in a serum‐free ex vivo human skin wound assay. Wound Repair and Regeneration, 2019. 27(1): p. 126–133.</t>
        </is>
      </c>
    </row>
    <row r="126">
      <c r="A126" s="5" t="n">
        <v>125</v>
      </c>
      <c r="B126" s="5" t="inlineStr">
        <is>
          <t>A standardized in vitro bioengineered skin for penetrating wound modeling</t>
        </is>
      </c>
      <c r="C126" s="5" t="inlineStr">
        <is>
          <t>10.1007/s44164-025-00082-x</t>
        </is>
      </c>
      <c r="D126" s="5" t="inlineStr">
        <is>
          <t>Salazar Silva, C.S., et al., A standardized in vitro bioengineered skin for penetrating wound modeling. In vitro models, 2025. 4(1): p. 15–30.</t>
        </is>
      </c>
    </row>
    <row r="127">
      <c r="A127" s="5" t="n">
        <v>126</v>
      </c>
      <c r="B127" s="5" t="inlineStr">
        <is>
          <t>Novel leukocyte-depleted platelet-rich plasma-based skin equivalent as an in vitro model of chronic wounds: a preliminary study</t>
        </is>
      </c>
      <c r="C127" s="5" t="inlineStr">
        <is>
          <t>10.1186/s12860-021-00366-6</t>
        </is>
      </c>
      <c r="D127" s="5" t="inlineStr">
        <is>
          <t>Seria, E., et al., Novel leukocyte-depleted platelet-rich plasma-based skin equivalent as an in vitro model of chronic wounds: a preliminary study. BMC Molecular and Cell Biology, 2021. 22(1): p. 28.</t>
        </is>
      </c>
    </row>
    <row r="128">
      <c r="A128" s="5" t="n">
        <v>127</v>
      </c>
      <c r="B128" s="5" t="inlineStr">
        <is>
          <t>3D Bioprinting Skin Equivalents: A Methodological Perspective on Human Keratinocyte and Fibroblast Models for Wound Repair and Regeneration</t>
        </is>
      </c>
      <c r="C128" t="inlineStr"/>
      <c r="D128" s="5" t="inlineStr">
        <is>
          <t>Dos Santos, J.A., et al., 3D Bioprinting Skin Equivalents: A Methodological Perspective on Human Keratinocyte and Fibroblast Models for Wound Repair and Regeneration. Wound Repair and Regeneration, 2025. 33(4): p. e70056.</t>
        </is>
      </c>
    </row>
    <row r="129">
      <c r="A129" s="5" t="n">
        <v>128</v>
      </c>
      <c r="B129" s="5" t="inlineStr">
        <is>
          <t>Fibrinogen-based bioink for application in skin equivalent 3D bioprinting</t>
        </is>
      </c>
      <c r="C129" s="5" t="inlineStr">
        <is>
          <t>10.3390/jfb14090459</t>
        </is>
      </c>
      <c r="D129" s="5" t="inlineStr">
        <is>
          <t>Cavallo, A., et al., Fibrinogen-based bioink for application in skin equivalent 3D bioprinting. Journal of Functional Biomaterials, 2023. 14(9): p. 459.</t>
        </is>
      </c>
    </row>
    <row r="130">
      <c r="A130" s="5" t="n">
        <v>129</v>
      </c>
      <c r="B130" s="5" t="inlineStr">
        <is>
          <t>Properties of collagen/sodium alginate hydrogels for bioprinting of skin models</t>
        </is>
      </c>
      <c r="C130" s="5" t="inlineStr">
        <is>
          <t>10.1007/s42235-022-00251-8</t>
        </is>
      </c>
      <c r="D130" s="5" t="inlineStr">
        <is>
          <t>Jiao, T., et al., Properties of collagen/sodium alginate hydrogels for bioprinting of skin models. Journal of Bionic Engineering, 2023. 20(1): p. 105–118.</t>
        </is>
      </c>
    </row>
    <row r="131">
      <c r="A131" s="5" t="n">
        <v>130</v>
      </c>
      <c r="B131" s="5" t="inlineStr">
        <is>
          <t>3D Bioprinting a Novel Skin Co‐Culture Model Using Human Keratinocytes and Fibroblasts</t>
        </is>
      </c>
      <c r="C131" s="5" t="inlineStr">
        <is>
          <t>10.1002/jbm.a.37831</t>
        </is>
      </c>
      <c r="D131" s="5" t="inlineStr">
        <is>
          <t>Andrade, T.A., et al., 3D Bioprinting a Novel Skin Co‐Culture Model Using Human Keratinocytes and Fibroblasts. Journal of Biomedical Materials Research Part A, 2025. 113(1): p. e37831.</t>
        </is>
      </c>
    </row>
    <row r="132">
      <c r="A132" s="5" t="n">
        <v>131</v>
      </c>
      <c r="B132" s="5" t="inlineStr">
        <is>
          <t>Bilayer tissue-engineered skin loaded with confining forces enhances epidermal proliferation to promote full-thickness wound healing</t>
        </is>
      </c>
      <c r="C132" t="inlineStr">
        <is>
          <t>10.1016/j.mtcomm.2025.113049</t>
        </is>
      </c>
      <c r="D132" s="5" t="inlineStr">
        <is>
          <t>Xu, C., et al., Bilayer tissue-engineered skin loaded with confining forces enhances epidermal proliferation to promote full-thickness wound healing. Materials Today Communications, 2025. 47: p. 113049.</t>
        </is>
      </c>
    </row>
    <row r="133">
      <c r="A133" s="5" t="n">
        <v>132</v>
      </c>
      <c r="B133" s="5" t="inlineStr">
        <is>
          <t>3D bioprinted skin substitutes for accelerated wound healing and reduced scar</t>
        </is>
      </c>
      <c r="C133" s="5" t="inlineStr">
        <is>
          <t>10.1007/s42235-021-0053-8</t>
        </is>
      </c>
      <c r="D133" s="5" t="inlineStr">
        <is>
          <t>Lian, Q., et al., 3D bioprinted skin substitutes for accelerated wound healing and reduced scar. Journal of Bionic Engineering, 2021. 18(4): p. 900–914.</t>
        </is>
      </c>
    </row>
    <row r="134">
      <c r="A134" s="5" t="n">
        <v>133</v>
      </c>
      <c r="B134" s="5" t="inlineStr">
        <is>
          <t>Development and application of a mechanical arm-based in situ 3D bioprinting method for the repair of skin wounds</t>
        </is>
      </c>
      <c r="C134" t="inlineStr">
        <is>
          <t>10.1007/s42452-024-06043-5</t>
        </is>
      </c>
      <c r="D134" s="5" t="inlineStr">
        <is>
          <t>Zhou, X., et al., Development and application of a mechanical arm-based in situ 3D bioprinting method for the repair of skin wounds. Discover Applied Sciences, 2024. 6(8): p. 438.</t>
        </is>
      </c>
    </row>
    <row r="135">
      <c r="A135" s="5" t="n">
        <v>134</v>
      </c>
      <c r="B135" s="5" t="inlineStr">
        <is>
          <t>Functionalizing multi-component bioink with platelet-rich plasma for customized in-situ bilayer bioprinting for wound healing</t>
        </is>
      </c>
      <c r="C135" s="5" t="inlineStr">
        <is>
          <t>10.1016/j.mtbio.2022.100334</t>
        </is>
      </c>
      <c r="D135" s="5" t="inlineStr">
        <is>
          <t>Zhao, M., et al., Functionalizing multi-component bioink with platelet-rich plasma for customized in-situ bilayer bioprinting for wound healing. Materials Today Bio, 2022. 16: p. 100334.</t>
        </is>
      </c>
    </row>
    <row r="136">
      <c r="A136" s="5" t="n">
        <v>135</v>
      </c>
      <c r="B136" s="5" t="inlineStr">
        <is>
          <t>Integrating microfluidic and bioprinting technologies: advanced strategies for tissue vascularization</t>
        </is>
      </c>
      <c r="C136" t="inlineStr"/>
      <c r="D136" s="5" t="inlineStr">
        <is>
          <t>Mei, X., et al., Integrating microfluidic and bioprinting technologies: advanced strategies for tissue vascularization. Lab on a Chip, 2025. 25(5): p. 764–786.</t>
        </is>
      </c>
    </row>
    <row r="137">
      <c r="A137" s="5" t="n">
        <v>136</v>
      </c>
      <c r="B137" s="5" t="inlineStr">
        <is>
          <t>A bioprinted vascularized skin substitute with fibroblasts, keratinocytes, and endothelial progenitor cells for skin wound healing</t>
        </is>
      </c>
      <c r="C137" t="inlineStr">
        <is>
          <t>10.1016/j.bprint.2022.e00237</t>
        </is>
      </c>
      <c r="D137" s="5" t="inlineStr">
        <is>
          <t>Dai, L.-G., et al., A bioprinted vascularized skin substitute with fibroblasts, keratinocytes, and endothelial progenitor cells for skin wound healing. Bioprinting, 2022. 28: p. e00237.</t>
        </is>
      </c>
    </row>
    <row r="138">
      <c r="A138" s="5" t="n">
        <v>137</v>
      </c>
      <c r="B138" s="5" t="inlineStr">
        <is>
          <t>Three dimensional bioprinting of a vascularized and perfusable skin graft using human keratinocytes, fibroblasts, pericytes, and endothelial cells</t>
        </is>
      </c>
      <c r="C138" t="inlineStr">
        <is>
          <t>10.1089/ten.TEA.2019.0201</t>
        </is>
      </c>
      <c r="D138" s="5" t="inlineStr">
        <is>
          <t>Baltazar, T., et al., Three dimensional bioprinting of a vascularized and perfusable skin graft using human keratinocytes, fibroblasts, pericytes, and endothelial cells. Tissue Engineering Part A, 2020. 26(5-6): p. 227–238.</t>
        </is>
      </c>
    </row>
    <row r="139">
      <c r="A139" s="5" t="n">
        <v>138</v>
      </c>
      <c r="B139" s="5" t="inlineStr">
        <is>
          <t>3D bioprinting bioglass to construct vascularized full-thickness skin substitutes for wound healing</t>
        </is>
      </c>
      <c r="C139" t="inlineStr">
        <is>
          <t>10.1016/j.mtbio.2023.100899</t>
        </is>
      </c>
      <c r="D139" s="5" t="inlineStr">
        <is>
          <t>Liu, Y., et al., 3D bioprinting bioglass to construct vascularized full-thickness skin substitutes for wound healing. Materials Today Bio, 2024. 24: p. 100899.</t>
        </is>
      </c>
    </row>
    <row r="140">
      <c r="A140" s="5" t="n">
        <v>139</v>
      </c>
      <c r="B140" s="5" t="inlineStr">
        <is>
          <t>An in vitro autologous, vascularized, and immunocompetent Tissue Engineered Skin model obtained by the self-assembled approach</t>
        </is>
      </c>
      <c r="C140" t="inlineStr"/>
      <c r="D140" s="5" t="inlineStr">
        <is>
          <t>Attiogbe, E., et al., An in vitro autologous, vascularized, and immunocompetent Tissue Engineered Skin model obtained by the self-assembled approach. Acta Biomaterialia, 2023. 168: p. 361–371.</t>
        </is>
      </c>
    </row>
    <row r="141">
      <c r="A141" s="5" t="n">
        <v>140</v>
      </c>
      <c r="B141" s="5" t="inlineStr">
        <is>
          <t>Macrophages significantly enhance wound healing in a vascularized skin model</t>
        </is>
      </c>
      <c r="C141" t="inlineStr">
        <is>
          <t>10.1002/jbm.a.36648</t>
        </is>
      </c>
      <c r="D141" s="5" t="inlineStr">
        <is>
          <t>Kreimendahl, F., et al., Macrophages significantly enhance wound healing in a vascularized skin model. Journal of Biomedical Materials Research Part A, 2019. 107(6): p. 1340–1350.</t>
        </is>
      </c>
    </row>
    <row r="142">
      <c r="A142" s="5" t="n">
        <v>141</v>
      </c>
      <c r="B142" s="5" t="inlineStr">
        <is>
          <t>Bioengineered Skin Grafts from Patient‐Derived Decellularized Extracellular Matrix and Autologous Cells for Personalized Regenerative</t>
        </is>
      </c>
      <c r="C142" t="inlineStr"/>
      <c r="D142" s="5" t="inlineStr">
        <is>
          <t>Kang, R., et al., Bioengineered Skin Grafts from Patient‐Derived Decellularized Extracellular Matrix and Autologous Cells for Personalized Regenerative. Advanced Science, 2025. 12(44): p. e11889.</t>
        </is>
      </c>
    </row>
    <row r="143">
      <c r="A143" s="5" t="n">
        <v>142</v>
      </c>
      <c r="B143" s="5" t="inlineStr">
        <is>
          <t>Engineering of diseased human skin equivalent using 3D cell printing for representing pathophysiological hallmarks of type 2 diabetes in vitro</t>
        </is>
      </c>
      <c r="C143" t="inlineStr">
        <is>
          <t>10.1016/j.biomaterials.2021.120776</t>
        </is>
      </c>
      <c r="D143" s="5" t="inlineStr">
        <is>
          <t>Kim, B.S., et al., Engineering of diseased human skin equivalent using 3D cell printing for representing pathophysiological hallmarks of type 2 diabetes in vitro. Biomaterials, 2021. 272: p. 120776.</t>
        </is>
      </c>
    </row>
    <row r="144">
      <c r="A144" s="5" t="n">
        <v>143</v>
      </c>
      <c r="B144" s="5" t="inlineStr">
        <is>
          <t>Natural 3D-printed bioinks for skin regeneration and wound healing: A systematic review</t>
        </is>
      </c>
      <c r="C144" t="inlineStr"/>
      <c r="D144" s="5" t="inlineStr">
        <is>
          <t>Smandri, A., et al., Natural 3D-printed bioinks for skin regeneration and wound healing: A systematic review. Polymers, 2020. 12(8): p. 1782.</t>
        </is>
      </c>
    </row>
    <row r="145">
      <c r="A145" s="5" t="n">
        <v>144</v>
      </c>
      <c r="B145" s="5" t="inlineStr">
        <is>
          <t>3D bioprinting of in vitro vascularized skin models and in vivo skin grafts</t>
        </is>
      </c>
      <c r="C145" t="inlineStr"/>
      <c r="D145" s="5" t="inlineStr">
        <is>
          <t>Zhang, S., et al., 3D bioprinting of in vitro vascularized skin models and in vivo skin grafts. International Journal of Extreme Manufacturing, 2026.</t>
        </is>
      </c>
    </row>
    <row r="146">
      <c r="A146" s="5" t="n">
        <v>145</v>
      </c>
      <c r="B146" s="5" t="inlineStr">
        <is>
          <t>Construction of 3D multicellular microfluidic chip for an in vitro skin model</t>
        </is>
      </c>
      <c r="C146" t="inlineStr"/>
      <c r="D146" s="5" t="inlineStr">
        <is>
          <t>Lee, S., et al., Construction of 3D multicellular microfluidic chip for an in vitro skin model. Biomedical microdevices, 2017. 19(2): p. 22.</t>
        </is>
      </c>
    </row>
    <row r="147">
      <c r="A147" s="5" t="n">
        <v>146</v>
      </c>
      <c r="B147" s="5" t="inlineStr">
        <is>
          <t>Vascularised human skin equivalents as a novel in vitro model of skin fibrosis and platform for testing of antifibrotic drugs</t>
        </is>
      </c>
      <c r="C147" t="inlineStr"/>
      <c r="D147" s="5" t="inlineStr">
        <is>
          <t>Matei, A.-E., et al., Vascularised human skin equivalents as a novel in vitro model of skin fibrosis and platform for testing of antifibrotic drugs. Annals of the rheumatic diseases, 2019. 78(12): p. 1686–1692.</t>
        </is>
      </c>
    </row>
    <row r="148">
      <c r="A148" s="5" t="n">
        <v>147</v>
      </c>
      <c r="B148" s="5" t="inlineStr">
        <is>
          <t>Advanced Online Monitoring of In Vitro Human 3D Full-Thickness Skin Equivalents</t>
        </is>
      </c>
      <c r="C148" t="inlineStr"/>
      <c r="D148" s="5" t="inlineStr">
        <is>
          <t>Schaller-Ammann, R., et al., Advanced Online Monitoring of In Vitro Human 3D Full-Thickness Skin Equivalents. Pharmaceutics, 2022. 14(7): p. 1436.</t>
        </is>
      </c>
    </row>
    <row r="149">
      <c r="A149" s="5" t="n">
        <v>148</v>
      </c>
      <c r="B149" s="5" t="inlineStr">
        <is>
          <t>Development of immunocompetent full thickness skin tissue constructs to model skin fibrosis for high-throughput drug screening</t>
        </is>
      </c>
      <c r="C149" t="inlineStr"/>
      <c r="D149" s="5" t="inlineStr">
        <is>
          <t>Lim, Y.W., et al., Development of immunocompetent full thickness skin tissue constructs to model skin fibrosis for high-throughput drug screening. Biofabrication, 2025. 17(1): p. 015033.</t>
        </is>
      </c>
    </row>
    <row r="150">
      <c r="A150" s="5" t="n">
        <v>149</v>
      </c>
      <c r="B150" s="5" t="inlineStr">
        <is>
          <t>Histological and functional characterization of 3D human skin models mimicking the inflammatory skin diseases psoriasis and atopic dermatitis</t>
        </is>
      </c>
      <c r="C150" s="5" t="inlineStr"/>
      <c r="D150" s="5" t="inlineStr">
        <is>
          <t>Scheurer, J., et al., Histological and functional characterization of 3D human skin models mimicking the inflammatory skin diseases psoriasis and atopic dermatitis. Disease Models &amp; Mechanisms, 2024. 17(1): p. dmm050541.</t>
        </is>
      </c>
    </row>
    <row r="151">
      <c r="A151" s="5" t="n">
        <v>150</v>
      </c>
      <c r="B151" s="5" t="inlineStr">
        <is>
          <t>“Neuro-Vascularized Skin Organoids”: Novel Exploratory Research Tools in Leprosy</t>
        </is>
      </c>
      <c r="C151" t="inlineStr"/>
      <c r="D151" s="5" t="inlineStr">
        <is>
          <t>Sharma, K., S. Chhabra, and M. Sharma, “Neuro-Vascularized Skin Organoids”: Novel Exploratory Research Tools in Leprosy. Indian Dermatology Online Journal, 2022. 13(3): p. 388–389.</t>
        </is>
      </c>
    </row>
    <row r="152">
      <c r="A152" s="5" t="n">
        <v>151</v>
      </c>
      <c r="B152" s="5" t="inlineStr">
        <is>
          <t>A simple method for the production of human skin equivalent in 3D, multi-cell culture</t>
        </is>
      </c>
      <c r="C152" t="inlineStr"/>
      <c r="D152" s="5" t="inlineStr">
        <is>
          <t>Szymański, Ł., et al., A simple method for the production of human skin equivalent in 3D, multi-cell culture. International journal of molecular sciences, 2020. 21(13): p. 4644.</t>
        </is>
      </c>
    </row>
    <row r="153">
      <c r="A153" s="5" t="n">
        <v>152</v>
      </c>
      <c r="B153" s="5" t="inlineStr">
        <is>
          <t>Simultaneous evaluation of anti-EGFR-induced tumour and adverse skin effects in a microfluidic human 3D co-culture model</t>
        </is>
      </c>
      <c r="C153" t="inlineStr"/>
      <c r="D153" s="5" t="inlineStr">
        <is>
          <t>Hübner, J., et al., Simultaneous evaluation of anti-EGFR-induced tumour and adverse skin effects in a microfluidic human 3D co-culture model. Scientific Reports, 2018. 8(1): p. 15010.</t>
        </is>
      </c>
    </row>
    <row r="154">
      <c r="A154" s="5" t="n">
        <v>153</v>
      </c>
      <c r="B154" s="5" t="inlineStr">
        <is>
          <t>Innovations in skin microphysiological systems for nonclinical testing and FDA modernization</t>
        </is>
      </c>
      <c r="C154" t="inlineStr"/>
      <c r="D154" s="5" t="inlineStr">
        <is>
          <t>Lee, T., et al., Innovations in skin microphysiological systems for nonclinical testing and FDA modernization. Microsystems &amp; Nanoengineering, 2026. 12(1): p. 44.</t>
        </is>
      </c>
    </row>
    <row r="155">
      <c r="A155" s="5" t="n">
        <v>154</v>
      </c>
      <c r="B155" s="5" t="inlineStr">
        <is>
          <t>Microfluidic and lab-on-a-chip systems for cutaneous wound healing studies</t>
        </is>
      </c>
      <c r="C155" s="5" t="inlineStr"/>
      <c r="D155" s="5" t="inlineStr">
        <is>
          <t>Shabestani Monfared, G., P. Ertl, and M. Rothbauer, Microfluidic and lab-on-a-chip systems for cutaneous wound healing studies. Pharmaceutics, 2021. 13(6): p. 793.</t>
        </is>
      </c>
    </row>
    <row r="156">
      <c r="A156" s="5" t="n">
        <v>155</v>
      </c>
      <c r="B156" s="5" t="inlineStr">
        <is>
          <t>A 3D millifluidic model of a dermal perivascular microenvironment on a chip</t>
        </is>
      </c>
      <c r="C156" s="5" t="inlineStr">
        <is>
          <t>10.1039/d4lc00898g</t>
        </is>
      </c>
      <c r="D156" s="5" t="inlineStr">
        <is>
          <t>Martinelli, C., et al., A 3D millifluidic model of a dermal perivascular microenvironment on a chip. Lab on a Chip, 2025. 25(3): p. 423–439.</t>
        </is>
      </c>
    </row>
    <row r="157">
      <c r="A157" s="5" t="n">
        <v>156</v>
      </c>
      <c r="B157" s="5" t="inlineStr">
        <is>
          <t>Microphysiological systems for the modeling of wound healing and evaluation of pro-healing therapies</t>
        </is>
      </c>
      <c r="C157" t="inlineStr"/>
      <c r="D157" s="5" t="inlineStr">
        <is>
          <t>Deal, H.E., A.C. Brown, and M.A. Daniele, Microphysiological systems for the modeling of wound healing and evaluation of pro-healing therapies. Journal of Materials Chemistry B, 2020. 8(32): p. 7062–7075.</t>
        </is>
      </c>
    </row>
    <row r="158">
      <c r="A158" s="5" t="n">
        <v>157</v>
      </c>
      <c r="B158" s="5" t="inlineStr">
        <is>
          <t>3D bioprinting of a perfusable skin-on-chip model suitable for drug testing and wound healing studies</t>
        </is>
      </c>
      <c r="C158" t="inlineStr"/>
      <c r="D158" s="5" t="inlineStr">
        <is>
          <t>Maggiotto, F., et al., 3D bioprinting of a perfusable skin-on-chip model suitable for drug testing and wound healing studies. Materials Today Bio, 2025. 33: p. 101974.</t>
        </is>
      </c>
    </row>
    <row r="159">
      <c r="A159" s="5" t="n">
        <v>158</v>
      </c>
      <c r="B159" s="5" t="inlineStr">
        <is>
          <t>Design and evaluation of a skin-on-a-chip pumpless microfluidic device</t>
        </is>
      </c>
      <c r="C159" t="inlineStr">
        <is>
          <t>10.1038/s41598-023-34796-3</t>
        </is>
      </c>
      <c r="D159" s="5" t="inlineStr">
        <is>
          <t>Mohamadali, M., et al., Design and evaluation of a skin-on-a-chip pumpless microfluidic device. Scientific Reports, 2023. 13(1): p. 8861.</t>
        </is>
      </c>
    </row>
    <row r="160">
      <c r="A160" s="5" t="n">
        <v>159</v>
      </c>
      <c r="B160" s="5" t="inlineStr">
        <is>
          <t>A new microfluidic method enabling the generation of multi-layered tissues-on-chips using skin cells as a proof of concept</t>
        </is>
      </c>
      <c r="C160" s="5" t="inlineStr">
        <is>
          <t>10.1038/s41598-021-91875-z</t>
        </is>
      </c>
      <c r="D160" s="5" t="inlineStr">
        <is>
          <t>Valencia, L., et al., A new microfluidic method enabling the generation of multi-layered tissues-on-chips using skin cells as a proof of concept. Scientific reports, 2021. 11(1): p. 13160.</t>
        </is>
      </c>
    </row>
    <row r="161">
      <c r="A161" s="5" t="n">
        <v>160</v>
      </c>
      <c r="B161" s="5" t="inlineStr">
        <is>
          <t>An on-chip wound healing assay fabricated by xurography for evaluation of dermal fibroblast cell migration and wound closure</t>
        </is>
      </c>
      <c r="C161" s="5" t="inlineStr"/>
      <c r="D161" s="5" t="inlineStr">
        <is>
          <t>Shabestani Monfared, G., P. Ertl, and M. Rothbauer, An on-chip wound healing assay fabricated by xurography for evaluation of dermal fibroblast cell migration and wound closure. Scientific reports, 2020. 10(1): p. 16192.</t>
        </is>
      </c>
    </row>
    <row r="162">
      <c r="A162" s="5" t="n">
        <v>161</v>
      </c>
      <c r="B162" s="5" t="inlineStr">
        <is>
          <t>Wound healing assay on a gravity-driven unidirectional perfusion microfluidic device</t>
        </is>
      </c>
      <c r="C162" t="inlineStr"/>
      <c r="D162" s="5" t="inlineStr">
        <is>
          <t>Chen, Y., et al., Wound healing assay on a gravity-driven unidirectional perfusion microfluidic device. Microchemical Journal, 2025. 208: p. 112289.</t>
        </is>
      </c>
    </row>
    <row r="163">
      <c r="A163" s="5" t="n">
        <v>162</v>
      </c>
      <c r="B163" s="5" t="inlineStr">
        <is>
          <t>Microfluidic oxygen gradient assay unveils metabolic shifts in HaCaT cell migration under diabetic conditions</t>
        </is>
      </c>
      <c r="C163" s="5" t="inlineStr"/>
      <c r="D163" s="5" t="inlineStr">
        <is>
          <t>Orabi, M., et al., Microfluidic oxygen gradient assay unveils metabolic shifts in HaCaT cell migration under diabetic conditions. Integrative Biology, 2025. 17: p. zyaf006.</t>
        </is>
      </c>
    </row>
    <row r="164">
      <c r="A164" s="5" t="n">
        <v>163</v>
      </c>
      <c r="B164" s="5" t="inlineStr">
        <is>
          <t>Establishment of physiologically relevant oxygen gradients in microfluidic organ chips</t>
        </is>
      </c>
      <c r="C164" t="inlineStr">
        <is>
          <t>10.1039/d2lc00069e</t>
        </is>
      </c>
      <c r="D164" s="5" t="inlineStr">
        <is>
          <t>Grant, J., et al., Establishment of physiologically relevant oxygen gradients in microfluidic organ chips. Lab on a Chip, 2022. 22(8): p. 1584–1593.</t>
        </is>
      </c>
    </row>
    <row r="165">
      <c r="A165" s="5" t="n">
        <v>164</v>
      </c>
      <c r="B165" s="5" t="inlineStr">
        <is>
          <t>Studying sprouting angiogenesis under combination of oxygen gradients and co-culture of fibroblasts using microfluidic cell culture model</t>
        </is>
      </c>
      <c r="C165" t="inlineStr">
        <is>
          <t>10.1016/j.mtbio.2023.100703</t>
        </is>
      </c>
      <c r="D165" s="5" t="inlineStr">
        <is>
          <t>Hsu, H.-H., et al., Studying sprouting angiogenesis under combination of oxygen gradients and co-culture of fibroblasts using microfluidic cell culture model. Materials Today Bio, 2023. 21: p. 100703.</t>
        </is>
      </c>
    </row>
    <row r="166">
      <c r="A166" s="5" t="n">
        <v>165</v>
      </c>
      <c r="B166" s="5" t="inlineStr">
        <is>
          <t>Standardizing designed and emergent quantitative features in microphysiological systems</t>
        </is>
      </c>
      <c r="C166" s="5" t="inlineStr"/>
      <c r="D166" s="5" t="inlineStr">
        <is>
          <t>Nahon, D.M., et al., Standardizing designed and emergent quantitative features in microphysiological systems. Nature biomedical engineering, 2024. 8(8): p. 941–962.</t>
        </is>
      </c>
    </row>
    <row r="167">
      <c r="A167" s="5" t="n">
        <v>166</v>
      </c>
      <c r="B167" s="5" t="inlineStr">
        <is>
          <t>In silico approach for validating organ-on-chips: exemplifying through a skin-on-chip device</t>
        </is>
      </c>
      <c r="C167" t="inlineStr">
        <is>
          <t>10.1007/s10404-025-02863-y</t>
        </is>
      </c>
      <c r="D167" s="5" t="inlineStr">
        <is>
          <t>Chaturvedi, D., et al., In silico approach for validating organ-on-chips: exemplifying through a skin-on-chip device. Microfluidics and Nanofluidics, 2026. 30(1): p. 6.</t>
        </is>
      </c>
    </row>
    <row r="168">
      <c r="A168" s="5" t="n">
        <v>167</v>
      </c>
      <c r="B168" s="5" t="inlineStr">
        <is>
          <t>Simulating inflammation in a wound microenvironment using a dermal wound‐on‐a‐chip model</t>
        </is>
      </c>
      <c r="C168" t="inlineStr"/>
      <c r="D168" s="5" t="inlineStr">
        <is>
          <t>Biglari, S., et al., Simulating inflammation in a wound microenvironment using a dermal wound‐on‐a‐chip model. Advanced healthcare materials, 2019. 8(1): p. 1801307.</t>
        </is>
      </c>
    </row>
    <row r="169">
      <c r="A169" s="5" t="n">
        <v>168</v>
      </c>
      <c r="B169" s="5" t="inlineStr">
        <is>
          <t>Assessing the inflammatory response to in vitro polymicrobial wound biofilms in a skin epidermis model</t>
        </is>
      </c>
      <c r="C169" t="inlineStr"/>
      <c r="D169" s="5" t="inlineStr">
        <is>
          <t>Brown, J.L., et al., Assessing the inflammatory response to in vitro polymicrobial wound biofilms in a skin epidermis model. npj Biofilms and Microbiomes, 2022. 8(1): p. 19.</t>
        </is>
      </c>
    </row>
    <row r="170">
      <c r="A170" s="5" t="n">
        <v>169</v>
      </c>
      <c r="B170" s="5" t="inlineStr">
        <is>
          <t>An in vitro human vessel model to study Neisseria meningitidis colonization and vascular damages</t>
        </is>
      </c>
      <c r="C170" t="inlineStr">
        <is>
          <t>10.7554/eLife.107813</t>
        </is>
      </c>
      <c r="D170" s="5" t="inlineStr">
        <is>
          <t>Pinon, L., et al., An in vitro human vessel model to study Neisseria meningitidis colonization and vascular damages. Elife, 2025. 14: p. RP107813.</t>
        </is>
      </c>
    </row>
    <row r="171">
      <c r="A171" s="5" t="n">
        <v>170</v>
      </c>
      <c r="B171" s="5" t="inlineStr">
        <is>
          <t>Studying Candida Biofilms Across Species: Experimental Models, Structural Diversity, and Clinical Implications</t>
        </is>
      </c>
      <c r="C171" t="inlineStr"/>
      <c r="D171" s="5" t="inlineStr">
        <is>
          <t>Squitieri, D., et al., Studying Candida Biofilms Across Species: Experimental Models, Structural Diversity, and Clinical Implications. Pharmaceuticals, 2025. 19(1): p. 8.</t>
        </is>
      </c>
    </row>
    <row r="172">
      <c r="A172" s="5" t="n">
        <v>171</v>
      </c>
      <c r="B172" s="5" t="inlineStr">
        <is>
          <t>Human skin equivalents cultured under hypoxia display enhanced epidermal morphogenesis and lipid barrier formation</t>
        </is>
      </c>
      <c r="C172" t="inlineStr"/>
      <c r="D172" s="5" t="inlineStr">
        <is>
          <t>Mieremet, A., et al., Human skin equivalents cultured under hypoxia display enhanced epidermal morphogenesis and lipid barrier formation. Scientific reports, 2019. 9(1): p. 7811.</t>
        </is>
      </c>
    </row>
    <row r="173">
      <c r="A173" s="5" t="n">
        <v>172</v>
      </c>
      <c r="B173" s="5" t="inlineStr">
        <is>
          <t>Oxygen management at the microscale: a functional biochip material with long-lasting and tunable oxygen scavenging properties for cell culture applications</t>
        </is>
      </c>
      <c r="C173" t="inlineStr"/>
      <c r="D173" s="5" t="inlineStr">
        <is>
          <t>Sticker, D., et al., Oxygen management at the microscale: a functional biochip material with long-lasting and tunable oxygen scavenging properties for cell culture applications. ACS applied materials &amp; interfaces, 2019. 11(10): p. 9730–9739.</t>
        </is>
      </c>
    </row>
    <row r="174">
      <c r="A174" s="5" t="n">
        <v>173</v>
      </c>
      <c r="B174" s="5" t="inlineStr">
        <is>
          <t>Measuring and regulating oxygen levels in microphysiological systems: Design, material, and sensor considerations</t>
        </is>
      </c>
      <c r="C174" t="inlineStr"/>
      <c r="D174" s="5" t="inlineStr">
        <is>
          <t>Rivera, K.R., et al., Measuring and regulating oxygen levels in microphysiological systems: Design, material, and sensor considerations. Analyst, 2019. 144(10): p. 3190–3215.</t>
        </is>
      </c>
    </row>
    <row r="175">
      <c r="A175" s="5" t="n">
        <v>174</v>
      </c>
      <c r="B175" s="5" t="inlineStr">
        <is>
          <t>Microfluidic model to evaluate astrocyte activation in penumbral region following ischemic stroke</t>
        </is>
      </c>
      <c r="C175" t="inlineStr"/>
      <c r="D175" s="5" t="inlineStr">
        <is>
          <t>Denecke, K.M., et al., Microfluidic model to evaluate astrocyte activation in penumbral region following ischemic stroke. Cells, 2022. 11(15): p. 2356.</t>
        </is>
      </c>
    </row>
    <row r="176">
      <c r="A176" s="5" t="n">
        <v>175</v>
      </c>
      <c r="B176" s="5" t="inlineStr">
        <is>
          <t>Effect of hypoxic hepatocytes on normoxic proximal tubular cells on microfluidic devices</t>
        </is>
      </c>
      <c r="C176" t="inlineStr"/>
      <c r="D176" s="5" t="inlineStr">
        <is>
          <t>Park, J., et al., Effect of hypoxic hepatocytes on normoxic proximal tubular cells on microfluidic devices. Microfluidics and Nanofluidics, 2022. 26(8): p. 61.</t>
        </is>
      </c>
    </row>
    <row r="177">
      <c r="A177" s="5" t="n">
        <v>176</v>
      </c>
      <c r="B177" s="5" t="inlineStr">
        <is>
          <t>Integration of immune cells in organs-on-chips: a tutorial</t>
        </is>
      </c>
      <c r="C177" t="inlineStr"/>
      <c r="D177" s="5" t="inlineStr">
        <is>
          <t>Van Os, L., B. Engelhardt, and O.T. Guenat, Integration of immune cells in organs-on-chips: a tutorial. Frontiers in bioengineering and biotechnology, 2023. 11: p. 1191104.</t>
        </is>
      </c>
    </row>
    <row r="178">
      <c r="A178" s="5" t="n">
        <v>177</v>
      </c>
      <c r="B178" s="5" t="inlineStr">
        <is>
          <t>Fibrosis‐on‐Chip: A Guide to Recapitulate the Essential Features of Fibrotic Disease</t>
        </is>
      </c>
      <c r="C178" t="inlineStr"/>
      <c r="D178" s="5" t="inlineStr">
        <is>
          <t>Streutker, E.M., et al., Fibrosis‐on‐Chip: A Guide to Recapitulate the Essential Features of Fibrotic Disease. Advanced healthcare materials, 2024. 13(21): p. 2303991.</t>
        </is>
      </c>
    </row>
    <row r="179">
      <c r="A179" s="5" t="n">
        <v>178</v>
      </c>
      <c r="B179" s="5" t="inlineStr">
        <is>
          <t>A microfluidic wearable device for wound exudate management and analysis in human chronic wounds</t>
        </is>
      </c>
      <c r="C179" s="5" t="inlineStr"/>
      <c r="D179" s="5" t="inlineStr">
        <is>
          <t>Wang, C., et al., A microfluidic wearable device for wound exudate management and analysis in human chronic wounds. Science translational medicine, 2025. 17(795): p. eadt0882.</t>
        </is>
      </c>
    </row>
    <row r="180">
      <c r="A180" s="5" t="n">
        <v>179</v>
      </c>
      <c r="B180" s="5" t="inlineStr">
        <is>
          <t>Wearable flexible microfluidic sensing technologies</t>
        </is>
      </c>
      <c r="C180" s="5" t="inlineStr"/>
      <c r="D180" s="5" t="inlineStr">
        <is>
          <t>Chen, S., et al., Wearable flexible microfluidic sensing technologies. Nature Reviews Bioengineering, 2023. 1(12): p. 950–971.</t>
        </is>
      </c>
    </row>
    <row r="181">
      <c r="A181" s="5" t="n">
        <v>180</v>
      </c>
      <c r="B181" s="5" t="inlineStr">
        <is>
          <t>Biosensors integrated within wearable devices for monitoring chronic wound status</t>
        </is>
      </c>
      <c r="C181" s="5" t="inlineStr"/>
      <c r="D181" s="5" t="inlineStr">
        <is>
          <t>Szunerits, S., et al., Biosensors integrated within wearable devices for monitoring chronic wound status. APL bioengineering, 2025. 9(1).</t>
        </is>
      </c>
    </row>
    <row r="182">
      <c r="A182" s="5" t="n">
        <v>181</v>
      </c>
      <c r="B182" s="5" t="inlineStr">
        <is>
          <t>A 3D microfluidic model for preclinical drug permeation studies: Advancing validation of skin-on-chip technology</t>
        </is>
      </c>
      <c r="C182" t="inlineStr">
        <is>
          <t>10.1016/j.jpba.2025.117187</t>
        </is>
      </c>
      <c r="D182" s="5" t="inlineStr">
        <is>
          <t>Pallaprolu, N., et al., A 3D microfluidic model for preclinical drug permeation studies: Advancing validation of skin-on-chip technology. Journal of Pharmaceutical and Biomedical Analysis, 2026. 268.</t>
        </is>
      </c>
    </row>
    <row r="183">
      <c r="A183" s="5" t="n">
        <v>182</v>
      </c>
      <c r="B183" s="5" t="inlineStr">
        <is>
          <t>A flexible and multimodal biosensing patch integrated with microfluidics for chronic wound monitoring</t>
        </is>
      </c>
      <c r="C183" t="inlineStr">
        <is>
          <t>10.1016/j.cej.2024.157673</t>
        </is>
      </c>
      <c r="D183" s="5" t="inlineStr">
        <is>
          <t>Reza, M.S., et al., A flexible and multimodal biosensing patch integrated with microfluidics for chronic wound monitoring. Chemical Engineering Journal, 2024. 501: p. 157673.</t>
        </is>
      </c>
    </row>
    <row r="184">
      <c r="A184" s="5" t="n">
        <v>183</v>
      </c>
      <c r="B184" s="5" t="inlineStr">
        <is>
          <t>A miniaturized, battery‐free, wireless wound monitor that predicts wound closure rate early</t>
        </is>
      </c>
      <c r="C184" t="inlineStr">
        <is>
          <t>10.1002/adhm.202301280</t>
        </is>
      </c>
      <c r="D184" s="5" t="inlineStr">
        <is>
          <t>Garland, N.T., et al., A miniaturized, battery‐free, wireless wound monitor that predicts wound closure rate early. Advanced healthcare materials, 2023. 12(28): p. 2301280.</t>
        </is>
      </c>
    </row>
    <row r="185">
      <c r="A185" s="5" t="n">
        <v>184</v>
      </c>
      <c r="B185" s="5" t="inlineStr">
        <is>
          <t>Microfluidic oxygen sensor system as a tool to monitor the metabolism of mammalian cells</t>
        </is>
      </c>
      <c r="C185" s="5" t="inlineStr"/>
      <c r="D185" s="5" t="inlineStr">
        <is>
          <t>Bunge, F., et al., Microfluidic oxygen sensor system as a tool to monitor the metabolism of mammalian cells. Sensors and Actuators B: Chemical, 2019. 289: p. 24–31.</t>
        </is>
      </c>
    </row>
    <row r="186">
      <c r="A186" s="5" t="n">
        <v>185</v>
      </c>
      <c r="B186" s="5" t="inlineStr">
        <is>
          <t>Lab‐on‐a‐Fiber Wearable Multi‐Sensor for Monitoring Wound Healing</t>
        </is>
      </c>
      <c r="C186" s="5" t="inlineStr"/>
      <c r="D186" s="5" t="inlineStr">
        <is>
          <t>Giovannini, G., et al., Lab‐on‐a‐Fiber Wearable Multi‐Sensor for Monitoring Wound Healing. Advanced Healthcare Materials, 2024. 13(4): p. 2302603.</t>
        </is>
      </c>
    </row>
    <row r="187">
      <c r="A187" s="5" t="n">
        <v>186</v>
      </c>
      <c r="B187" s="5" t="inlineStr">
        <is>
          <t>Electrochemical detection of multianalyte biomarkers in wound healing efficacy</t>
        </is>
      </c>
      <c r="C187" t="inlineStr"/>
      <c r="D187" s="5" t="inlineStr">
        <is>
          <t>Simoska, O., J. Duay, and K.J. Stevenson, Electrochemical detection of multianalyte biomarkers in wound healing efficacy. ACS sensors, 2020. 5(11): p. 3547–3557.</t>
        </is>
      </c>
    </row>
    <row r="188">
      <c r="A188" s="5" t="n">
        <v>187</v>
      </c>
      <c r="B188" s="5" t="inlineStr">
        <is>
          <t>Wireless, closed-loop, smart bandage with integrated sensors and stimulators for advanced wound care and accelerated healing</t>
        </is>
      </c>
      <c r="C188" t="inlineStr">
        <is>
          <t>10.1038/s41587-022-01528-3</t>
        </is>
      </c>
      <c r="D188" s="5" t="inlineStr">
        <is>
          <t>Jiang, Y., et al., Wireless, closed-loop, smart bandage with integrated sensors and stimulators for advanced wound care and accelerated healing. Nature biotechnology, 2023. 41(5): p. 652–662.</t>
        </is>
      </c>
    </row>
    <row r="189">
      <c r="A189" s="5" t="n">
        <v>188</v>
      </c>
      <c r="B189" s="5" t="inlineStr">
        <is>
          <t>Smart Wound Management System Capable of On‐Chip Machine Learning and Closed‐Loop Therapeutic Feedback</t>
        </is>
      </c>
      <c r="C189" t="inlineStr">
        <is>
          <t>10.1002/adfm.202522329</t>
        </is>
      </c>
      <c r="D189" s="5" t="inlineStr">
        <is>
          <t>Wang, X., et al., Smart Wound Management System Capable of On‐Chip Machine Learning and Closed‐Loop Therapeutic Feedback. Advanced Functional Materials, 2026. 36(26): p. e22329.</t>
        </is>
      </c>
    </row>
    <row r="190">
      <c r="A190" s="5" t="n">
        <v>189</v>
      </c>
      <c r="B190" s="5" t="inlineStr">
        <is>
          <t>A new skin-on-chip model reveals biological adaptations of extravascular Trypanosoma brucei in the dermal microenvironment</t>
        </is>
      </c>
      <c r="C190" s="5" t="inlineStr"/>
      <c r="D190" s="5" t="inlineStr">
        <is>
          <t>Sharma, P., A new skin-on-chip model reveals biological adaptations of extravascular Trypanosoma brucei in the dermal microenvironment. 2025, Sorbonne Université (Paris).</t>
        </is>
      </c>
    </row>
    <row r="191">
      <c r="A191" s="5" t="n">
        <v>190</v>
      </c>
      <c r="B191" s="5" t="inlineStr">
        <is>
          <t>Microfluidic-based skin-on-chip systems for safety assessment of nanomaterials</t>
        </is>
      </c>
      <c r="C191" s="5" t="inlineStr"/>
      <c r="D191" s="5" t="inlineStr">
        <is>
          <t>Costa, S., et al., Microfluidic-based skin-on-chip systems for safety assessment of nanomaterials. Trends in biotechnology, 2023. 41(10): p. 1282–1298.</t>
        </is>
      </c>
    </row>
    <row r="192">
      <c r="A192" s="5" t="n">
        <v>191</v>
      </c>
      <c r="B192" s="5" t="inlineStr">
        <is>
          <t>In vitro permeation testing for the evaluation of drug delivery to the skin</t>
        </is>
      </c>
      <c r="C192" s="5" t="inlineStr"/>
      <c r="D192" s="5" t="inlineStr">
        <is>
          <t>Lane, M.E., In vitro permeation testing for the evaluation of drug delivery to the skin. European Journal of Pharmaceutical Sciences, 2024. 201: p. 106873.</t>
        </is>
      </c>
    </row>
    <row r="193">
      <c r="A193" s="5" t="n">
        <v>192</v>
      </c>
      <c r="B193" s="5" t="inlineStr">
        <is>
          <t>Skin-on-a-chip device for ex vivo monitoring of transdermal delivery of drugs—design, fabrication, and testing</t>
        </is>
      </c>
      <c r="C193" s="5" t="inlineStr">
        <is>
          <t>10.3390/pharmaceutics11090445</t>
        </is>
      </c>
      <c r="D193" s="5" t="inlineStr">
        <is>
          <t>Lukács, B., et al., Skin-on-a-chip device for ex vivo monitoring of transdermal delivery of drugs—design, fabrication, and testing. Pharmaceutics, 2019. 11(9): p. 445.</t>
        </is>
      </c>
    </row>
    <row r="194">
      <c r="A194" s="5" t="n">
        <v>193</v>
      </c>
      <c r="B194" s="5" t="inlineStr">
        <is>
          <t>Comparison between Franz diffusion cell and a novel micro-physiological system for in vitro penetration assay using different skin models</t>
        </is>
      </c>
      <c r="C194" s="5" t="inlineStr">
        <is>
          <t>10.1016/j.slast.2021.12.006</t>
        </is>
      </c>
      <c r="D194" s="5" t="inlineStr">
        <is>
          <t>Pulsoni, I., et al., Comparison between Franz diffusion cell and a novel micro-physiological system for in vitro penetration assay using different skin models. SLAS technology, 2022. 27(3): p. 161–171.</t>
        </is>
      </c>
    </row>
    <row r="195">
      <c r="A195" s="5" t="n">
        <v>194</v>
      </c>
      <c r="B195" s="5" t="inlineStr">
        <is>
          <t>Microphysiological heart–liver body-on-a-chip system with a skin mimic for evaluating topical drug delivery</t>
        </is>
      </c>
      <c r="C195" t="inlineStr">
        <is>
          <t>10.1039/c9lc00861f</t>
        </is>
      </c>
      <c r="D195" s="5" t="inlineStr">
        <is>
          <t>de Mello, C.P.P., et al., Microphysiological heart–liver body-on-a-chip system with a skin mimic for evaluating topical drug delivery. Lab on a Chip, 2020. 20(4): p. 749–759.</t>
        </is>
      </c>
    </row>
    <row r="196">
      <c r="A196" s="5" t="n">
        <v>195</v>
      </c>
      <c r="B196" s="5" t="inlineStr">
        <is>
          <t>Toxicity of topically applied drugs beyond skin irritation: Static skin model vs</t>
        </is>
      </c>
      <c r="C196" s="5" t="inlineStr">
        <is>
          <t>10.1016/j.ijpharm.2020.119788</t>
        </is>
      </c>
      <c r="D196" s="5" t="inlineStr">
        <is>
          <t>Tavares, R.S.N., et al., Toxicity of topically applied drugs beyond skin irritation: Static skin model vs. Two organs-on-a-chip. International Journal of Pharmaceutics, 2020. 589: p. 119788.</t>
        </is>
      </c>
    </row>
    <row r="197">
      <c r="A197" s="5" t="n">
        <v>196</v>
      </c>
      <c r="B197" s="5" t="inlineStr">
        <is>
          <t>Proof-of-concept organ-on-chip study: topical cinnamaldehyde exposure of reconstructed human skin with integrated neopapillae cultured under dynamic flow</t>
        </is>
      </c>
      <c r="C197" t="inlineStr">
        <is>
          <t>10.3390/pharmaceutics14081529</t>
        </is>
      </c>
      <c r="D197" s="5" t="inlineStr">
        <is>
          <t>Vahav, I., et al., Proof-of-concept organ-on-chip study: topical cinnamaldehyde exposure of reconstructed human skin with integrated neopapillae cultured under dynamic flow. Pharmaceutics, 2022. 14(8): p. 1529.</t>
        </is>
      </c>
    </row>
    <row r="198">
      <c r="A198" s="5" t="n">
        <v>197</v>
      </c>
      <c r="B198" s="5" t="inlineStr">
        <is>
          <t>Skin-on-a-Chip Coupled with a Rapid Inflammation Detection System for Cosmetic Ingredient Screening</t>
        </is>
      </c>
      <c r="C198" s="5" t="inlineStr"/>
      <c r="D198" s="5" t="inlineStr">
        <is>
          <t>Liu, Z., et al., Skin-on-a-Chip Coupled with a Rapid Inflammation Detection System for Cosmetic Ingredient Screening. Biomedical Materials &amp; Devices, 2025. 3(1): p. 610–620.</t>
        </is>
      </c>
    </row>
    <row r="199">
      <c r="A199" s="5" t="n">
        <v>198</v>
      </c>
      <c r="B199" s="5" t="inlineStr">
        <is>
          <t>Skin-on-Chip and clinical evaluation of the soothing potential of a topical natural treatment for atopic-prone skin: An exploratory study</t>
        </is>
      </c>
      <c r="C199" s="5" t="inlineStr">
        <is>
          <t>10.1016/j.biopha.2025.118957</t>
        </is>
      </c>
      <c r="D199" s="5" t="inlineStr">
        <is>
          <t>Gianesin, K., et al., Skin-on-Chip and clinical evaluation of the soothing potential of a topical natural treatment for atopic-prone skin: An exploratory study. Biomedicine &amp; Pharmacotherapy, 2026. 194: p. 118957.</t>
        </is>
      </c>
    </row>
    <row r="200">
      <c r="A200" s="5" t="n">
        <v>199</v>
      </c>
      <c r="B200" s="5" t="inlineStr">
        <is>
          <t>Hydrogel-Based Platforms for Wound Care: Integrated Strategies for Antimicrobial Delivery and Biofilm Management</t>
        </is>
      </c>
      <c r="C200" s="5" t="inlineStr"/>
      <c r="D200" s="5" t="inlineStr">
        <is>
          <t>Mihai, G.M., et al., Hydrogel-Based Platforms for Wound Care: Integrated Strategies for Antimicrobial Delivery and Biofilm Management. Gels, 2026. 12(5): p. 398.</t>
        </is>
      </c>
    </row>
    <row r="201">
      <c r="A201" s="5" t="n">
        <v>200</v>
      </c>
      <c r="B201" s="5" t="inlineStr">
        <is>
          <t>Construction of oxidized dextran-based pH/ROS responsive hydrogel with live bacterial microcapsules for accelerating diabetic wound healing via reducing inflammatory factors</t>
        </is>
      </c>
      <c r="C201" t="inlineStr">
        <is>
          <t>10.1016/j.ijbiomac.2026.151405</t>
        </is>
      </c>
      <c r="D201" s="5" t="inlineStr">
        <is>
          <t>Sun, Y., et al., Construction of oxidized dextran-based pH/ROS responsive hydrogel with live bacterial microcapsules for accelerating diabetic wound healing via reducing inflammatory factors. International Journal of Biological Macromolecules, 2026: p. 151405.</t>
        </is>
      </c>
    </row>
    <row r="202">
      <c r="A202" s="5" t="n">
        <v>201</v>
      </c>
      <c r="B202" s="5" t="inlineStr">
        <is>
          <t>pH/ROS responsive hydrogel loaded with bimetallic phenolic nanoparticles: A multifaceted therapeutic strategy for accelerating diabetic wound repair</t>
        </is>
      </c>
      <c r="C202" t="inlineStr">
        <is>
          <t>10.1016/j.cej.2025.170173</t>
        </is>
      </c>
      <c r="D202" s="5" t="inlineStr">
        <is>
          <t>Zhou, J., et al., pH/ROS responsive hydrogel loaded with bimetallic phenolic nanoparticles: A multifaceted therapeutic strategy for accelerating diabetic wound repair. Chemical Engineering Journal, 2025: p. 170173.</t>
        </is>
      </c>
    </row>
    <row r="203">
      <c r="A203" s="5" t="n">
        <v>202</v>
      </c>
      <c r="B203" s="5" t="inlineStr">
        <is>
          <t>Bacterial enzyme-responsive hydrogels for triggered delivery of antibiotics to infected wounds</t>
        </is>
      </c>
      <c r="C203" t="inlineStr">
        <is>
          <t>10.1126/sciadv.adz0786</t>
        </is>
      </c>
      <c r="D203" s="5" t="inlineStr">
        <is>
          <t>Abbasi, A., et al., Bacterial enzyme-responsive hydrogels for triggered delivery of antibiotics to infected wounds. Science Advances, 2026. 12(12): p. eadz0786.</t>
        </is>
      </c>
    </row>
    <row r="204">
      <c r="A204" s="5" t="n">
        <v>203</v>
      </c>
      <c r="B204" s="5" t="inlineStr">
        <is>
          <t>Hydrogel‐based ROS‐Regulating strategy: reprogramming the oxidative stress imbalance in advanced diabetic wound repair</t>
        </is>
      </c>
      <c r="C204" s="5" t="inlineStr"/>
      <c r="D204" s="5" t="inlineStr">
        <is>
          <t>Zhou, Q., et al., Hydrogel‐based ROS‐Regulating strategy: reprogramming the oxidative stress imbalance in advanced diabetic wound repair. Advanced Materials, 2026. 38(3): p. e12719.</t>
        </is>
      </c>
    </row>
    <row r="205">
      <c r="A205" s="5" t="n">
        <v>204</v>
      </c>
      <c r="B205" s="5" t="inlineStr">
        <is>
          <t>Smart responsive and controlled-release hydrogels for chronic wound treatment</t>
        </is>
      </c>
      <c r="C205" s="5" t="inlineStr"/>
      <c r="D205" s="5" t="inlineStr">
        <is>
          <t>Jia, X., et al., Smart responsive and controlled-release hydrogels for chronic wound treatment. Pharmaceutics, 2023. 15(12): p. 2735.</t>
        </is>
      </c>
    </row>
    <row r="206">
      <c r="A206" s="5" t="n">
        <v>205</v>
      </c>
      <c r="B206" s="5" t="inlineStr">
        <is>
          <t>Magnetic-Graphene-Oxide-Incorporated Alginate Hydrogel Beads as a Potential Controlled Drug Delivery System</t>
        </is>
      </c>
      <c r="C206" t="inlineStr"/>
      <c r="D206" s="5" t="inlineStr">
        <is>
          <t>Sadighian, S., et al., Magnetic-Graphene-Oxide-Incorporated Alginate Hydrogel Beads as a Potential Controlled Drug Delivery System. Gels, 2026. 12(2): p. 153.</t>
        </is>
      </c>
    </row>
    <row r="207">
      <c r="A207" s="5" t="n">
        <v>206</v>
      </c>
      <c r="B207" s="5" t="inlineStr">
        <is>
          <t>pH-responsive hydrogel loaded with insulin as a bioactive dressing for enhancing diabetic wound healing</t>
        </is>
      </c>
      <c r="C207" t="inlineStr">
        <is>
          <t>10.1016/j.matdes.2021.110104</t>
        </is>
      </c>
      <c r="D207" s="5" t="inlineStr">
        <is>
          <t>Li, Z., et al., pH-responsive hydrogel loaded with insulin as a bioactive dressing for enhancing diabetic wound healing. Materials &amp; Design, 2021. 210: p. 110104.</t>
        </is>
      </c>
    </row>
    <row r="208">
      <c r="A208" s="5" t="n">
        <v>207</v>
      </c>
      <c r="B208" s="5" t="inlineStr">
        <is>
          <t>Dual-crosslinked mussel-inspired smart hydrogels with enhanced antibacterial and angiogenic properties for chronic infected diabetic wound treatment via pH-responsive quick cargo release</t>
        </is>
      </c>
      <c r="C208" s="5" t="inlineStr">
        <is>
          <t>10.1016/j.cej.2021.128564</t>
        </is>
      </c>
      <c r="D208" s="5" t="inlineStr">
        <is>
          <t>Hu, C., et al., Dual-crosslinked mussel-inspired smart hydrogels with enhanced antibacterial and angiogenic properties for chronic infected diabetic wound treatment via pH-responsive quick cargo release. Chemical Engineering Journal, 2021. 411: p. 128564.</t>
        </is>
      </c>
    </row>
    <row r="209">
      <c r="A209" s="5" t="n">
        <v>208</v>
      </c>
      <c r="B209" s="5" t="inlineStr">
        <is>
          <t>Novel theranostic wounds dressing based on pH responsive alginate hydrogel/graphene oxide/levofloxacin modified silk</t>
        </is>
      </c>
      <c r="C209" t="inlineStr"/>
      <c r="D209" s="5" t="inlineStr">
        <is>
          <t>Punnoy, P., et al., Novel theranostic wounds dressing based on pH responsive alginate hydrogel/graphene oxide/levofloxacin modified silk. International Journal of Pharmaceutics, 2024. 661: p. 124406.</t>
        </is>
      </c>
    </row>
    <row r="210">
      <c r="A210" s="5" t="n">
        <v>209</v>
      </c>
      <c r="B210" s="5" t="inlineStr">
        <is>
          <t>pH-responsive HA/PβAE hydrogels couple enzyme release kinetics to inflammatory acidity to modulate cytokines and promote healing</t>
        </is>
      </c>
      <c r="C210" s="5" t="inlineStr"/>
      <c r="D210" s="5" t="inlineStr">
        <is>
          <t>Chermahini, Z.D., et al., pH-responsive HA/PβAE hydrogels couple enzyme release kinetics to inflammatory acidity to modulate cytokines and promote healing. Journal of Drug Delivery Science and Technology, 2025: p. 107643.</t>
        </is>
      </c>
    </row>
    <row r="211">
      <c r="A211" s="5" t="n">
        <v>210</v>
      </c>
      <c r="B211" s="5" t="inlineStr">
        <is>
          <t>ROS-scavenging hydrogel to promote healing of bacteria infected diabetic wounds</t>
        </is>
      </c>
      <c r="C211" t="inlineStr">
        <is>
          <t>10.1016/j.biomaterials.2020.120286</t>
        </is>
      </c>
      <c r="D211" s="5" t="inlineStr">
        <is>
          <t>Zhao, H., et al., ROS-scavenging hydrogel to promote healing of bacteria infected diabetic wounds. Biomaterials, 2020. 258: p. 120286.</t>
        </is>
      </c>
    </row>
    <row r="212">
      <c r="A212" s="5" t="n">
        <v>211</v>
      </c>
      <c r="B212" s="5" t="inlineStr">
        <is>
          <t>Ros-responsive hydrogel with size-dependent sequential release effects for anti-bacterial and anti-inflammation in diabetic wound healing</t>
        </is>
      </c>
      <c r="C212" s="5" t="inlineStr"/>
      <c r="D212" s="5" t="inlineStr">
        <is>
          <t>Sun, Z., et al., Ros-responsive hydrogel with size-dependent sequential release effects for anti-bacterial and anti-inflammation in diabetic wound healing. Chemical Engineering Journal, 2024. 493: p. 152511.</t>
        </is>
      </c>
    </row>
    <row r="213">
      <c r="A213" s="5" t="n">
        <v>212</v>
      </c>
      <c r="B213" s="5" t="inlineStr">
        <is>
          <t>Smart multifunctional ROS-responsive supramolecular hydrogel for simultaneously regulating oxidative stress, immune dysregulation, and bacterial infection in diabetic wound healing</t>
        </is>
      </c>
      <c r="C213" s="5" t="inlineStr">
        <is>
          <t>10.1016/j.biomaterials.2026.124006</t>
        </is>
      </c>
      <c r="D213" s="5" t="inlineStr">
        <is>
          <t>Tian, X., et al., Smart multifunctional ROS-responsive supramolecular hydrogel for simultaneously regulating oxidative stress, immune dysregulation, and bacterial infection in diabetic wound healing. Biomaterials, 2026: p. 124006.</t>
        </is>
      </c>
    </row>
    <row r="214">
      <c r="A214" s="5" t="n">
        <v>213</v>
      </c>
      <c r="B214" s="5" t="inlineStr">
        <is>
          <t>Novel ROS-scavenging hydrogel with enhanced anti-inflammation and angiogenic properties for promoting diabetic wound healing</t>
        </is>
      </c>
      <c r="C214" t="inlineStr"/>
      <c r="D214" s="5" t="inlineStr">
        <is>
          <t>Jiang, L., et al., Novel ROS-scavenging hydrogel with enhanced anti-inflammation and angiogenic properties for promoting diabetic wound healing. Biomaterials Advances, 2023. 144: p. 213226.</t>
        </is>
      </c>
    </row>
    <row r="215">
      <c r="A215" s="5" t="n">
        <v>214</v>
      </c>
      <c r="B215" s="5" t="inlineStr">
        <is>
          <t>A smart ROS-responsive hydrogel for on-demand antibacterial and platelet-rich plasma (PRP) activation in diabetic wound healing</t>
        </is>
      </c>
      <c r="C215" s="5" t="inlineStr">
        <is>
          <t>10.1016/j.jconrel.2025.114392</t>
        </is>
      </c>
      <c r="D215" s="5" t="inlineStr">
        <is>
          <t>Li, J., et al., A smart ROS-responsive hydrogel for on-demand antibacterial and platelet-rich plasma (PRP) activation in diabetic wound healing. Journal of Controlled Release, 2025: p. 114392.</t>
        </is>
      </c>
    </row>
    <row r="216">
      <c r="A216" s="5" t="n">
        <v>215</v>
      </c>
      <c r="B216" s="5" t="inlineStr">
        <is>
          <t>Glucose/ROS-responsive and redox-gated adaptive hydrogel dressing for accelerating diabetic wound repair via synergistic cGAS/STING pathway inhibition and oxidative stress alleviation</t>
        </is>
      </c>
      <c r="C216" t="inlineStr">
        <is>
          <t>10.1016/j.bioactmat.2026.03.025</t>
        </is>
      </c>
      <c r="D216" s="5" t="inlineStr">
        <is>
          <t>Wang, X., et al., Glucose/ROS-responsive and redox-gated adaptive hydrogel dressing for accelerating diabetic wound repair via synergistic cGAS/STING pathway inhibition and oxidative stress alleviation. Bioactive Materials, 2026. 62: p. 363–378.</t>
        </is>
      </c>
    </row>
    <row r="217">
      <c r="A217" s="5" t="n">
        <v>216</v>
      </c>
      <c r="B217" s="5" t="inlineStr">
        <is>
          <t>β-Lactamase-Responsive hydrogel drug delivery platform for bacteria-triggered cargo release</t>
        </is>
      </c>
      <c r="C217" s="5" t="inlineStr"/>
      <c r="D217" s="5" t="inlineStr">
        <is>
          <t>Alkekhia, D., C. LaRose, and A. Shukla, β-Lactamase-Responsive hydrogel drug delivery platform for bacteria-triggered cargo release. ACS applied materials &amp; interfaces, 2022. 14(24): p. 27538–27550.</t>
        </is>
      </c>
    </row>
    <row r="218">
      <c r="A218" s="5" t="n">
        <v>217</v>
      </c>
      <c r="B218" s="5" t="inlineStr">
        <is>
          <t>ADSC-exo@ MMP-PEG smart hydrogel promotes diabetic wound healing by optimizing cellular functions and relieving oxidative stress</t>
        </is>
      </c>
      <c r="C218" t="inlineStr">
        <is>
          <t>10.1016/j.mtbio.2022.100365</t>
        </is>
      </c>
      <c r="D218" s="5" t="inlineStr">
        <is>
          <t>Jiang, T., et al., ADSC-exo@ MMP-PEG smart hydrogel promotes diabetic wound healing by optimizing cellular functions and relieving oxidative stress. Materials Today Bio, 2022. 16: p. 100365.</t>
        </is>
      </c>
    </row>
    <row r="219">
      <c r="A219" s="5" t="n">
        <v>218</v>
      </c>
      <c r="B219" s="5" t="inlineStr">
        <is>
          <t>Stimuli-responsive hydrogels based on cascade reactions: a novel strategy to promote the efficient repair of diabetic wounds</t>
        </is>
      </c>
      <c r="C219" s="5" t="inlineStr"/>
      <c r="D219" s="5" t="inlineStr">
        <is>
          <t>Jia, J., et al., Stimuli-responsive hydrogels based on cascade reactions: a novel strategy to promote the efficient repair of diabetic wounds. Theranostics, 2026. 16(6): p. 3105.</t>
        </is>
      </c>
    </row>
    <row r="220">
      <c r="A220" s="5" t="n">
        <v>219</v>
      </c>
      <c r="B220" s="5" t="inlineStr">
        <is>
          <t>A dual pH-and temperature-responsive hydrogel produced in situ crosslinking of cyclodextrin-cellulose for wound healing</t>
        </is>
      </c>
      <c r="C220" t="inlineStr">
        <is>
          <t>10.1016/j.ijbiomac.2023.126693</t>
        </is>
      </c>
      <c r="D220" s="5" t="inlineStr">
        <is>
          <t>Zhang, Y., et al., A dual pH-and temperature-responsive hydrogel produced in situ crosslinking of cyclodextrin-cellulose for wound healing. International journal of biological macromolecules, 2023. 253: p. 126693.</t>
        </is>
      </c>
    </row>
    <row r="221">
      <c r="A221" s="5" t="n">
        <v>220</v>
      </c>
      <c r="B221" s="5" t="inlineStr">
        <is>
          <t>Bacteria-activated dual pH-and temperature-responsive hydrogel for targeted elimination of infection and improved wound healing</t>
        </is>
      </c>
      <c r="C221" t="inlineStr"/>
      <c r="D221" s="5" t="inlineStr">
        <is>
          <t>Haidari, H., et al., Bacteria-activated dual pH-and temperature-responsive hydrogel for targeted elimination of infection and improved wound healing. ACS applied materials &amp; interfaces, 2022. 14(46): p. 51744–51762.</t>
        </is>
      </c>
    </row>
    <row r="222">
      <c r="A222" s="5" t="n">
        <v>221</v>
      </c>
      <c r="B222" s="5" t="inlineStr">
        <is>
          <t>Temperature-Responsive Hydrogel Delivery of Antimicrobial Peptide Engineered Watermelon-Derived Extracellular Vesicles Enables Sequential Infection Control and Wound Healing</t>
        </is>
      </c>
      <c r="C222" s="5" t="inlineStr">
        <is>
          <t>10.1016/j.colsurfb.2026.115438</t>
        </is>
      </c>
      <c r="D222" s="5" t="inlineStr">
        <is>
          <t>Bai, Z., et al., Temperature-Responsive Hydrogel Delivery of Antimicrobial Peptide Engineered Watermelon-Derived Extracellular Vesicles Enables Sequential Infection Control and Wound Healing. Colloids and Surfaces B: Biointerfaces, 2026: p. 115438.</t>
        </is>
      </c>
    </row>
    <row r="223">
      <c r="A223" s="5" t="n">
        <v>222</v>
      </c>
      <c r="B223" s="5" t="inlineStr">
        <is>
          <t>Advances in smart-response hydrogels for skin wound repair</t>
        </is>
      </c>
      <c r="C223" s="5" t="inlineStr"/>
      <c r="D223" s="5" t="inlineStr">
        <is>
          <t>Fan, Y., et al., Advances in smart-response hydrogels for skin wound repair. Polymers, 2024. 16(19): p. 2818.</t>
        </is>
      </c>
    </row>
    <row r="224">
      <c r="A224" s="5" t="n">
        <v>223</v>
      </c>
      <c r="B224" s="5" t="inlineStr">
        <is>
          <t>Hydrogel-based treatment of diabetic wounds: from smart responsive to smart monitoring</t>
        </is>
      </c>
      <c r="C224" s="5" t="inlineStr"/>
      <c r="D224" s="5" t="inlineStr">
        <is>
          <t>He, X., Y. Wei, and K. Xu, Hydrogel-based treatment of diabetic wounds: from smart responsive to smart monitoring. Gels, 2025. 11(8): p. 647.</t>
        </is>
      </c>
    </row>
    <row r="225">
      <c r="A225" s="5" t="n">
        <v>224</v>
      </c>
      <c r="B225" s="5" t="inlineStr">
        <is>
          <t>Immunomodulatory hydrogel orchestrates pro-regenerative response of macrophages and angiogenesis for chronic wound healing</t>
        </is>
      </c>
      <c r="C225" s="5" t="inlineStr">
        <is>
          <t>10.1016/j.biomaterials.2024.122848</t>
        </is>
      </c>
      <c r="D225" s="5" t="inlineStr">
        <is>
          <t>Kuan, C.-H., et al., Immunomodulatory hydrogel orchestrates pro-regenerative response of macrophages and angiogenesis for chronic wound healing. Biomaterials, 2025. 314: p. 122848.</t>
        </is>
      </c>
    </row>
    <row r="226">
      <c r="A226" s="5" t="n">
        <v>225</v>
      </c>
      <c r="B226" s="5" t="inlineStr">
        <is>
          <t>Immunoregulatory hydrogel decorated with Tannic acid/Ferric ion accelerates diabetic wound healing via regulating Macrophage polarization</t>
        </is>
      </c>
      <c r="C226" t="inlineStr">
        <is>
          <t>10.1016/j.cej.2023.143173</t>
        </is>
      </c>
      <c r="D226" s="5" t="inlineStr">
        <is>
          <t>Xu, N., et al., Immunoregulatory hydrogel decorated with Tannic acid/Ferric ion accelerates diabetic wound healing via regulating Macrophage polarization. Chemical Engineering Journal, 2023. 466: p. 143173.</t>
        </is>
      </c>
    </row>
    <row r="227">
      <c r="A227" s="5" t="n">
        <v>226</v>
      </c>
      <c r="B227" s="5" t="inlineStr">
        <is>
          <t>Extracellular matrix‐mimetic immunomodulatory hydrogel for accelerating wound healing</t>
        </is>
      </c>
      <c r="C227" t="inlineStr">
        <is>
          <t>10.1002/adhm.202301264</t>
        </is>
      </c>
      <c r="D227" s="5" t="inlineStr">
        <is>
          <t>Wang, H., et al., Extracellular matrix‐mimetic immunomodulatory hydrogel for accelerating wound healing. Advanced Healthcare Materials, 2023. 12(27): p. 2301264.</t>
        </is>
      </c>
    </row>
    <row r="228">
      <c r="A228" s="5" t="n">
        <v>227</v>
      </c>
      <c r="B228" s="5" t="inlineStr">
        <is>
          <t>Bioinspired design of mannose-decorated globular lysine dendrimers promotes diabetic wound healing by orchestrating appropriate macrophage polarization</t>
        </is>
      </c>
      <c r="C228" s="5" t="inlineStr">
        <is>
          <t>10.1016/j.biomaterials.2021.121323</t>
        </is>
      </c>
      <c r="D228" s="5" t="inlineStr">
        <is>
          <t>Jiang, Y., et al., Bioinspired design of mannose-decorated globular lysine dendrimers promotes diabetic wound healing by orchestrating appropriate macrophage polarization. Biomaterials, 2022. 280: p. 121323.</t>
        </is>
      </c>
    </row>
    <row r="229">
      <c r="A229" s="5" t="n">
        <v>228</v>
      </c>
      <c r="B229" s="5" t="inlineStr">
        <is>
          <t>Rational design of immunomodulatory hydrogels for chronic wound healing</t>
        </is>
      </c>
      <c r="C229" s="5" t="inlineStr"/>
      <c r="D229" s="5" t="inlineStr">
        <is>
          <t>Kharaziha, M., A. Baidya, and N. Annabi, Rational design of immunomodulatory hydrogels for chronic wound healing. Advanced Materials, 2021. 33(39): p. 2100176.</t>
        </is>
      </c>
    </row>
    <row r="230">
      <c r="A230" s="5" t="n">
        <v>229</v>
      </c>
      <c r="B230" s="5" t="inlineStr">
        <is>
          <t>Advanced biomaterials for regulating polarization of macrophages in wound healing</t>
        </is>
      </c>
      <c r="C230" s="5" t="inlineStr"/>
      <c r="D230" s="5" t="inlineStr">
        <is>
          <t>Mao, J., et al., Advanced biomaterials for regulating polarization of macrophages in wound healing. Advanced Functional Materials, 2022. 32(12): p. 2111003.</t>
        </is>
      </c>
    </row>
    <row r="231">
      <c r="A231" s="5" t="n">
        <v>230</v>
      </c>
      <c r="B231" s="5" t="inlineStr">
        <is>
          <t>Chitosan-based hydrogel dressings for diabetic wound healing via promoting M2 macrophage-polarization</t>
        </is>
      </c>
      <c r="C231" t="inlineStr">
        <is>
          <t>10.1016/j.carbpol.2024.121873</t>
        </is>
      </c>
      <c r="D231" s="5" t="inlineStr">
        <is>
          <t>Wei, X., et al., Chitosan-based hydrogel dressings for diabetic wound healing via promoting M2 macrophage-polarization. Carbohydrate polymers, 2024. 331: p. 121873.</t>
        </is>
      </c>
    </row>
    <row r="232">
      <c r="A232" s="5" t="n">
        <v>231</v>
      </c>
      <c r="B232" s="5" t="inlineStr">
        <is>
          <t>Varying ratios of M/G in alginate to modulate macrophages polarization and its application for wound healing in diabetic</t>
        </is>
      </c>
      <c r="C232" s="5" t="inlineStr">
        <is>
          <t>10.1016/j.ijbiomac.2024.132387</t>
        </is>
      </c>
      <c r="D232" s="5" t="inlineStr">
        <is>
          <t>Wu, S., et al., Varying ratios of M/G in alginate to modulate macrophages polarization and its application for wound healing in diabetic. International Journal of Biological Macromolecules, 2024. 270: p. 132387.</t>
        </is>
      </c>
    </row>
    <row r="233">
      <c r="A233" s="5" t="n">
        <v>232</v>
      </c>
      <c r="B233" s="5" t="inlineStr">
        <is>
          <t>Programming of macrophage polarization in different stages for accelerating wound healing</t>
        </is>
      </c>
      <c r="C233" s="5" t="inlineStr">
        <is>
          <t>10.1016/j.cej.2024.152131</t>
        </is>
      </c>
      <c r="D233" s="5" t="inlineStr">
        <is>
          <t>Zhu, M., et al., Programming of macrophage polarization in different stages for accelerating wound healing. Chemical Engineering Journal, 2024. 491: p. 152131.</t>
        </is>
      </c>
    </row>
    <row r="234">
      <c r="A234" s="5" t="n">
        <v>233</v>
      </c>
      <c r="B234" s="5" t="inlineStr">
        <is>
          <t>pH-switchable antimicrobial nanofiber networks of hydrogel eradicate biofilm and rescue stalled healing in chronic wounds</t>
        </is>
      </c>
      <c r="C234" t="inlineStr"/>
      <c r="D234" s="5" t="inlineStr">
        <is>
          <t>Wang, J., et al., pH-switchable antimicrobial nanofiber networks of hydrogel eradicate biofilm and rescue stalled healing in chronic wounds. ACS nano, 2019. 13(10): p. 11686–11697.</t>
        </is>
      </c>
    </row>
    <row r="235">
      <c r="A235" s="5" t="n">
        <v>234</v>
      </c>
      <c r="B235" s="5" t="inlineStr">
        <is>
          <t>In Vitro and In Vivo Comparison of a Novel Antimicrobial Wound Hydrogel With Commercial Wound Treatments: Antimicrobial, Antibiofilm and Biocompatibility Assessment</t>
        </is>
      </c>
      <c r="C235" t="inlineStr">
        <is>
          <t>10.1111/iwj.70904</t>
        </is>
      </c>
      <c r="D235" s="5" t="inlineStr">
        <is>
          <t>Moradi, M., et al., In Vitro and In Vivo Comparison of a Novel Antimicrobial Wound Hydrogel With Commercial Wound Treatments: Antimicrobial, Antibiofilm and Biocompatibility Assessment. International Wound Journal, 2026. 23(4): p. e70904.</t>
        </is>
      </c>
    </row>
    <row r="236">
      <c r="A236" s="5" t="n">
        <v>235</v>
      </c>
      <c r="B236" s="5" t="inlineStr">
        <is>
          <t>Efficacy of a novel antimicrobial hydrogel for eradication of Staphylococcus epidermidis, Staphylococcus aureus and Cutibacterium acnes from preformed biofilm and treatment performance in an in vivo MRSA wound model</t>
        </is>
      </c>
      <c r="C236" s="5" t="inlineStr">
        <is>
          <t>10.1093/jacamr/dlab108</t>
        </is>
      </c>
      <c r="D236" s="5" t="inlineStr">
        <is>
          <t>Ronco, T., et al., Efficacy of a novel antimicrobial hydrogel for eradication of Staphylococcus epidermidis, Staphylococcus aureus and Cutibacterium acnes from preformed biofilm and treatment performance in an in vivo MRSA wound model. JAC-Antimicrobial Resistance, 2021. 3(3): p. dlab108.</t>
        </is>
      </c>
    </row>
    <row r="237">
      <c r="A237" s="5" t="n">
        <v>236</v>
      </c>
      <c r="B237" s="5" t="inlineStr">
        <is>
          <t>Anti-biofilm efficacy of commonly used wound care products in in vitro settings</t>
        </is>
      </c>
      <c r="C237" s="5" t="inlineStr"/>
      <c r="D237" s="5" t="inlineStr">
        <is>
          <t>Regulski, M., M.F. Myntti, and G.A. James, Anti-biofilm efficacy of commonly used wound care products in in vitro settings. Antibiotics, 2023. 12(3): p. 536.</t>
        </is>
      </c>
    </row>
    <row r="238">
      <c r="A238" s="5" t="n">
        <v>237</v>
      </c>
      <c r="B238" s="5" t="inlineStr">
        <is>
          <t>Nanofiber aerogels with precision macrochannels and LL‐37‐mimic peptides synergistically promote diabetic wound healing</t>
        </is>
      </c>
      <c r="C238" t="inlineStr"/>
      <c r="D238" s="5" t="inlineStr">
        <is>
          <t>John, J.V., et al., Nanofiber aerogels with precision macrochannels and LL‐37‐mimic peptides synergistically promote diabetic wound healing. Advanced functional materials, 2023. 33(1): p. 2206936.</t>
        </is>
      </c>
    </row>
    <row r="239">
      <c r="A239" s="5" t="n">
        <v>238</v>
      </c>
      <c r="B239" s="5" t="inlineStr">
        <is>
          <t>Sustained release of alginate hydrogel containing antimicrobial peptide Chol-37 (F34-R) in vitro and its effect on wound healing in murine model of Pseudomonas aeruginosa infection</t>
        </is>
      </c>
      <c r="C239" s="5" t="inlineStr">
        <is>
          <t>10.4142/jvs.22319</t>
        </is>
      </c>
      <c r="D239" s="5" t="inlineStr">
        <is>
          <t>Shi, S., et al., Sustained release of alginate hydrogel containing antimicrobial peptide Chol-37 (F34-R) in vitro and its effect on wound healing in murine model of Pseudomonas aeruginosa infection. Journal of veterinary science, 2023. 24(3): p. e44.</t>
        </is>
      </c>
    </row>
    <row r="240">
      <c r="A240" s="5" t="n">
        <v>239</v>
      </c>
      <c r="B240" s="5" t="inlineStr">
        <is>
          <t>A photo-modulated nitric oxide delivering hydrogel for the accelerated healing of biofilm infected chronic wounds</t>
        </is>
      </c>
      <c r="C240" t="inlineStr">
        <is>
          <t>10.1016/j.actbio.2024.09.017</t>
        </is>
      </c>
      <c r="D240" s="5" t="inlineStr">
        <is>
          <t>Ma, H., et al., A photo-modulated nitric oxide delivering hydrogel for the accelerated healing of biofilm infected chronic wounds. Acta Biomaterialia, 2024. 188: p. 169–183.</t>
        </is>
      </c>
    </row>
    <row r="241">
      <c r="A241" s="5" t="n">
        <v>240</v>
      </c>
      <c r="B241" s="5" t="inlineStr">
        <is>
          <t>Synthetic polymeric antibacterial hydrogel for methicillin-resistant staphylococcus aureus-infected wound healing: nanoantimicrobial self-assembly, drug-and cytokine-free strategy</t>
        </is>
      </c>
      <c r="C241" s="5" t="inlineStr"/>
      <c r="D241" s="5" t="inlineStr">
        <is>
          <t>Liu, W., et al., Synthetic polymeric antibacterial hydrogel for methicillin-resistant staphylococcus aureus-infected wound healing: nanoantimicrobial self-assembly, drug-and cytokine-free strategy. Acs Nano, 2020. 14(10): p. 12905–12917.</t>
        </is>
      </c>
    </row>
    <row r="242">
      <c r="A242" s="5" t="n">
        <v>241</v>
      </c>
      <c r="B242" s="5" t="inlineStr">
        <is>
          <t>Photo‐Crosslinked Antimicrobial Hydrogel Exhibiting Wound Healing Ability and Curing Infections In Vivo</t>
        </is>
      </c>
      <c r="C242" s="5" t="inlineStr">
        <is>
          <t>10.1002/adhm.202200536</t>
        </is>
      </c>
      <c r="D242" s="5" t="inlineStr">
        <is>
          <t>Dey, R., R. Mukherjee, and J. Haldar, Photo‐Crosslinked Antimicrobial Hydrogel Exhibiting Wound Healing Ability and Curing Infections In Vivo. Advanced Healthcare Materials, 2022. 11(15): p. 2200536.</t>
        </is>
      </c>
    </row>
    <row r="243">
      <c r="A243" s="5" t="n">
        <v>242</v>
      </c>
      <c r="B243" s="5" t="inlineStr">
        <is>
          <t>Smart Antibiofilm Platforms Based on Synthetic Antimicrobial Peptides-Engineered Hydrogels</t>
        </is>
      </c>
      <c r="C243" s="5" t="inlineStr"/>
      <c r="D243" s="5" t="inlineStr">
        <is>
          <t>Rahela, C., B. Agota-Katalin, and B.-K. Anca, Smart Antibiofilm Platforms Based on Synthetic Antimicrobial Peptides-Engineered Hydrogels. Polymers, 2026. 18(4): p. 471.</t>
        </is>
      </c>
    </row>
    <row r="244">
      <c r="A244" s="5" t="n">
        <v>243</v>
      </c>
      <c r="B244" s="5" t="inlineStr">
        <is>
          <t>Eradication of Mature Bacterial Biofilms with Concurrent Improvement in Chronic Wound Healing Using Silver Nanoparticle Hydrogel Treatment</t>
        </is>
      </c>
      <c r="C244" t="inlineStr">
        <is>
          <t>10.3390/biomedicines9091182</t>
        </is>
      </c>
      <c r="D244" s="5" t="inlineStr">
        <is>
          <t>Haidari, H., et al., Eradication of mature bacterial biofilms with concurrent improvement in chronic wound healing using silver nanoparticle hydrogel treatment. Biomedicines, 2021. 9(9): p. 1182.</t>
        </is>
      </c>
    </row>
    <row r="245">
      <c r="A245" s="5" t="n">
        <v>244</v>
      </c>
      <c r="B245" s="5" t="inlineStr">
        <is>
          <t>TA-AgNPs/Alginate Hydrogel and Its potential application as a promising antibiofilm material against polymicrobial wound biofilms using a unique biofilm flow model</t>
        </is>
      </c>
      <c r="C245" t="inlineStr">
        <is>
          <t>10.3390/microorganisms10112279</t>
        </is>
      </c>
      <c r="D245" s="5" t="inlineStr">
        <is>
          <t>Srichaiyapol, O., et al., TA-AgNPs/Alginate Hydrogel and Its potential application as a promising antibiofilm material against polymicrobial wound biofilms using a unique biofilm flow model. Microorganisms, 2022. 10(11): p. 2279.</t>
        </is>
      </c>
    </row>
    <row r="246">
      <c r="A246" s="5" t="n">
        <v>245</v>
      </c>
      <c r="B246" s="5" t="inlineStr">
        <is>
          <t>Multifunctional ultrasmall AgNP hydrogel accelerates healing of S. aureus infected wounds</t>
        </is>
      </c>
      <c r="C246" s="5" t="inlineStr">
        <is>
          <t>10.1016/j.actbio.2021.04.007</t>
        </is>
      </c>
      <c r="D246" s="5" t="inlineStr">
        <is>
          <t>Haidari, H., et al., Multifunctional ultrasmall AgNP hydrogel accelerates healing of S. aureus infected wounds. Acta Biomaterialia, 2021. 128: p. 420–434.</t>
        </is>
      </c>
    </row>
    <row r="247">
      <c r="A247" s="5" t="n">
        <v>246</v>
      </c>
      <c r="B247" s="5" t="inlineStr">
        <is>
          <t>Beneficial effect of wound dressings containing silver and silver nanoparticles in wound healing—from experimental studies to clinical practice</t>
        </is>
      </c>
      <c r="C247" s="5" t="inlineStr"/>
      <c r="D247" s="5" t="inlineStr">
        <is>
          <t>Rybka, M., Ł. Mazurek, and M. Konop, Beneficial effect of wound dressings containing silver and silver nanoparticles in wound healing—from experimental studies to clinical practice. Life, 2022. 13(1): p. 69.</t>
        </is>
      </c>
    </row>
    <row r="248">
      <c r="A248" s="5" t="n">
        <v>247</v>
      </c>
      <c r="B248" s="5" t="inlineStr">
        <is>
          <t>Recent advances in non-conventional antimicrobial approaches for chronic wound biofilms: have we found the ‘chink in the armor’? Biomedicines, 2019. 7(2): p. 35</t>
        </is>
      </c>
      <c r="C248" s="5" t="inlineStr"/>
      <c r="D248" s="5" t="inlineStr">
        <is>
          <t>Kadam, S., et al., Recent advances in non-conventional antimicrobial approaches for chronic wound biofilms: have we found the ‘chink in the armor’? Biomedicines, 2019. 7(2): p. 35.</t>
        </is>
      </c>
    </row>
    <row r="249">
      <c r="A249" s="5" t="n">
        <v>248</v>
      </c>
      <c r="B249" s="5" t="inlineStr">
        <is>
          <t>Sustained release of insulin-like growth factor-1 from Bombyx mori L. silk fibroin delivery for diabetic wound therapy</t>
        </is>
      </c>
      <c r="C249" t="inlineStr">
        <is>
          <t>10.3390/ijms22126267</t>
        </is>
      </c>
      <c r="D249" s="5" t="inlineStr">
        <is>
          <t>Lin, M.-J., M.-C. Lu, and H.-Y. Chang, Sustained release of insulin-like growth factor-1 from Bombyx mori L. silk fibroin delivery for diabetic wound therapy. International Journal of Molecular Sciences, 2021. 22(12): p. 6267.</t>
        </is>
      </c>
    </row>
    <row r="250">
      <c r="A250" s="5" t="n">
        <v>249</v>
      </c>
      <c r="B250" s="5" t="inlineStr">
        <is>
          <t>Controlled platelet-derived growth factor delivery by hyaluronic acid hydrogels with tunable crosslinking for accelerated chronic wound healing</t>
        </is>
      </c>
      <c r="C250" s="5" t="inlineStr">
        <is>
          <t>10.1016/j.ijbiomac.2025.140710</t>
        </is>
      </c>
      <c r="D250" s="5" t="inlineStr">
        <is>
          <t>Qin, X., et al., Controlled platelet-derived growth factor delivery by hyaluronic acid hydrogels with tunable crosslinking for accelerated chronic wound healing. International Journal of Biological Macromolecules, 2025. 304: p. 140710.</t>
        </is>
      </c>
    </row>
    <row r="251">
      <c r="A251" s="5" t="n">
        <v>250</v>
      </c>
      <c r="B251" s="5" t="inlineStr">
        <is>
          <t>Platelet‐derived growth factor nanocapsules with tunable controlled release for chronic wound healing</t>
        </is>
      </c>
      <c r="C251" s="5" t="inlineStr">
        <is>
          <t>10.1002/smll.202310743</t>
        </is>
      </c>
      <c r="D251" s="5" t="inlineStr">
        <is>
          <t>Tang, L., et al., Platelet‐derived growth factor nanocapsules with tunable controlled release for chronic wound healing. Small, 2024. 20(27): p. 2310743.</t>
        </is>
      </c>
    </row>
    <row r="252">
      <c r="A252" s="5" t="n">
        <v>251</v>
      </c>
      <c r="B252" s="5" t="inlineStr">
        <is>
          <t>Biocompatible Titania for Drug Delivery and Tissue Engineering</t>
        </is>
      </c>
      <c r="C252" s="5" t="inlineStr"/>
      <c r="D252" s="5" t="inlineStr">
        <is>
          <t>Asadi, L., et al., Biocompatible Titania for Drug Delivery and Tissue Engineering. Regenerative Engineering and Translational Medicine, 2026: p. 1–30.</t>
        </is>
      </c>
    </row>
    <row r="253">
      <c r="A253" s="5" t="n">
        <v>252</v>
      </c>
      <c r="B253" s="5" t="inlineStr">
        <is>
          <t>Sequential release of multiple growth factors from injectable nanocomposite hyaluronic acid hydrogels for enhanced angiogenesis</t>
        </is>
      </c>
      <c r="C253" s="5" t="inlineStr">
        <is>
          <t>10.1016/j.cej.2025.168701</t>
        </is>
      </c>
      <c r="D253" s="5" t="inlineStr">
        <is>
          <t>Zhang, S., et al., Sequential release of multiple growth factors from injectable nanocomposite hyaluronic acid hydrogels for enhanced angiogenesis. Chemical Engineering Journal, 2025: p. 168701.</t>
        </is>
      </c>
    </row>
    <row r="254">
      <c r="A254" s="5" t="n">
        <v>253</v>
      </c>
      <c r="B254" s="5" t="inlineStr">
        <is>
          <t>Fibrin hydrogel incorporated with microspheres containing vascular endothelial growth factor (VEGF) and basic fibroblast growth factor (bFGF) accelerated the healing of diabetic wounds in rats</t>
        </is>
      </c>
      <c r="C254" s="5" t="inlineStr">
        <is>
          <t>10.1016/j.tice.2025.103301</t>
        </is>
      </c>
      <c r="D254" s="5" t="inlineStr">
        <is>
          <t>Albelasi, A., S.A. Alghamdi, and M. Alissa, Fibrin hydrogel incorporated with microspheres containing vascular endothelial growth factor (VEGF) and basic fibroblast growth factor (bFGF) accelerated the healing of diabetic wounds in rats. Tissue and Cell, 2025: p. 103301.</t>
        </is>
      </c>
    </row>
    <row r="255">
      <c r="A255" s="5" t="n">
        <v>254</v>
      </c>
      <c r="B255" s="5" t="inlineStr">
        <is>
          <t>Programmable hierarchical hydrogel dressing for sequential release of growth factor and DNase to accelerate diabetic wound healing</t>
        </is>
      </c>
      <c r="C255" s="5" t="inlineStr">
        <is>
          <t>10.1016/j.jconrel.2025.113825</t>
        </is>
      </c>
      <c r="D255" s="5" t="inlineStr">
        <is>
          <t>Zhang, Y., et al., Programmable hierarchical hydrogel dressing for sequential release of growth factor and DNase to accelerate diabetic wound healing. Journal of Controlled Release, 2025. 383: p. 113825.</t>
        </is>
      </c>
    </row>
    <row r="256">
      <c r="A256" s="5" t="n">
        <v>255</v>
      </c>
      <c r="B256" s="5" t="inlineStr">
        <is>
          <t>An intrinsically bioactive hydrogel with on-demand drug release behaviors for diabetic wound healing</t>
        </is>
      </c>
      <c r="C256" s="5" t="inlineStr">
        <is>
          <t>10.1016/j.bioactmat.2021.04.040</t>
        </is>
      </c>
      <c r="D256" s="5" t="inlineStr">
        <is>
          <t>Hu, B., et al., An intrinsically bioactive hydrogel with on-demand drug release behaviors for diabetic wound healing. Bioactive materials, 2021. 6(12): p. 4592–4606.</t>
        </is>
      </c>
    </row>
    <row r="257">
      <c r="A257" s="5" t="n">
        <v>256</v>
      </c>
      <c r="B257" s="5" t="inlineStr">
        <is>
          <t>All‐in‐one: multifunctional hydrogel accelerates oxidative diabetic wound healing through timed‐release of exosome and fibroblast growth factor</t>
        </is>
      </c>
      <c r="C257" s="5" t="inlineStr">
        <is>
          <t>10.1002/smll.202104229</t>
        </is>
      </c>
      <c r="D257" s="5" t="inlineStr">
        <is>
          <t>Xiong, Y., et al., All‐in‐one: multifunctional hydrogel accelerates oxidative diabetic wound healing through timed‐release of exosome and fibroblast growth factor. Small, 2022. 18(1): p. 2104229.</t>
        </is>
      </c>
    </row>
    <row r="258">
      <c r="A258" s="5" t="n">
        <v>257</v>
      </c>
      <c r="B258" s="5" t="inlineStr">
        <is>
          <t>Duo-nano exosome encapsulating hydrogel boosts wound healing across xenogenic and allogenic models</t>
        </is>
      </c>
      <c r="C258" s="5" t="inlineStr">
        <is>
          <t>10.1016/j.biomaterials.2025.123975</t>
        </is>
      </c>
      <c r="D258" s="5" t="inlineStr">
        <is>
          <t>Subhan, B.S., et al., Duo-nano exosome encapsulating hydrogel boosts wound healing across xenogenic and allogenic models. Biomaterials, 2026: p. 123975.</t>
        </is>
      </c>
    </row>
    <row r="259">
      <c r="A259" s="5" t="n">
        <v>258</v>
      </c>
      <c r="B259" s="5" t="inlineStr">
        <is>
          <t>Recombinant human collagen hydrogels with different stem cell-derived exosomes encapsulation for wound treatment</t>
        </is>
      </c>
      <c r="C259" s="5" t="inlineStr">
        <is>
          <t>10.1186/s12951-025-03319-9</t>
        </is>
      </c>
      <c r="D259" s="5" t="inlineStr">
        <is>
          <t>Zeng, X., et al., Recombinant human collagen hydrogels with different stem cell-derived exosomes encapsulation for wound treatment. Journal of Nanobiotechnology, 2025. 23(1): p. 241.</t>
        </is>
      </c>
    </row>
    <row r="260">
      <c r="A260" s="5" t="n">
        <v>259</v>
      </c>
      <c r="B260" s="5" t="inlineStr">
        <is>
          <t>Sustained exosome‐guided macrophage polarization using hydrolytically degradable PEG hydrogels for cutaneous wound healing: identification of key proteins and MiRNAs, and sustained release formulation</t>
        </is>
      </c>
      <c r="C260" s="5" t="inlineStr">
        <is>
          <t>10.1002/smll.202200060</t>
        </is>
      </c>
      <c r="D260" s="5" t="inlineStr">
        <is>
          <t>Kwak, G., et al., Sustained exosome‐guided macrophage polarization using hydrolytically degradable PEG hydrogels for cutaneous wound healing: identification of key proteins and MiRNAs, and sustained release formulation. Small, 2022. 18(15): p. 2200060.</t>
        </is>
      </c>
    </row>
    <row r="261">
      <c r="A261" s="5" t="n">
        <v>260</v>
      </c>
      <c r="B261" s="5" t="inlineStr">
        <is>
          <t>Multiple cargo deliveries of growth factors and antimicrobial peptide using biodegradable nanopolymer as a potential wound healing system</t>
        </is>
      </c>
      <c r="C261" t="inlineStr">
        <is>
          <t>10.2147/IJN.S190321</t>
        </is>
      </c>
      <c r="D261" s="5" t="inlineStr">
        <is>
          <t>Vijayan, A., et al., Multiple cargo deliveries of growth factors and antimicrobial peptide using biodegradable nanopolymer as a potential wound healing system. International journal of nanomedicine, 2019: p. 2253–2263.</t>
        </is>
      </c>
    </row>
    <row r="262">
      <c r="A262" s="5" t="n">
        <v>261</v>
      </c>
      <c r="B262" s="5" t="inlineStr">
        <is>
          <t>A composite hydrogel with co-delivery of antimicrobial peptides and platelet-rich plasma to enhance healing of infected wounds in diabetes</t>
        </is>
      </c>
      <c r="C262" t="inlineStr">
        <is>
          <t>10.1016/j.actbio.2021.01.046</t>
        </is>
      </c>
      <c r="D262" s="5" t="inlineStr">
        <is>
          <t>Wei, S., et al., A composite hydrogel with co-delivery of antimicrobial peptides and platelet-rich plasma to enhance healing of infected wounds in diabetes. Acta Biomaterialia, 2021. 124: p. 205–218.</t>
        </is>
      </c>
    </row>
    <row r="263">
      <c r="A263" s="5" t="n">
        <v>262</v>
      </c>
      <c r="B263" s="5" t="inlineStr">
        <is>
          <t>Facile and efficient encapsulation of antimicrobial peptides via crosslinked DNA nanostructures and their application in wound therapy</t>
        </is>
      </c>
      <c r="C263" t="inlineStr">
        <is>
          <t>10.1016/j.jconrel.2019.10.013</t>
        </is>
      </c>
      <c r="D263" s="5" t="inlineStr">
        <is>
          <t>Obuobi, S., et al., Facile and efficient encapsulation of antimicrobial peptides via crosslinked DNA nanostructures and their application in wound therapy. Journal of Controlled Release, 2019. 313: p. 120–130.</t>
        </is>
      </c>
    </row>
    <row r="264">
      <c r="A264" s="5" t="n">
        <v>263</v>
      </c>
      <c r="B264" s="5" t="inlineStr">
        <is>
          <t>Ultrashort peptides and hyaluronic acid-based injectable composite hydrogels for sustained drug release and chronic diabetic wound healing</t>
        </is>
      </c>
      <c r="C264" t="inlineStr"/>
      <c r="D264" s="5" t="inlineStr">
        <is>
          <t>Wang, L., et al., Ultrashort peptides and hyaluronic acid-based injectable composite hydrogels for sustained drug release and chronic diabetic wound healing. ACS applied materials &amp; interfaces, 2021. 13(49): p. 58329–58339.</t>
        </is>
      </c>
    </row>
    <row r="265">
      <c r="A265" s="5" t="n">
        <v>264</v>
      </c>
      <c r="B265" s="5" t="inlineStr">
        <is>
          <t>Growth factor and cytokine delivery systems for wound healing</t>
        </is>
      </c>
      <c r="C265" t="inlineStr"/>
      <c r="D265" s="5" t="inlineStr">
        <is>
          <t>Legrand, J.M. and M.M. Martino, Growth factor and cytokine delivery systems for wound healing. Cold Spring Harbor perspectives in biology, 2022. 14(8): p. a041234.</t>
        </is>
      </c>
    </row>
    <row r="266">
      <c r="A266" s="5" t="n">
        <v>265</v>
      </c>
      <c r="B266" s="5" t="inlineStr">
        <is>
          <t>Materials science and design principles of growth factor delivery systems in tissue engineering and regenerative medicine</t>
        </is>
      </c>
      <c r="C266" t="inlineStr"/>
      <c r="D266" s="5" t="inlineStr">
        <is>
          <t>Subbiah, R. and R.E. Guldberg, Materials science and design principles of growth factor delivery systems in tissue engineering and regenerative medicine. Advanced healthcare materials, 2019. 8(1): p. 1801000.</t>
        </is>
      </c>
    </row>
    <row r="267">
      <c r="A267" s="5" t="n">
        <v>266</v>
      </c>
      <c r="B267" s="5" t="inlineStr">
        <is>
          <t>Wound dressings as growth factor delivery platforms for chronic wound healing</t>
        </is>
      </c>
      <c r="C267" t="inlineStr"/>
      <c r="D267" s="5" t="inlineStr">
        <is>
          <t>Catanzano, O., F. Quaglia, and J.S. Boateng, Wound dressings as growth factor delivery platforms for chronic wound healing. Expert opinion on drug delivery, 2021. 18(6): p. 737–759.</t>
        </is>
      </c>
    </row>
    <row r="268">
      <c r="A268" s="5" t="n">
        <v>267</v>
      </c>
      <c r="B268" s="5" t="inlineStr">
        <is>
          <t>Advancements in the delivery of growth factors and cytokines for the treatment of cutaneous wound indications</t>
        </is>
      </c>
      <c r="C268" t="inlineStr"/>
      <c r="D268" s="5" t="inlineStr">
        <is>
          <t>Berry-Kilgour, C., J. Cabral, and L. Wise, Advancements in the delivery of growth factors and cytokines for the treatment of cutaneous wound indications. Advances in wound care, 2021. 10(11): p. 596–622.</t>
        </is>
      </c>
    </row>
    <row r="269">
      <c r="A269" s="5" t="n">
        <v>268</v>
      </c>
      <c r="B269" s="5" t="inlineStr">
        <is>
          <t>Exosome-loaded hydrogels: a new cell-free therapeutic approach for skin regeneration</t>
        </is>
      </c>
      <c r="C269" s="5" t="inlineStr"/>
      <c r="D269" s="5" t="inlineStr">
        <is>
          <t>Safari, B., et al., Exosome-loaded hydrogels: a new cell-free therapeutic approach for skin regeneration. European Journal of Pharmaceutics and Biopharmaceutics, 2022. 171: p. 50–59.</t>
        </is>
      </c>
    </row>
    <row r="270">
      <c r="A270" s="5" t="n">
        <v>269</v>
      </c>
      <c r="B270" s="5" t="inlineStr">
        <is>
          <t>Image-based artificial intelligence in wound assessment: a systematic review</t>
        </is>
      </c>
      <c r="C270" t="inlineStr"/>
      <c r="D270" s="5" t="inlineStr">
        <is>
          <t>Anisuzzaman, D., et al., Image-based artificial intelligence in wound assessment: a systematic review. Advances in Wound Care, 2022. 11(12): p. 687–709.</t>
        </is>
      </c>
    </row>
    <row r="271">
      <c r="A271" s="5" t="n">
        <v>270</v>
      </c>
      <c r="B271" s="5" t="inlineStr">
        <is>
          <t>A survey of wound image analysis using deep learning: classification, detection, and segmentation</t>
        </is>
      </c>
      <c r="C271" t="inlineStr"/>
      <c r="D271" s="5" t="inlineStr">
        <is>
          <t>Zhang, R., et al., A survey of wound image analysis using deep learning: classification, detection, and segmentation. IEEE Access, 2022. 10: p. 79502–79515.</t>
        </is>
      </c>
    </row>
    <row r="272">
      <c r="A272" s="5" t="n">
        <v>271</v>
      </c>
      <c r="B272" s="5" t="inlineStr">
        <is>
          <t>Diabetic foot ulcers segmentation challenge report: Benchmark and analysis</t>
        </is>
      </c>
      <c r="C272" t="inlineStr">
        <is>
          <t>10.1016/j.media.2024.103153</t>
        </is>
      </c>
      <c r="D272" s="5" t="inlineStr">
        <is>
          <t>Yap, M.H., et al., Diabetic foot ulcers segmentation challenge report: Benchmark and analysis. Medical Image Analysis, 2024. 94: p. 103153.</t>
        </is>
      </c>
    </row>
    <row r="273">
      <c r="A273" s="5" t="n">
        <v>272</v>
      </c>
      <c r="B273" s="5" t="inlineStr">
        <is>
          <t>Fully convolutional networks for diabetic foot ulcer segmentation. in 2017 IEEE international conference on systems, man, and cybernetics (SMC)</t>
        </is>
      </c>
      <c r="C273" s="5" t="inlineStr"/>
      <c r="D273" s="5" t="inlineStr">
        <is>
          <t>Goyal, M., et al. Fully convolutional networks for diabetic foot ulcer segmentation. in 2017 IEEE international conference on systems, man, and cybernetics (SMC). 2017. IEEE.</t>
        </is>
      </c>
    </row>
    <row r="274">
      <c r="A274" s="5" t="n">
        <v>273</v>
      </c>
      <c r="B274" s="5" t="inlineStr">
        <is>
          <t>Quantification of diabetic foot ulcer based on ulcer segmentation</t>
        </is>
      </c>
      <c r="C274" s="5" t="inlineStr"/>
      <c r="D274" s="5" t="inlineStr">
        <is>
          <t>Jin, H. and L. Liu. Quantification of diabetic foot ulcer based on ulcer segmentation. in 2022 IEEE International Conference on Industrial Technology (ICIT). 2022. IEEE.</t>
        </is>
      </c>
    </row>
    <row r="275">
      <c r="A275" s="5" t="n">
        <v>274</v>
      </c>
      <c r="B275" s="5" t="inlineStr">
        <is>
          <t>Internet service for wound area measurement using digital planimetry with adaptive calibration and image segmentation with deep convolutional neural networks</t>
        </is>
      </c>
      <c r="C275" s="5" t="inlineStr"/>
      <c r="D275" s="5" t="inlineStr">
        <is>
          <t>Foltynski, P. and P. Ladyzynski, Internet service for wound area measurement using digital planimetry with adaptive calibration and image segmentation with deep convolutional neural networks. Biocybernetics and Biomedical Engineering, 2023. 43(1): p. 17–29.</t>
        </is>
      </c>
    </row>
    <row r="276">
      <c r="A276" s="5" t="n">
        <v>275</v>
      </c>
      <c r="B276" s="5" t="inlineStr">
        <is>
          <t>FUSegNet: A deep convolutional neural network for foot ulcer segmentation</t>
        </is>
      </c>
      <c r="C276" t="inlineStr">
        <is>
          <t>10.1016/j.bspc.2024.106057</t>
        </is>
      </c>
      <c r="D276" s="5" t="inlineStr">
        <is>
          <t>Dhar, M.K., et al., FUSegNet: A deep convolutional neural network for foot ulcer segmentation. Biomedical Signal Processing and Control, 2024. 92: p. 106057.</t>
        </is>
      </c>
    </row>
    <row r="277">
      <c r="A277" s="5" t="n">
        <v>276</v>
      </c>
      <c r="B277" s="5" t="inlineStr">
        <is>
          <t>Fully automatic wound segmentation with deep convolutional neural networks</t>
        </is>
      </c>
      <c r="C277" t="inlineStr">
        <is>
          <t>10.1038/s41598-020-78799-w</t>
        </is>
      </c>
      <c r="D277" s="5" t="inlineStr">
        <is>
          <t>Wang, C., et al., Fully automatic wound segmentation with deep convolutional neural networks. Scientific reports, 2020. 10(1): p. 21897.</t>
        </is>
      </c>
    </row>
    <row r="278">
      <c r="A278" s="5" t="n">
        <v>277</v>
      </c>
      <c r="B278" s="5" t="inlineStr">
        <is>
          <t>Detect-and-segment: A deep learning approach to automate wound image segmentation</t>
        </is>
      </c>
      <c r="C278" t="inlineStr">
        <is>
          <t>10.1016/j.imu.2022.100884</t>
        </is>
      </c>
      <c r="D278" s="5" t="inlineStr">
        <is>
          <t>Scebba, G., et al., Detect-and-segment: A deep learning approach to automate wound image segmentation. Informatics in Medicine Unlocked, 2022. 29: p. 100884.</t>
        </is>
      </c>
    </row>
    <row r="279">
      <c r="A279" s="5" t="n">
        <v>278</v>
      </c>
      <c r="B279" s="5" t="inlineStr">
        <is>
          <t>Fully automated wound tissue segmentation using deep learning on mobile devices: Cohort study</t>
        </is>
      </c>
      <c r="C279" t="inlineStr"/>
      <c r="D279" s="5" t="inlineStr">
        <is>
          <t>Ramachandram, D., et al., Fully automated wound tissue segmentation using deep learning on mobile devices: Cohort study. JMIR mHealth and uHealth, 2022. 10(4): p. e36977.</t>
        </is>
      </c>
    </row>
    <row r="280">
      <c r="A280" s="5" t="n">
        <v>279</v>
      </c>
      <c r="B280" s="5" t="inlineStr">
        <is>
          <t>Translating clinical delineation of diabetic foot ulcers into machine interpretable segmentation, in Diabetic foot ulcers grand challenge</t>
        </is>
      </c>
      <c r="C280" t="inlineStr"/>
      <c r="D280" s="5" t="inlineStr">
        <is>
          <t>Kendrick, C., et al., Translating clinical delineation of diabetic foot ulcers into machine interpretable segmentation, in Diabetic foot ulcers grand challenge. 2024, Springer. p. 1–14.</t>
        </is>
      </c>
    </row>
    <row r="281">
      <c r="A281" s="5" t="n">
        <v>280</v>
      </c>
      <c r="B281" s="5" t="inlineStr">
        <is>
          <t>Fine-grained wound tissue analysis using deep neural network. in 2018 IEEE International Conference on Acoustics, Speech and Signal Processing (ICASSP)</t>
        </is>
      </c>
      <c r="C281" s="5" t="inlineStr"/>
      <c r="D281" s="5" t="inlineStr">
        <is>
          <t>Nejati, H., et al. Fine-grained wound tissue analysis using deep neural network. in 2018 IEEE International Conference on Acoustics, Speech and Signal Processing (ICASSP). 2018. IEEE.</t>
        </is>
      </c>
    </row>
    <row r="282">
      <c r="A282" s="5" t="n">
        <v>281</v>
      </c>
      <c r="B282" s="5" t="inlineStr">
        <is>
          <t>Assessing Clinician Consistency in Wound Tissue Classification and the Value of AI‐Assisted Quantification: A Cross‐Sectional Study</t>
        </is>
      </c>
      <c r="C282" t="inlineStr"/>
      <c r="D282" s="5" t="inlineStr">
        <is>
          <t>Mohammed, H.T., et al., Assessing Clinician Consistency in Wound Tissue Classification and the Value of AI‐Assisted Quantification: A Cross‐Sectional Study. International Wound Journal, 2025. 22(6): p. e70691.</t>
        </is>
      </c>
    </row>
    <row r="283">
      <c r="A283" s="5" t="n">
        <v>282</v>
      </c>
      <c r="B283" s="5" t="inlineStr">
        <is>
          <t>Recognition of ischaemia and infection in diabetic foot ulcers: Dataset and techniques</t>
        </is>
      </c>
      <c r="C283" t="inlineStr">
        <is>
          <t>10.1016/j.compbiomed.2020.103616</t>
        </is>
      </c>
      <c r="D283" s="5" t="inlineStr">
        <is>
          <t>Goyal, M., et al., Recognition of ischaemia and infection in diabetic foot ulcers: Dataset and techniques. Computers in biology and medicine, 2020. 117: p. 103616.</t>
        </is>
      </c>
    </row>
    <row r="284">
      <c r="A284" s="5" t="n">
        <v>283</v>
      </c>
      <c r="B284" s="5" t="inlineStr">
        <is>
          <t>Protocol for metadata and image collection at diabetic foot ulcer clinics: enabling research in wound analytics and deep learning</t>
        </is>
      </c>
      <c r="C284" t="inlineStr"/>
      <c r="D284" s="5" t="inlineStr">
        <is>
          <t>Basiri, R., et al., Protocol for metadata and image collection at diabetic foot ulcer clinics: enabling research in wound analytics and deep learning. BioMedical Engineering OnLine, 2024. 23(1): p. 12.</t>
        </is>
      </c>
    </row>
    <row r="285">
      <c r="A285" s="5" t="n">
        <v>284</v>
      </c>
      <c r="B285" s="5" t="inlineStr">
        <is>
          <t>WSNet: towards an effective method for wound image segmentation. in Proceedings of the IEEE/CVF winter conference on applications of computer vision</t>
        </is>
      </c>
      <c r="C285" t="inlineStr"/>
      <c r="D285" s="5" t="inlineStr">
        <is>
          <t>Oota, S.R., et al. WSNet: towards an effective method for wound image segmentation. in 2023 IEEE/CVF Winter Conference on Applications of Computer Vision (WACV). 2023. IEEE.</t>
        </is>
      </c>
    </row>
    <row r="286">
      <c r="A286" s="5" t="n">
        <v>285</v>
      </c>
      <c r="B286" s="5" t="inlineStr">
        <is>
          <t>Wound area measurement with 3D transformation and smartphone images</t>
        </is>
      </c>
      <c r="C286" s="5" t="inlineStr"/>
      <c r="D286" s="5" t="inlineStr">
        <is>
          <t>Liu, C., et al., Wound area measurement with 3D transformation and smartphone images. BMC bioinformatics, 2019. 20(1): p. 724.</t>
        </is>
      </c>
    </row>
    <row r="287">
      <c r="A287" s="5" t="n">
        <v>286</v>
      </c>
      <c r="B287" s="5" t="inlineStr">
        <is>
          <t>AI-assisted assessment of wound tissue with automatic color and measurement calibration on images taken with a smartphone. in Healthcare</t>
        </is>
      </c>
      <c r="C287" t="inlineStr"/>
      <c r="D287" s="5" t="inlineStr">
        <is>
          <t>Chairat, S., et al. AI-assisted assessment of wound tissue with automatic color and measurement calibration on images taken with a smartphone. in Healthcare. 2023. MDPI.</t>
        </is>
      </c>
    </row>
    <row r="288">
      <c r="A288" s="5" t="n">
        <v>287</v>
      </c>
      <c r="B288" s="5" t="inlineStr">
        <is>
          <t>FUSeg: The foot ulcer segmentation challenge</t>
        </is>
      </c>
      <c r="C288" t="inlineStr">
        <is>
          <t>10.3390/info15030140</t>
        </is>
      </c>
      <c r="D288" s="5" t="inlineStr">
        <is>
          <t>Wang, C., et al., FUSeg: The foot ulcer segmentation challenge. Information, 2024. 15(3): p. 140.</t>
        </is>
      </c>
    </row>
    <row r="289">
      <c r="A289" s="5" t="n">
        <v>288</v>
      </c>
      <c r="B289" s="5" t="inlineStr">
        <is>
          <t>Analysis of training data augmentation for diabetic foot ulcer semantic segmentation</t>
        </is>
      </c>
      <c r="C289" t="inlineStr"/>
      <c r="D289" s="5" t="inlineStr">
        <is>
          <t>Kairys, A. and V. Raudonis, Analysis of training data augmentation for diabetic foot ulcer semantic segmentation. Electronics, 2023. 12(22): p. 4624.</t>
        </is>
      </c>
    </row>
    <row r="290">
      <c r="A290" s="5" t="n">
        <v>289</v>
      </c>
      <c r="B290" s="5" t="inlineStr">
        <is>
          <t>Can deep learning wound segmentation algorithms developed for a dataset be effective for another dataset? A specific focus on diabetic foot ulcers</t>
        </is>
      </c>
      <c r="C290" t="inlineStr"/>
      <c r="D290" s="5" t="inlineStr">
        <is>
          <t>Lucho, S., et al., Can deep learning wound segmentation algorithms developed for a dataset be effective for another dataset? A specific focus on diabetic foot ulcers. IEEE Access, 2024. 12: p. 173824–173835.</t>
        </is>
      </c>
    </row>
    <row r="291">
      <c r="A291" s="5" t="n">
        <v>290</v>
      </c>
      <c r="B291" s="5" t="inlineStr">
        <is>
          <t>Development of diabetic foot ulcer datasets: an overview</t>
        </is>
      </c>
      <c r="C291" t="inlineStr"/>
      <c r="D291" s="5" t="inlineStr">
        <is>
          <t>Yap, M.H., et al., Development of diabetic foot ulcer datasets: an overview. Diabetic Foot Ulcers Grand Challenge, 2021: p. 1–18.</t>
        </is>
      </c>
    </row>
    <row r="292">
      <c r="A292" s="5" t="n">
        <v>291</v>
      </c>
      <c r="B292" s="5" t="inlineStr">
        <is>
          <t>Advances in Image-Based Diagnosis of Diabetic Foot Ulcers Using Deep Learning and Machine Learning: A Systematic Review</t>
        </is>
      </c>
      <c r="C292" t="inlineStr"/>
      <c r="D292" s="5" t="inlineStr">
        <is>
          <t>Alhasson, H.F. and S.S. Alharbi, Advances in Image-Based Diagnosis of Diabetic Foot Ulcers Using Deep Learning and Machine Learning: A Systematic Review. Biomedicines, 2025. 13(12): p. 2928.</t>
        </is>
      </c>
    </row>
    <row r="293">
      <c r="A293" s="5" t="n">
        <v>292</v>
      </c>
      <c r="B293" s="5" t="inlineStr">
        <is>
          <t>Artificial intelligence in wound care: A narrative review of the currently available mobile apps for automatic ulcer segmentation</t>
        </is>
      </c>
      <c r="C293" t="inlineStr"/>
      <c r="D293" s="5" t="inlineStr">
        <is>
          <t>Griffa, D., et al., Artificial intelligence in wound care: A narrative review of the currently available mobile apps for automatic ulcer segmentation. BioMedInformatics, 2024. 4(4): p. 2321–2337.</t>
        </is>
      </c>
    </row>
    <row r="294">
      <c r="A294" s="5" t="n">
        <v>293</v>
      </c>
      <c r="B294" s="5" t="inlineStr">
        <is>
          <t>The use of the artificial neural network for three-month prognosis in diabetic foot syndrome</t>
        </is>
      </c>
      <c r="C294" s="5" t="inlineStr"/>
      <c r="D294" s="5" t="inlineStr">
        <is>
          <t>Poradzka, A.A. and L. Czupryniak, The use of the artificial neural network for three-month prognosis in diabetic foot syndrome. Journal of Diabetes and its Complications, 2023. 37(2): p. 108392.</t>
        </is>
      </c>
    </row>
    <row r="295">
      <c r="A295" s="5" t="n">
        <v>294</v>
      </c>
      <c r="B295" s="5" t="inlineStr">
        <is>
          <t>Evaluation of machine learning model performance in diabetic foot ulcer: retrospective cohort study</t>
        </is>
      </c>
      <c r="C295" s="5" t="inlineStr"/>
      <c r="D295" s="5" t="inlineStr">
        <is>
          <t>van Velze, V.Y., et al., Evaluation of machine learning model performance in diabetic foot ulcer: retrospective cohort study. JMIR Medical Informatics, 2025. 13(1): p. e71994.</t>
        </is>
      </c>
    </row>
    <row r="296">
      <c r="A296" s="5" t="n">
        <v>295</v>
      </c>
      <c r="B296" s="5" t="inlineStr">
        <is>
          <t>Machine learning models for predicting the risk of hard-to-heal diabetic foot ulcers in a Chinese population</t>
        </is>
      </c>
      <c r="C296" s="5" t="inlineStr">
        <is>
          <t>10.2147/DMSO.S383960</t>
        </is>
      </c>
      <c r="D296" s="5" t="inlineStr">
        <is>
          <t>Wang, S., et al., Machine learning models for predicting the risk of hard-to-heal diabetic foot ulcers in a Chinese population. Diabetes, Metabolic Syndrome and Obesity: Targets and Therapy, 2022: p. 3347–3359.</t>
        </is>
      </c>
    </row>
    <row r="297">
      <c r="A297" s="5" t="n">
        <v>296</v>
      </c>
      <c r="B297" s="5" t="inlineStr">
        <is>
          <t>Temporal machine learning framework for diabetic foot ulcer healing trajectory prediction</t>
        </is>
      </c>
      <c r="C297" t="inlineStr">
        <is>
          <t>10.1186/s12938-026-01529-2</t>
        </is>
      </c>
      <c r="D297" s="5" t="inlineStr">
        <is>
          <t>Basiri, R., et al., Temporal machine learning framework for diabetic foot ulcer healing trajectory prediction. BioMedical Engineering OnLine, 2026.</t>
        </is>
      </c>
    </row>
    <row r="298">
      <c r="A298" s="5" t="n">
        <v>297</v>
      </c>
      <c r="B298" s="5" t="inlineStr">
        <is>
          <t>Dynamic prediction of time to wound healing at routine wound care visits</t>
        </is>
      </c>
      <c r="C298" t="inlineStr">
        <is>
          <t>10.1089/wound.2024.0069</t>
        </is>
      </c>
      <c r="D298" s="5" t="inlineStr">
        <is>
          <t>Thomassen, D., et al., Dynamic prediction of time to wound healing at routine wound care visits. Advances in Wound Care, 2025. 14(4): p. 188–198.</t>
        </is>
      </c>
    </row>
    <row r="299">
      <c r="A299" s="5" t="n">
        <v>298</v>
      </c>
      <c r="B299" s="5" t="inlineStr">
        <is>
          <t>Chronic ulcers healing prediction through machine learning approaches: preliminary results on diabetic foot ulcers case study</t>
        </is>
      </c>
      <c r="C299" t="inlineStr"/>
      <c r="D299" s="5" t="inlineStr">
        <is>
          <t>Spinazzola, E., et al., Chronic ulcers healing prediction through machine learning approaches: preliminary results on diabetic foot ulcers case study. Journal of Clinical Medicine, 2025. 14(9): p. 2943.</t>
        </is>
      </c>
    </row>
    <row r="300">
      <c r="A300" s="5" t="n">
        <v>299</v>
      </c>
      <c r="B300" s="5" t="inlineStr">
        <is>
          <t>Towards an AI-based objective prognostic model for quantifying wound healing</t>
        </is>
      </c>
      <c r="C300" t="inlineStr"/>
      <c r="D300" s="5" t="inlineStr">
        <is>
          <t>Gupta, R., et al., Towards an AI-based objective prognostic model for quantifying wound healing. IEEE Journal of Biomedical and Health Informatics, 2023. 28(2): p. 666–677.</t>
        </is>
      </c>
    </row>
    <row r="301">
      <c r="A301" s="5" t="n">
        <v>300</v>
      </c>
      <c r="B301" s="5" t="inlineStr">
        <is>
          <t>Predictive modeling of chronic foot ulcer outcomes using longitudinal photoacoustic imaging</t>
        </is>
      </c>
      <c r="C301" t="inlineStr"/>
      <c r="D301" s="5" t="inlineStr">
        <is>
          <t>Cheng, Y., et al., Predictive modeling of chronic foot ulcer outcomes using longitudinal photoacoustic imaging. npj Imaging, 2026. 4(1): p. 12.</t>
        </is>
      </c>
    </row>
    <row r="302">
      <c r="A302" s="5" t="n">
        <v>301</v>
      </c>
      <c r="B302" s="5" t="inlineStr">
        <is>
          <t>Non-invasive imaging techniques for predicting healing status of diabetic foot ulcers: a ten-year systematic review</t>
        </is>
      </c>
      <c r="C302" t="inlineStr"/>
      <c r="D302" s="5" t="inlineStr">
        <is>
          <t>Sari, N.N., et al., Non-invasive imaging techniques for predicting healing status of diabetic foot ulcers: a ten-year systematic review. Frontiers in Medical Technology, 2025. 7: p. 1648973.</t>
        </is>
      </c>
    </row>
    <row r="303">
      <c r="A303" s="5" t="n">
        <v>302</v>
      </c>
      <c r="B303" s="5" t="inlineStr">
        <is>
          <t>Integrated machine learning analysis of proteomic and transcriptomic data identifies healing associated targets in diabetic wound repair</t>
        </is>
      </c>
      <c r="C303" t="inlineStr"/>
      <c r="D303" s="5" t="inlineStr">
        <is>
          <t>Sumpio, B.J., et al., Integrated machine learning analysis of proteomic and transcriptomic data identifies healing associated targets in diabetic wound repair. Scientific reports, 2025. 15(1): p. 34355.</t>
        </is>
      </c>
    </row>
    <row r="304">
      <c r="A304" s="5" t="n">
        <v>303</v>
      </c>
      <c r="B304" s="5" t="inlineStr">
        <is>
          <t>Turning waste into insight: a novel proteomic approach to non-invasive wound biomarker discovery</t>
        </is>
      </c>
      <c r="C304" t="inlineStr"/>
      <c r="D304" s="5" t="inlineStr">
        <is>
          <t>Soto, V., et al., Turning waste into insight: a novel proteomic approach to non-invasive wound biomarker discovery. Molecular &amp; cellular proteomics, 2025: p. 101058.</t>
        </is>
      </c>
    </row>
    <row r="305">
      <c r="A305" s="5" t="n">
        <v>304</v>
      </c>
      <c r="B305" s="5" t="inlineStr">
        <is>
          <t>The association of wound factors and symptoms of fatigue and pain with wound healing in chronic venous leg ulcers</t>
        </is>
      </c>
      <c r="C305" t="inlineStr"/>
      <c r="D305" s="5" t="inlineStr">
        <is>
          <t>Kim, J., et al., The association of wound factors and symptoms of fatigue and pain with wound healing in chronic venous leg ulcers. International Wound Journal, 2023. 20(4): p. 1098–1111.</t>
        </is>
      </c>
    </row>
    <row r="306">
      <c r="A306" s="5" t="n">
        <v>305</v>
      </c>
      <c r="B306" s="5" t="inlineStr">
        <is>
          <t>Development of an XGBoost-based prediction model for wound recurrence risk in diabetic foot ulcer patients treated with antibiotic-loaded bone cement</t>
        </is>
      </c>
      <c r="C306" s="5" t="inlineStr"/>
      <c r="D306" s="5" t="inlineStr">
        <is>
          <t>Zhang, Y., et al., Development of an XGBoost-based prediction model for wound recurrence risk in diabetic foot ulcer patients treated with antibiotic-loaded bone cement. Frontiers in Endocrinology, 2025. 16: p. 1610884.</t>
        </is>
      </c>
    </row>
    <row r="307">
      <c r="A307" s="5" t="n">
        <v>306</v>
      </c>
      <c r="B307" s="5" t="inlineStr">
        <is>
          <t>Healing profiles in patients with a chronic diabetic foot ulcer: An exploratory study with machine learning</t>
        </is>
      </c>
      <c r="C307" t="inlineStr"/>
      <c r="D307" s="5" t="inlineStr">
        <is>
          <t>Pereira, M.G., et al., Healing profiles in patients with a chronic diabetic foot ulcer: An exploratory study with machine learning. Wound Repair and Regeneration, 2023. 31(6): p. 793–803.</t>
        </is>
      </c>
    </row>
    <row r="308">
      <c r="A308" s="5" t="n">
        <v>307</v>
      </c>
      <c r="B308" s="5" t="inlineStr">
        <is>
          <t>Personalized prediction of diabetic foot ulcer recurrence in elderly individuals using machine learning paradigms</t>
        </is>
      </c>
      <c r="C308" t="inlineStr">
        <is>
          <t>10.3233/THC-248023</t>
        </is>
      </c>
      <c r="D308" s="5" t="inlineStr">
        <is>
          <t>Hong, S., et al., Personalized prediction of diabetic foot ulcer recurrence in elderly individuals using machine learning paradigms. Technology and Health Care, 2024. 32(1_suppl): p. 265–276.</t>
        </is>
      </c>
    </row>
    <row r="309">
      <c r="A309" s="5" t="n">
        <v>308</v>
      </c>
      <c r="B309" s="5" t="inlineStr">
        <is>
          <t>Interpretable machine learning model for predicting recurrence in patients with diabetic foot ulcers</t>
        </is>
      </c>
      <c r="C309" s="5" t="inlineStr"/>
      <c r="D309" s="5" t="inlineStr">
        <is>
          <t>Mou, W., et al., Interpretable machine learning model for predicting recurrence in patients with diabetic foot ulcers. BMJ Open Diabetes Research &amp; Care, 2025. 13(6): p. e005242.</t>
        </is>
      </c>
    </row>
    <row r="310">
      <c r="A310" s="5" t="n">
        <v>309</v>
      </c>
      <c r="B310" s="5" t="inlineStr">
        <is>
          <t>Predictors of post-healing recurrence in patients with diabetic foot ulcers: A systematic review and meta-analysis</t>
        </is>
      </c>
      <c r="C310" s="5" t="inlineStr"/>
      <c r="D310" s="5" t="inlineStr">
        <is>
          <t>Sun, Y., et al., Predictors of post-healing recurrence in patients with diabetic foot ulcers: A systematic review and meta-analysis. Journal of Tissue Viability, 2024. 33(4): p. 542–549.</t>
        </is>
      </c>
    </row>
    <row r="311">
      <c r="A311" s="5" t="n">
        <v>310</v>
      </c>
      <c r="B311" s="5" t="inlineStr">
        <is>
          <t>Toward machine-learning-based decision support in diabetes care: A risk stratification study on diabetic foot ulcer and amputation</t>
        </is>
      </c>
      <c r="C311" t="inlineStr">
        <is>
          <t>10.3389/fmed.2020.601602</t>
        </is>
      </c>
      <c r="D311" s="5" t="inlineStr">
        <is>
          <t>Schäfer, Z., et al., Toward machine-learning-based decision support in diabetes care: A risk stratification study on diabetic foot ulcer and amputation. Frontiers in medicine, 2021. 7: p. 601602.</t>
        </is>
      </c>
    </row>
    <row r="312">
      <c r="A312" s="5" t="n">
        <v>311</v>
      </c>
      <c r="B312" s="5" t="inlineStr">
        <is>
          <t>Survival prediction in diabetic foot ulcers: a machine learning approach</t>
        </is>
      </c>
      <c r="C312" t="inlineStr">
        <is>
          <t>10.3390/jcm12185816</t>
        </is>
      </c>
      <c r="D312" s="5" t="inlineStr">
        <is>
          <t>Popa, A.D., et al., Survival prediction in diabetic foot ulcers: a machine learning approach. Journal of Clinical Medicine, 2023. 12(18): p. 5816.</t>
        </is>
      </c>
    </row>
    <row r="313">
      <c r="A313" s="5" t="n">
        <v>312</v>
      </c>
      <c r="B313" s="5" t="inlineStr">
        <is>
          <t>An interpreting machine learning models to predict amputation risk in patients with diabetic foot ulcers: a multi-center study</t>
        </is>
      </c>
      <c r="C313" t="inlineStr"/>
      <c r="D313" s="5" t="inlineStr">
        <is>
          <t>Tao, H., et al., An interpreting machine learning models to predict amputation risk in patients with diabetic foot ulcers: a multi-center study. Frontiers in Endocrinology, 2025. 16: p. 1526098.</t>
        </is>
      </c>
    </row>
    <row r="314">
      <c r="A314" s="5" t="n">
        <v>313</v>
      </c>
      <c r="B314" s="5" t="inlineStr">
        <is>
          <t>Prognostic models for clinical outcomes in patients with venous leg ulcers: A systematic review</t>
        </is>
      </c>
      <c r="C314" t="inlineStr"/>
      <c r="D314" s="5" t="inlineStr">
        <is>
          <t>Veličković, V.M., et al., Prognostic models for clinical outcomes in patients with venous leg ulcers: A systematic review. Journal of Vascular Surgery: Venous and Lymphatic Disorders, 2024. 12(1): p. 101673.</t>
        </is>
      </c>
    </row>
    <row r="315">
      <c r="A315" s="5" t="n">
        <v>314</v>
      </c>
      <c r="B315" s="5" t="inlineStr">
        <is>
          <t>Next-generation smart wound dressings: AI integration, biosensors, and electrospun nanofibers for chronic wound therapy</t>
        </is>
      </c>
      <c r="C315" t="inlineStr"/>
      <c r="D315" s="5" t="inlineStr">
        <is>
          <t>Palani, N., et al., Next-generation smart wound dressings: AI integration, biosensors, and electrospun nanofibers for chronic wound therapy. Journal of Biomaterials Science, Polymer Edition, 2026. 37(5): p. 962–1012.</t>
        </is>
      </c>
    </row>
    <row r="316">
      <c r="A316" s="5" t="n">
        <v>315</v>
      </c>
      <c r="B316" s="5" t="inlineStr">
        <is>
          <t>Application of prognostic research to understand and improve complex wound healing outcomes: a narrative review</t>
        </is>
      </c>
      <c r="C316" t="inlineStr"/>
      <c r="D316" s="5" t="inlineStr">
        <is>
          <t>Harvey, J., et al., Application of prognostic research to understand and improve complex wound healing outcomes: a narrative review. Journal of Plastic, Reconstructive &amp; Aesthetic Surgery, 2025.</t>
        </is>
      </c>
    </row>
    <row r="317">
      <c r="A317" s="5" t="n">
        <v>316</v>
      </c>
      <c r="B317" s="5" t="inlineStr">
        <is>
          <t>Rapid, autonomous high-throughput characterization of hydrogel rheological properties via automated sensing and physics-guided machine learning</t>
        </is>
      </c>
      <c r="C317" t="inlineStr"/>
      <c r="D317" s="5" t="inlineStr">
        <is>
          <t>Zhang, J., et al., Rapid, autonomous high-throughput characterization of hydrogel rheological properties via automated sensing and physics-guided machine learning. Applied Materials Today, 2023. 30: p. 101720.</t>
        </is>
      </c>
    </row>
    <row r="318">
      <c r="A318" s="5" t="n">
        <v>317</v>
      </c>
      <c r="B318" s="5" t="inlineStr">
        <is>
          <t>Integrating machine learning for the optimization of polyacrylamide/alginate hydrogel</t>
        </is>
      </c>
      <c r="C318" t="inlineStr"/>
      <c r="D318" s="5" t="inlineStr">
        <is>
          <t>Xu, S., et al., Integrating machine learning for the optimization of polyacrylamide/alginate hydrogel. Regenerative Biomaterials, 2024. 11: p. rbae109.</t>
        </is>
      </c>
    </row>
    <row r="319">
      <c r="A319" s="5" t="n">
        <v>318</v>
      </c>
      <c r="B319" s="5" t="inlineStr">
        <is>
          <t>Temperature-transferable coarse-grained model for poly (propylene oxide) to study thermo-responsive behavior of triblock copolymers</t>
        </is>
      </c>
      <c r="C319" t="inlineStr"/>
      <c r="D319" s="5" t="inlineStr">
        <is>
          <t>Elahi, A., X. Bidault, and S. Chaudhuri, Temperature-transferable coarse-grained model for poly (propylene oxide) to study thermo-responsive behavior of triblock copolymers. The Journal of Physical Chemistry B, 2022. 126(1): p. 292–307.</t>
        </is>
      </c>
    </row>
    <row r="320">
      <c r="A320" s="5" t="n">
        <v>319</v>
      </c>
      <c r="B320" s="5" t="inlineStr">
        <is>
          <t>Data-driven supervised machine learning to predict the compressive response of porous PVA/Gelatin hydrogels and in-vitro assessments: employing design of experiments</t>
        </is>
      </c>
      <c r="C320" s="5" t="inlineStr"/>
      <c r="D320" s="5" t="inlineStr">
        <is>
          <t>Khalvandi, A., et al., Data-driven supervised machine learning to predict the compressive response of porous PVA/Gelatin hydrogels and in-vitro assessments: employing design of experiments. International Journal of Biological Macromolecules, 2023. 253: p. 126906.</t>
        </is>
      </c>
    </row>
    <row r="321">
      <c r="A321" s="5" t="n">
        <v>320</v>
      </c>
      <c r="B321" s="5" t="inlineStr">
        <is>
          <t>Correlating in vitro performance with physico-chemical characteristics of nanofibrous scaffolds for skin tissue engineering using supervised machine learning algorithms</t>
        </is>
      </c>
      <c r="C321" s="5" t="inlineStr"/>
      <c r="D321" s="5" t="inlineStr">
        <is>
          <t>Sujeeun, L.Y., et al., Correlating in vitro performance with physico-chemical characteristics of nanofibrous scaffolds for skin tissue engineering using supervised machine learning algorithms. Royal Society Open Science, 2020. 7(12).</t>
        </is>
      </c>
    </row>
    <row r="322">
      <c r="A322" s="5" t="n">
        <v>321</v>
      </c>
      <c r="B322" s="5" t="inlineStr">
        <is>
          <t>Machine learning-driven optimization of therapeutic substance composition for high-hardness, fast-dissolving microneedles for androgenetic alopecia treatment</t>
        </is>
      </c>
      <c r="C322" t="inlineStr">
        <is>
          <t>10.1021/acsnano.5c05505</t>
        </is>
      </c>
      <c r="D322" s="5" t="inlineStr">
        <is>
          <t>Yan, P., et al., Machine learning-driven optimization of therapeutic substance composition for high-hardness, fast-dissolving microneedles for androgenetic alopecia treatment. ACS nano, 2025. 19(32): p. 29301–29315.</t>
        </is>
      </c>
    </row>
    <row r="323">
      <c r="A323" s="5" t="n">
        <v>322</v>
      </c>
      <c r="B323" s="5" t="inlineStr">
        <is>
          <t>Flowerbed-inspired biomimetic 3D-printed scaffolds functionalized with urine-derived stem cell exosomes promote alveolar bone regeneration by regulating energy metabolism</t>
        </is>
      </c>
      <c r="C323" t="inlineStr">
        <is>
          <t>10.7150/thno.123700</t>
        </is>
      </c>
      <c r="D323" s="5" t="inlineStr">
        <is>
          <t>Chen, Y., et al., Flowerbed-inspired biomimetic 3D-printed scaffolds functionalized with urine-derived stem cell exosomes promote alveolar bone regeneration by regulating energy metabolism. Theranostics, 2026. 16(7): p. 3826.</t>
        </is>
      </c>
    </row>
    <row r="324">
      <c r="A324" s="5" t="n">
        <v>323</v>
      </c>
      <c r="B324" s="5" t="inlineStr">
        <is>
          <t>Indirect prediction of the 3D printability of polysaccharide gels using multiple machine learning (ML) models</t>
        </is>
      </c>
      <c r="C324" t="inlineStr"/>
      <c r="D324" s="5" t="inlineStr">
        <is>
          <t>Tang, T., et al., Indirect prediction of the 3D printability of polysaccharide gels using multiple machine learning (ML) models. International Journal of Biological Macromolecules, 2024. 280: p. 135769.</t>
        </is>
      </c>
    </row>
    <row r="325">
      <c r="A325" s="5" t="n">
        <v>324</v>
      </c>
      <c r="B325" s="5" t="inlineStr">
        <is>
          <t>Design of experiment and machine learning inform on the 3D printing of hydrogels for biomedical applications</t>
        </is>
      </c>
      <c r="C325" t="inlineStr"/>
      <c r="D325" s="5" t="inlineStr">
        <is>
          <t>Bozorg, N.M., et al., Design of experiment and machine learning inform on the 3D printing of hydrogels for biomedical applications. Biomaterials Advances, 2023. 153: p. 213533.</t>
        </is>
      </c>
    </row>
    <row r="326">
      <c r="A326" s="5" t="n">
        <v>325</v>
      </c>
      <c r="B326" s="5" t="inlineStr">
        <is>
          <t>Characterization and machine learning-driven property prediction of a novel hybrid hydrogel bioink considering extrusion-based 3D bioprinting</t>
        </is>
      </c>
      <c r="C326" t="inlineStr"/>
      <c r="D326" s="5" t="inlineStr">
        <is>
          <t>Sarah, R., et al., Characterization and machine learning-driven property prediction of a novel hybrid hydrogel bioink considering extrusion-based 3D bioprinting. Gels, 2025. 11(1): p. 45.</t>
        </is>
      </c>
    </row>
    <row r="327">
      <c r="A327" s="5" t="n">
        <v>326</v>
      </c>
      <c r="B327" s="5" t="inlineStr">
        <is>
          <t>Constraint based Bayesian optimization of bioink precursor: a machine learning framework</t>
        </is>
      </c>
      <c r="C327" t="inlineStr"/>
      <c r="D327" s="5" t="inlineStr">
        <is>
          <t>Xu, Y., et al., Constraint based Bayesian optimization of bioink precursor: a machine learning framework. Biofabrication, 2024. 16(4): p. 045031.</t>
        </is>
      </c>
    </row>
    <row r="328">
      <c r="A328" s="5" t="n">
        <v>327</v>
      </c>
      <c r="B328" s="5" t="inlineStr">
        <is>
          <t>Machine learning in predicting printable biomaterial formulations for direct ink writing</t>
        </is>
      </c>
      <c r="C328" s="5" t="inlineStr"/>
      <c r="D328" s="5" t="inlineStr">
        <is>
          <t>Chen, H., et al., Machine learning in predicting printable biomaterial formulations for direct ink writing. Research, 2023. 6: p. 0197.</t>
        </is>
      </c>
    </row>
    <row r="329">
      <c r="A329" s="5" t="n">
        <v>328</v>
      </c>
      <c r="B329" s="5" t="inlineStr">
        <is>
          <t>From prediction to design rules: explainable machine learning analysis of cryoprotectant effects in GelMA-based cryobioprinting bioinks</t>
        </is>
      </c>
      <c r="C329" s="5" t="inlineStr"/>
      <c r="D329" s="5" t="inlineStr">
        <is>
          <t>Arabinour, M., et al., From prediction to design rules: explainable machine learning analysis of cryoprotectant effects in GelMA-based cryobioprinting bioinks. Biomedical Physics &amp; Engineering Express, 2026.</t>
        </is>
      </c>
    </row>
    <row r="330">
      <c r="A330" s="5" t="n">
        <v>329</v>
      </c>
      <c r="B330" s="5" t="inlineStr">
        <is>
          <t>Artificial intelligence‐assisted high‐throughput screening of printing conditions of hydrogel architectures for accelerated diabetic wound healing</t>
        </is>
      </c>
      <c r="C330" t="inlineStr"/>
      <c r="D330" s="5" t="inlineStr">
        <is>
          <t>Chen, B., et al., Artificial intelligence‐assisted high‐throughput screening of printing conditions of hydrogel architectures for accelerated diabetic wound healing. Advanced Functional Materials, 2022. 32(38): p. 2201843.</t>
        </is>
      </c>
    </row>
    <row r="331">
      <c r="A331" s="5" t="n">
        <v>330</v>
      </c>
      <c r="B331" s="5" t="inlineStr">
        <is>
          <t>Automated active learning to optimize hydrogel drug release profiles</t>
        </is>
      </c>
      <c r="C331" t="inlineStr">
        <is>
          <t>10.1016/j.jconrel.2026.114602</t>
        </is>
      </c>
      <c r="D331" s="5" t="inlineStr">
        <is>
          <t>Cheong, E., D.C. Radford, and A.J. Gormley, Automated active learning to optimize hydrogel drug release profiles. Journal of Controlled Release, 2026: p. 114602.</t>
        </is>
      </c>
    </row>
    <row r="332">
      <c r="A332" s="5" t="n">
        <v>331</v>
      </c>
      <c r="B332" s="5" t="inlineStr">
        <is>
          <t>A hybrid machine learning framework for predicting drug-release profiles, kinetics, and mechanisms of temperature-responsive hydrogels</t>
        </is>
      </c>
      <c r="C332" t="inlineStr">
        <is>
          <t>10.1007/s00289-025-05645-2</t>
        </is>
      </c>
      <c r="D332" s="5" t="inlineStr">
        <is>
          <t>AL-Rajabi, M.M., et al., A hybrid machine learning framework for predicting drug-release profiles, kinetics, and mechanisms of temperature-responsive hydrogels. Polymer Bulletin, 2025. 82(8): p. 2911–2932.</t>
        </is>
      </c>
    </row>
    <row r="333">
      <c r="A333" s="5" t="n">
        <v>332</v>
      </c>
      <c r="B333" s="5" t="inlineStr">
        <is>
          <t>Machine learning-driven insights into the mechanical performance of polymeric microneedle array patches</t>
        </is>
      </c>
      <c r="C333" t="inlineStr"/>
      <c r="D333" s="5" t="inlineStr">
        <is>
          <t>Liew, X.Y., et al., Machine learning-driven insights into the mechanical performance of polymeric microneedle array patches. Journal of Controlled Release, 2025: p. 114505.</t>
        </is>
      </c>
    </row>
    <row r="334">
      <c r="A334" s="5" t="n">
        <v>333</v>
      </c>
      <c r="B334" s="5" t="inlineStr">
        <is>
          <t>Development and comparison of machine learning models for in-vitro drug permeation prediction from microneedle patch</t>
        </is>
      </c>
      <c r="C334" t="inlineStr"/>
      <c r="D334" s="5" t="inlineStr">
        <is>
          <t>Biswas, A.A., et al., Development and comparison of machine learning models for in-vitro drug permeation prediction from microneedle patch. European Journal of Pharmaceutics and Biopharmaceutics, 2024. 199: p. 114311.</t>
        </is>
      </c>
    </row>
    <row r="335">
      <c r="A335" s="5" t="n">
        <v>334</v>
      </c>
      <c r="B335" s="5" t="inlineStr">
        <is>
          <t>Media Polarity Control Strategy to Tailor Mechanical Behavior of Dual Monomer Single Network Hydrogels and Integrated Machine Learning Approach</t>
        </is>
      </c>
      <c r="C335" t="inlineStr"/>
      <c r="D335" s="5" t="inlineStr">
        <is>
          <t>Mandal, S., et al., Media Polarity Control Strategy to Tailor Mechanical Behavior of Dual Monomer Single Network Hydrogels and Integrated Machine Learning Approach. Chemistry of Materials, 2025. 37(11): p. 4085–4096.</t>
        </is>
      </c>
    </row>
    <row r="336">
      <c r="A336" s="5" t="n">
        <v>335</v>
      </c>
      <c r="B336" s="5" t="inlineStr">
        <is>
          <t>Mapping biomaterial complexity by machine learning</t>
        </is>
      </c>
      <c r="C336" t="inlineStr"/>
      <c r="D336" s="5" t="inlineStr">
        <is>
          <t>Ahmed, E., et al., Mapping biomaterial complexity by machine learning. Tissue Engineering Part A, 2024. 30(19-20): p. 662–680.</t>
        </is>
      </c>
    </row>
    <row r="337">
      <c r="A337" s="5" t="n">
        <v>336</v>
      </c>
      <c r="B337" s="5" t="inlineStr">
        <is>
          <t>AI-enabled, QbD-aligned Predictive, and Sustainable Design of Natural Polymer-based Drug Delivery Systems</t>
        </is>
      </c>
      <c r="C337" t="inlineStr"/>
      <c r="D337" s="5" t="inlineStr">
        <is>
          <t>Suksaeree, J., P. Maneewattanapinyo, and C. Monton, AI-enabled, QbD-aligned Predictive, and Sustainable Design of Natural Polymer-based Drug Delivery Systems. AAPS PharmSciTech, 2026. 27(2): p. 90.</t>
        </is>
      </c>
    </row>
    <row r="338">
      <c r="A338" s="5" t="n">
        <v>337</v>
      </c>
      <c r="B338" s="5" t="inlineStr">
        <is>
          <t>Modeling Polymeric Drug Release: The Emerging Role of Machine Learning</t>
        </is>
      </c>
      <c r="C338" t="inlineStr"/>
      <c r="D338" s="5" t="inlineStr">
        <is>
          <t>Woodring, R.N. and K.M. Ainslie, Modeling Polymeric Drug Release: The Emerging Role of Machine Learning. Wiley Interdisciplinary Reviews: Nanomedicine and Nanobiotechnology, 2026. 18(2): p. e70057.</t>
        </is>
      </c>
    </row>
    <row r="339">
      <c r="A339" s="5" t="n">
        <v>338</v>
      </c>
      <c r="B339" s="5" t="inlineStr">
        <is>
          <t>Machine learning in gel-based additive manufacturing: from material design to process optimization</t>
        </is>
      </c>
      <c r="C339" t="inlineStr"/>
      <c r="D339" s="5" t="inlineStr">
        <is>
          <t>Zhang, Z., Y. Wang, and W. Wang, Machine learning in gel-based additive manufacturing: from material design to process optimization. Gels, 2025. 11(8): p. 582.</t>
        </is>
      </c>
    </row>
    <row r="340">
      <c r="A340" s="5" t="n">
        <v>339</v>
      </c>
      <c r="B340" s="5" t="inlineStr">
        <is>
          <t>Machine learning-enhanced nanofiber systems: a new frontier in controlled drug release</t>
        </is>
      </c>
      <c r="C340" s="5" t="inlineStr"/>
      <c r="D340" s="5" t="inlineStr">
        <is>
          <t>Soares, G.O.N., et al., Machine learning-enhanced nanofiber systems: a new frontier in controlled drug release. Nanotechnology, 2026. 37(5): p. 052001.</t>
        </is>
      </c>
    </row>
    <row r="341">
      <c r="A341" s="5" t="n">
        <v>340</v>
      </c>
      <c r="B341" s="5" t="inlineStr">
        <is>
          <t>Battery‐free and wireless smart wound dressing for wound infection monitoring and electrically controlled on‐demand drug delivery</t>
        </is>
      </c>
      <c r="C341" t="inlineStr"/>
      <c r="D341" s="5" t="inlineStr">
        <is>
          <t>Xu, G., et al., Battery‐free and wireless smart wound dressing for wound infection monitoring and electrically controlled on‐demand drug delivery. Advanced Functional Materials, 2021. 31(26): p. 2100852.</t>
        </is>
      </c>
    </row>
    <row r="342">
      <c r="A342" s="5" t="n">
        <v>341</v>
      </c>
      <c r="B342" s="5" t="inlineStr">
        <is>
          <t>A closed-loop smart dressing based on microneedle and electrochemical micropump for early diagnosis and in-time therapy of chronic wound</t>
        </is>
      </c>
      <c r="C342" t="inlineStr"/>
      <c r="D342" s="5" t="inlineStr">
        <is>
          <t>Zhao, H., et al., A closed-loop smart dressing based on microneedle and electrochemical micropump for early diagnosis and in-time therapy of chronic wound. Sensors and Actuators B: Chemical, 2024. 417: p. 136092.</t>
        </is>
      </c>
    </row>
    <row r="343">
      <c r="A343" s="5" t="n">
        <v>342</v>
      </c>
      <c r="B343" s="5" t="inlineStr">
        <is>
          <t>Battery-free and AI-enabled multiplexed sensor patches for wound monitoring</t>
        </is>
      </c>
      <c r="C343" s="5" t="inlineStr">
        <is>
          <t>10.1126/sciadv.adg6670</t>
        </is>
      </c>
      <c r="D343" s="5" t="inlineStr">
        <is>
          <t>Zheng, X.T., et al., Battery-free and AI-enabled multiplexed sensor patches for wound monitoring. Science advances, 2023. 9(24): p. eadg6670.</t>
        </is>
      </c>
    </row>
    <row r="344">
      <c r="A344" s="5" t="n">
        <v>343</v>
      </c>
      <c r="B344" s="5" t="inlineStr">
        <is>
          <t>Wireless and closed‐loop smart dressing for exudate management and on‐demand treatment of chronic wounds</t>
        </is>
      </c>
      <c r="C344" t="inlineStr"/>
      <c r="D344" s="5" t="inlineStr">
        <is>
          <t>Ge, Z., et al., Wireless and closed‐loop smart dressing for exudate management and on‐demand treatment of chronic wounds. Advanced Materials, 2023. 35(47): p. 2304005.</t>
        </is>
      </c>
    </row>
    <row r="345">
      <c r="A345" s="5" t="n">
        <v>344</v>
      </c>
      <c r="B345" s="5" t="inlineStr">
        <is>
          <t>A conducting polymer-based array with multiplex sensing and drug delivery capabilities for smart bandages</t>
        </is>
      </c>
      <c r="C345" s="5" t="inlineStr"/>
      <c r="D345" s="5" t="inlineStr">
        <is>
          <t>Meng, L., et al., A conducting polymer-based array with multiplex sensing and drug delivery capabilities for smart bandages. Communications Materials, 2024. 5(1): p. 28.</t>
        </is>
      </c>
    </row>
    <row r="346">
      <c r="A346" s="5" t="n">
        <v>345</v>
      </c>
      <c r="B346" s="5" t="inlineStr">
        <is>
          <t>Wireless matrix metalloproteinase-9 sensing by smart wound dressing with controlled antibacterial nanoparticles release toward chronic wound management</t>
        </is>
      </c>
      <c r="C346" t="inlineStr">
        <is>
          <t>10.1016/j.bios.2024.116860</t>
        </is>
      </c>
      <c r="D346" s="5" t="inlineStr">
        <is>
          <t>Deng, P., et al., Wireless matrix metalloproteinase-9 sensing by smart wound dressing with controlled antibacterial nanoparticles release toward chronic wound management. Biosensors and Bioelectronics, 2025. 268: p. 116860.</t>
        </is>
      </c>
    </row>
    <row r="347">
      <c r="A347" s="5" t="n">
        <v>346</v>
      </c>
      <c r="B347" s="5" t="inlineStr">
        <is>
          <t>Closed‐Loop Responsive Smart Bandages for Dynamic Monitoring and Self‐Regulated Antibacterial Therapy in Wound Healing</t>
        </is>
      </c>
      <c r="C347" s="5" t="inlineStr"/>
      <c r="D347" s="5" t="inlineStr">
        <is>
          <t>Yu, Z., et al., Closed‐Loop Responsive Smart Bandages for Dynamic Monitoring and Self‐Regulated Antibacterial Therapy in Wound Healing. Advanced Functional Materials, 2026. 36(22): p. e20327.</t>
        </is>
      </c>
    </row>
    <row r="348">
      <c r="A348" s="5" t="n">
        <v>347</v>
      </c>
      <c r="B348" s="5" t="inlineStr">
        <is>
          <t>A closed-loop patch based on bioinspired infection sensor for wound management</t>
        </is>
      </c>
      <c r="C348" t="inlineStr">
        <is>
          <t>10.1016/j.nantod.2024.102400</t>
        </is>
      </c>
      <c r="D348" s="5" t="inlineStr">
        <is>
          <t>Huang, X., et al., A closed-loop patch based on bioinspired infection sensor for wound management. Nano Today, 2024. 57: p. 102400.</t>
        </is>
      </c>
    </row>
    <row r="349">
      <c r="A349" s="5" t="n">
        <v>348</v>
      </c>
      <c r="B349" s="5" t="inlineStr">
        <is>
          <t>Injectable hydrogels with integrated Ph probes and ultrasound‐responsive microcapsules as smart wound dressings for visual monitoring and on‐demand treatment of chronic wounds</t>
        </is>
      </c>
      <c r="C349" s="5" t="inlineStr"/>
      <c r="D349" s="5" t="inlineStr">
        <is>
          <t>Huang, D., et al., Injectable hydrogels with integrated Ph probes and ultrasound‐responsive microcapsules as smart wound dressings for visual monitoring and on‐demand treatment of chronic wounds. Advanced Healthcare Materials, 2024. 13(9): p. 2303379.</t>
        </is>
      </c>
    </row>
    <row r="350">
      <c r="A350" s="5" t="n">
        <v>349</v>
      </c>
      <c r="B350" s="5" t="inlineStr">
        <is>
          <t>A skin-interfaced three-dimensional closed-loop sensing and therapeutic electronic wound bandage</t>
        </is>
      </c>
      <c r="C350" t="inlineStr">
        <is>
          <t>10.1038/s41467-025-61261-8</t>
        </is>
      </c>
      <c r="D350" s="5" t="inlineStr">
        <is>
          <t>Huang, X., et al., A skin-interfaced three-dimensional closed-loop sensing and therapeutic electronic wound bandage. Nature communications, 2025. 16(1): p. 5782.</t>
        </is>
      </c>
    </row>
    <row r="351">
      <c r="A351" s="5" t="n">
        <v>350</v>
      </c>
      <c r="B351" s="5" t="inlineStr">
        <is>
          <t>Electrical and Physical Stimulation in Tissue Engineering, in Handbook of Oral and Maxillofacial Surgery and Implantology</t>
        </is>
      </c>
      <c r="C351" t="inlineStr"/>
      <c r="D351" s="5" t="inlineStr">
        <is>
          <t>Karkhaneh, A., et al., Electrical and Physical Stimulation in Tissue Engineering, in Handbook of Oral and Maxillofacial Surgery and Implantology. 2025, Springer. p. 1–36.</t>
        </is>
      </c>
    </row>
    <row r="352">
      <c r="A352" s="5" t="n">
        <v>351</v>
      </c>
      <c r="B352" s="5" t="inlineStr">
        <is>
          <t>Smart flexible electronics‐integrated wound dressing for real‐time monitoring and on‐demand treatment of infected wounds</t>
        </is>
      </c>
      <c r="C352" t="inlineStr">
        <is>
          <t>10.1002/advs.201902673</t>
        </is>
      </c>
      <c r="D352" s="5" t="inlineStr">
        <is>
          <t>Pang, Q., et al., Smart flexible electronics‐integrated wound dressing for real‐time monitoring and on‐demand treatment of infected wounds. Advanced Science, 2020. 7(6): p. 1902673.</t>
        </is>
      </c>
    </row>
    <row r="353">
      <c r="A353" s="5" t="n">
        <v>352</v>
      </c>
      <c r="B353" s="5" t="inlineStr">
        <is>
          <t>A highly stretchable smart dressing for wound infection monitoring and treatment</t>
        </is>
      </c>
      <c r="C353" t="inlineStr"/>
      <c r="D353" s="5" t="inlineStr">
        <is>
          <t>Su, R., et al., A highly stretchable smart dressing for wound infection monitoring and treatment. Materials Today Bio, 2024. 26: p. 101107.</t>
        </is>
      </c>
    </row>
    <row r="354">
      <c r="A354" s="5" t="n">
        <v>353</v>
      </c>
      <c r="B354" s="5" t="inlineStr">
        <is>
          <t>Wearable, battery-free, and wireless microneedle-based bioelectronics for robustly-integrated chronic wound management and therapeutic diagnosis</t>
        </is>
      </c>
      <c r="C354" t="inlineStr"/>
      <c r="D354" s="5" t="inlineStr">
        <is>
          <t>Liu, Y., et al., Wearable, battery-free, and wireless microneedle-based bioelectronics for robustly-integrated chronic wound management and therapeutic diagnosis. Nano Energy, 2025. 138: p. 110909.</t>
        </is>
      </c>
    </row>
    <row r="355">
      <c r="A355" s="5" t="n">
        <v>354</v>
      </c>
      <c r="B355" s="5" t="inlineStr">
        <is>
          <t>Conformable electrochemical devices for closed-loop wound management</t>
        </is>
      </c>
      <c r="C355" t="inlineStr"/>
      <c r="D355" s="5" t="inlineStr">
        <is>
          <t>Li, J., et al., Conformable electrochemical devices for closed-loop wound management. Frontiers in Bioengineering and Biotechnology, 2023. 11: p. 1331567.</t>
        </is>
      </c>
    </row>
    <row r="356">
      <c r="A356" s="5" t="n">
        <v>355</v>
      </c>
      <c r="B356" s="5" t="inlineStr">
        <is>
          <t>Advancements in Smart Wound Dressings: Leveraging Sensor Technology for Real-Time Wound Monitoring and Management</t>
        </is>
      </c>
      <c r="C356" t="inlineStr"/>
      <c r="D356" s="5" t="inlineStr">
        <is>
          <t>Sarpong, C., et al., Advancements in Smart Wound Dressings: Leveraging Sensor Technology for Real-Time Wound Monitoring and Management. Plastic Surgery, 2026: p. 22925503261440483.</t>
        </is>
      </c>
    </row>
    <row r="357">
      <c r="A357" s="5" t="n">
        <v>356</v>
      </c>
      <c r="B357" s="5" t="inlineStr">
        <is>
          <t>Wound-on-a-chip: High-throughput 3D wound healing assay with a novel SU-8 mesh chip</t>
        </is>
      </c>
      <c r="C357" s="5" t="inlineStr"/>
      <c r="D357" s="5" t="inlineStr">
        <is>
          <t>Wang, Y., et al., Wound-on-a-chip: High-throughput 3D wound healing assay with a novel SU-8 mesh chip. Sensors and Actuators B: Chemical, 2019. 280: p. 86–93.</t>
        </is>
      </c>
    </row>
    <row r="358">
      <c r="A358" s="5" t="n">
        <v>357</v>
      </c>
      <c r="B358" s="5" t="inlineStr">
        <is>
          <t>High throughput microfluidic drug screening system for corneal epithelial wound healing</t>
        </is>
      </c>
      <c r="C358" s="5" t="inlineStr"/>
      <c r="D358" s="5" t="inlineStr">
        <is>
          <t>Lee, R., et al., High throughput microfluidic drug screening system for corneal epithelial wound healing. Journal of Micromechanics and Microengineering, 2023. 33(12): p. 125007.</t>
        </is>
      </c>
    </row>
    <row r="359">
      <c r="A359" s="5" t="n">
        <v>358</v>
      </c>
      <c r="B359" s="5" t="inlineStr">
        <is>
          <t>Development of tight junction-strengthening compounds using a high-throughput screening system to evaluate cell surface-localized claudin-1 in keratinocytes</t>
        </is>
      </c>
      <c r="C359" s="5" t="inlineStr">
        <is>
          <t>10.1038/s41598-024-53649-1</t>
        </is>
      </c>
      <c r="D359" s="5" t="inlineStr">
        <is>
          <t>Sakamoto, H., M. Nishikawa, and S. Yamada, Development of tight junction-strengthening compounds using a high-throughput screening system to evaluate cell surface-localized claudin-1 in keratinocytes. Scientific Reports, 2024. 14(1): p. 3312.</t>
        </is>
      </c>
    </row>
    <row r="360">
      <c r="A360" s="5" t="n">
        <v>359</v>
      </c>
      <c r="B360" s="5" t="inlineStr">
        <is>
          <t>Identification of a novel collagen-like peptide by high-throughput screening for effective wound-healing therapy</t>
        </is>
      </c>
      <c r="C360" t="inlineStr">
        <is>
          <t>10.1016/j.ijbiomac.2021.01.104</t>
        </is>
      </c>
      <c r="D360" s="5" t="inlineStr">
        <is>
          <t>Du, C., et al., Identification of a novel collagen-like peptide by high-throughput screening for effective wound-healing therapy. International journal of biological macromolecules, 2021. 173: p. 541–553.</t>
        </is>
      </c>
    </row>
    <row r="361">
      <c r="A361" s="5" t="n">
        <v>360</v>
      </c>
      <c r="B361" s="5" t="inlineStr">
        <is>
          <t>High-throughput screening-based design of multifunctional natural polyphenol nano-vesicles to accelerate diabetic wound healing</t>
        </is>
      </c>
      <c r="C361" t="inlineStr">
        <is>
          <t>10.1186/s12951-024-02950-2</t>
        </is>
      </c>
      <c r="D361" s="5" t="inlineStr">
        <is>
          <t>Zhao, X., et al., High-throughput screening-based design of multifunctional natural polyphenol nano-vesicles to accelerate diabetic wound healing. Journal of Nanobiotechnology, 2024. 22(1): p. 725.</t>
        </is>
      </c>
    </row>
    <row r="362">
      <c r="A362" s="5" t="n">
        <v>361</v>
      </c>
      <c r="B362" s="5" t="inlineStr">
        <is>
          <t>Phenotypic screening identifies synergistically acting natural product enhancing the performance of biomaterial based wound healing</t>
        </is>
      </c>
      <c r="C362" t="inlineStr"/>
      <c r="D362" s="5" t="inlineStr">
        <is>
          <t>Sivasubramanian, S., et al., Phenotypic screening identifies synergistically acting natural product enhancing the performance of biomaterial based wound healing. Frontiers in Pharmacology, 2017. 8: p. 433.</t>
        </is>
      </c>
    </row>
    <row r="363">
      <c r="A363" s="5" t="n">
        <v>362</v>
      </c>
      <c r="B363" s="5" t="inlineStr">
        <is>
          <t>Effects of quercetin and curcumin combination on antibacterial, antioxidant, in vitro wound healing and migration of human dermal fibroblast cells</t>
        </is>
      </c>
      <c r="C363" t="inlineStr"/>
      <c r="D363" s="5" t="inlineStr">
        <is>
          <t>Chittasupho, C., et al., Effects of quercetin and curcumin combination on antibacterial, antioxidant, in vitro wound healing and migration of human dermal fibroblast cells. International journal of molecular sciences, 2021. 23(1): p. 142.</t>
        </is>
      </c>
    </row>
    <row r="364">
      <c r="A364" s="5" t="n">
        <v>363</v>
      </c>
      <c r="B364" s="5" t="inlineStr">
        <is>
          <t>Evaluation of the wound healing properties of South African medicinal plants using zebrafish and in vitro bioassays</t>
        </is>
      </c>
      <c r="C364" s="5" t="inlineStr"/>
      <c r="D364" s="5" t="inlineStr">
        <is>
          <t>Mhlongo, F., et al., Evaluation of the wound healing properties of South African medicinal plants using zebrafish and in vitro bioassays. Journal of Ethnopharmacology, 2022. 286: p. 114867.</t>
        </is>
      </c>
    </row>
    <row r="365">
      <c r="A365" s="5" t="n">
        <v>364</v>
      </c>
      <c r="B365" s="5" t="inlineStr">
        <is>
          <t>Studies on wound healing potential of polyherbal formulation using in vitro and in vivo assays</t>
        </is>
      </c>
      <c r="C365" t="inlineStr"/>
      <c r="D365" s="5" t="inlineStr">
        <is>
          <t>Talekar, Y.P., et al., Studies on wound healing potential of polyherbal formulation using in vitro and in vivo assays. Journal of Ayurveda and Integrative Medicine, 2017. 8(2): p. 73–81.</t>
        </is>
      </c>
    </row>
    <row r="366">
      <c r="A366" s="5" t="n">
        <v>365</v>
      </c>
      <c r="B366" s="5" t="inlineStr">
        <is>
          <t>Extracellular vesicles enriched with an endothelial cell pro-survival microRNA affects skin tissue regeneration</t>
        </is>
      </c>
      <c r="C366" s="5" t="inlineStr">
        <is>
          <t>10.1016/j.omtn.2022.03.018</t>
        </is>
      </c>
      <c r="D366" s="5" t="inlineStr">
        <is>
          <t>Fernandes, H., et al., Extracellular vesicles enriched with an endothelial cell pro-survival microRNA affects skin tissue regeneration. Molecular Therapy Nucleic Acids, 2022. 28: p. 307–327.</t>
        </is>
      </c>
    </row>
    <row r="367">
      <c r="A367" s="5" t="n">
        <v>366</v>
      </c>
      <c r="B367" s="5" t="inlineStr">
        <is>
          <t>Exosomes derived from human amniotic epithelial cells accelerate wound healing and inhibit scar formation</t>
        </is>
      </c>
      <c r="C367" t="inlineStr"/>
      <c r="D367" s="5" t="inlineStr">
        <is>
          <t>Zhao, B., et al., Exosomes derived from human amniotic epithelial cells accelerate wound healing and inhibit scar formation. Journal of molecular histology, 2017. 48(2): p. 121–132.</t>
        </is>
      </c>
    </row>
    <row r="368">
      <c r="A368" s="5" t="n">
        <v>367</v>
      </c>
      <c r="B368" s="5" t="inlineStr">
        <is>
          <t>Exosomes derived from pioglitazone-pretreated MSCs accelerate diabetic wound healing through enhancing angiogenesis</t>
        </is>
      </c>
      <c r="C368" t="inlineStr">
        <is>
          <t>10.1186/s12951-021-00894-5</t>
        </is>
      </c>
      <c r="D368" s="5" t="inlineStr">
        <is>
          <t>Hu, Y., et al., Exosomes derived from pioglitazone-pretreated MSCs accelerate diabetic wound healing through enhancing angiogenesis. Journal of nanobiotechnology, 2021. 19(1): p. 150.</t>
        </is>
      </c>
    </row>
    <row r="369">
      <c r="A369" s="5" t="n">
        <v>368</v>
      </c>
      <c r="B369" s="5" t="inlineStr">
        <is>
          <t>Recombinant human collagen microneedle patches loaded with PRP for diabetic wound treatment</t>
        </is>
      </c>
      <c r="C369" t="inlineStr"/>
      <c r="D369" s="5" t="inlineStr">
        <is>
          <t>Wang, X., et al., Recombinant human collagen microneedle patches loaded with PRP for diabetic wound treatment. Journal of Materials Chemistry B, 2025. 13(31): p. 9607–9624.</t>
        </is>
      </c>
    </row>
    <row r="370">
      <c r="A370" s="5" t="n">
        <v>369</v>
      </c>
      <c r="B370" s="5" t="inlineStr">
        <is>
          <t>3D-bioprinted multifunctional artificial skin patches with synergistic antimicrobial-mechanoadaptive functions for accelerating infected wound healing</t>
        </is>
      </c>
      <c r="C370" t="inlineStr"/>
      <c r="D370" s="5" t="inlineStr">
        <is>
          <t>Dong, T., et al., 3D-bioprinted multifunctional artificial skin patches with synergistic antimicrobial-mechanoadaptive functions for accelerating infected wound healing. International Journal of Biological Macromolecules, 2025. 318: p. 144844.</t>
        </is>
      </c>
    </row>
    <row r="371">
      <c r="A371" s="5" t="n">
        <v>370</v>
      </c>
      <c r="B371" s="5" t="inlineStr">
        <is>
          <t>Bioengineered wound healing skin models: The role of immune response and endogenous ECM to fully replicate the dynamic of scar tissue formation in vitro</t>
        </is>
      </c>
      <c r="C371" t="inlineStr"/>
      <c r="D371" s="5" t="inlineStr">
        <is>
          <t>Urciuolo, F., et al., Bioengineered wound healing skin models: The role of immune response and endogenous ECM to fully replicate the dynamic of scar tissue formation in vitro. Bioengineering, 2022. 9(6): p. 233.</t>
        </is>
      </c>
    </row>
    <row r="372">
      <c r="A372" s="5" t="n">
        <v>371</v>
      </c>
      <c r="B372" s="5" t="inlineStr">
        <is>
          <t>Skin Organoids for Disease Modelling, Drug Screening and Regenerative Medicine: Recent Advances and Future Perspectives</t>
        </is>
      </c>
      <c r="C372" t="inlineStr"/>
      <c r="D372" s="5" t="inlineStr">
        <is>
          <t>Wang, D., et al., Skin Organoids for Disease Modelling, Drug Screening and Regenerative Medicine: Recent Advances and Future Perspectives. Wound Repair and Regeneration, 2026. 34(1): p. e70117.</t>
        </is>
      </c>
    </row>
    <row r="373">
      <c r="A373" s="5" t="n">
        <v>372</v>
      </c>
      <c r="B373" s="5" t="inlineStr">
        <is>
          <t>In vitro methods used for discovering plant derived products as wound healing agents–An update on the cell types and rationale</t>
        </is>
      </c>
      <c r="C373" t="inlineStr"/>
      <c r="D373" s="5" t="inlineStr">
        <is>
          <t>Low, J.S., et al., In vitro methods used for discovering plant derived products as wound healing agents–An update on the cell types and rationale. Fitoterapia, 2021. 154: p. 105026.</t>
        </is>
      </c>
    </row>
    <row r="374">
      <c r="A374" s="5" t="n">
        <v>373</v>
      </c>
      <c r="B374" s="5" t="inlineStr">
        <is>
          <t>Differentiation of diabetic foot ulcer–derived induced pluripotent stem cells reveals distinct cellular and tissue phenotypes</t>
        </is>
      </c>
      <c r="C374" t="inlineStr"/>
      <c r="D374" s="5" t="inlineStr">
        <is>
          <t>Kashpur, O., et al., Differentiation of diabetic foot ulcer–derived induced pluripotent stem cells reveals distinct cellular and tissue phenotypes. The FASEB Journal, 2018. 33(1): p. 1262.</t>
        </is>
      </c>
    </row>
    <row r="375">
      <c r="A375" s="5" t="n">
        <v>374</v>
      </c>
      <c r="B375" s="5" t="inlineStr">
        <is>
          <t>Altered ECM deposition by diabetic foot ulcer‐derived fibroblasts implicates fibronectin in chronic wound repair</t>
        </is>
      </c>
      <c r="C375" t="inlineStr"/>
      <c r="D375" s="5" t="inlineStr">
        <is>
          <t>Maione, A.G., et al., Altered ECM deposition by diabetic foot ulcer‐derived fibroblasts implicates fibronectin in chronic wound repair. Wound repair and regeneration, 2016. 24(4): p. 630–643.</t>
        </is>
      </c>
    </row>
    <row r="376">
      <c r="A376" s="5" t="n">
        <v>375</v>
      </c>
      <c r="B376" s="5" t="inlineStr">
        <is>
          <t>Genome-wide DNA methylation analysis identifies a metabolic memory profile in patient-derived diabetic foot ulcer fibroblasts</t>
        </is>
      </c>
      <c r="C376" t="inlineStr"/>
      <c r="D376" s="5" t="inlineStr">
        <is>
          <t>Park, L.K., et al., Genome-wide DNA methylation analysis identifies a metabolic memory profile in patient-derived diabetic foot ulcer fibroblasts. Epigenetics, 2014. 9(10): p. 1339–1349.</t>
        </is>
      </c>
    </row>
    <row r="377">
      <c r="A377" s="5" t="n">
        <v>376</v>
      </c>
      <c r="B377" s="5" t="inlineStr">
        <is>
          <t>Radix Astragali and Radix Rehmanniae, the principal components of two antidiabetic foot ulcer herbal formulae, elicit viability‐promoting effects on primary fibroblasts cultured from diabetic foot ulcer tissues</t>
        </is>
      </c>
      <c r="C377" s="5" t="inlineStr"/>
      <c r="D377" s="5" t="inlineStr">
        <is>
          <t>Lau, T., et al., Radix Astragali and Radix Rehmanniae, the principal components of two antidiabetic foot ulcer herbal formulae, elicit viability‐promoting effects on primary fibroblasts cultured from diabetic foot ulcer tissues. Phytotherapy Research: An International Journal Devoted to Pharmacological and Toxicological Evaluation of Natural Product Derivatives, 2009. 23(6): p. 809–815.</t>
        </is>
      </c>
    </row>
    <row r="378">
      <c r="A378" s="5" t="n">
        <v>377</v>
      </c>
      <c r="B378" s="5" t="inlineStr">
        <is>
          <t>PKCδ inhibition normalizes the wound-healing capacity of diabetic human fibroblasts</t>
        </is>
      </c>
      <c r="C378" t="inlineStr"/>
      <c r="D378" s="5" t="inlineStr">
        <is>
          <t>Khamaisi, M., et al., PKCδ inhibition normalizes the wound-healing capacity of diabetic human fibroblasts. The Journal of clinical investigation, 2016. 126(3): p. 837–853.</t>
        </is>
      </c>
    </row>
    <row r="379">
      <c r="A379" s="5" t="n">
        <v>378</v>
      </c>
      <c r="B379" s="5" t="inlineStr">
        <is>
          <t>Personalized scaffolds for diabetic foot ulcer healing using extracellular matrix from induced pluripotent stem‐reprogrammed patient cells</t>
        </is>
      </c>
      <c r="C379" t="inlineStr">
        <is>
          <t>10.1002/anbr.202200052</t>
        </is>
      </c>
      <c r="D379" s="5" t="inlineStr">
        <is>
          <t>Santarella, F., et al., Personalized scaffolds for diabetic foot ulcer healing using extracellular matrix from induced pluripotent stem‐reprogrammed patient cells. Advanced nanobiomed research, 2022. 2(10): p. 2200052.</t>
        </is>
      </c>
    </row>
    <row r="380">
      <c r="A380" s="5" t="n">
        <v>379</v>
      </c>
      <c r="B380" s="5" t="inlineStr">
        <is>
          <t>Keratin gene mutations influence the keratinocyte response to DNA damage and cytokine induced apoptosis</t>
        </is>
      </c>
      <c r="C380" t="inlineStr"/>
      <c r="D380" s="5" t="inlineStr">
        <is>
          <t>Zupancic, T., et al., Keratin gene mutations influence the keratinocyte response to DNA damage and cytokine induced apoptosis. Archives of dermatological research, 2017. 309(7): p. 587–593.</t>
        </is>
      </c>
    </row>
    <row r="381">
      <c r="A381" s="5" t="n">
        <v>380</v>
      </c>
      <c r="B381" s="5" t="inlineStr">
        <is>
          <t>Therapeutic p63 isoform switching rescues epidermal defects in AEC syndrome</t>
        </is>
      </c>
      <c r="C381" t="inlineStr"/>
      <c r="D381" s="5" t="inlineStr">
        <is>
          <t>Di Girolamo, D., et al., Therapeutic p63 isoform switching rescues epidermal defects in AEC syndrome. Molecular Therapy, 2026. 34(4): p. 2324–2342.</t>
        </is>
      </c>
    </row>
    <row r="382">
      <c r="A382" s="5" t="n">
        <v>381</v>
      </c>
      <c r="B382" s="5" t="inlineStr">
        <is>
          <t>Preclinical validation of PKC412 as a therapy candidate for epidermolysis bullosa simplex across multiple keratin pathogenic variants</t>
        </is>
      </c>
      <c r="C382" t="inlineStr"/>
      <c r="D382" s="5" t="inlineStr">
        <is>
          <t>Jopp, H., et al., Preclinical validation of PKC412 as a therapy candidate for epidermolysis bullosa simplex across multiple keratin pathogenic variants. British Journal of Dermatology, 2025. 193(4): p. 741–757.</t>
        </is>
      </c>
    </row>
    <row r="383">
      <c r="A383" s="5" t="n">
        <v>382</v>
      </c>
      <c r="B383" s="5" t="inlineStr">
        <is>
          <t>A novel three-dimensional skin disease model to assess macrophage function in diabetes</t>
        </is>
      </c>
      <c r="C383" t="inlineStr"/>
      <c r="D383" s="5" t="inlineStr">
        <is>
          <t>Smith, A., et al., A novel three-dimensional skin disease model to assess macrophage function in diabetes. Tissue Engineering Part C: Methods, 2021. 27(2): p. 49–58.</t>
        </is>
      </c>
    </row>
    <row r="384">
      <c r="A384" s="5" t="n">
        <v>383</v>
      </c>
      <c r="B384" s="5" t="inlineStr">
        <is>
          <t>Recapitulating T cell infiltration in 3D psoriatic skin models for patient-specific drug testing</t>
        </is>
      </c>
      <c r="C384" t="inlineStr"/>
      <c r="D384" s="5" t="inlineStr">
        <is>
          <t>Shin, J.U., et al., Recapitulating T cell infiltration in 3D psoriatic skin models for patient-specific drug testing. Scientific reports, 2020. 10(1): p. 4123.</t>
        </is>
      </c>
    </row>
    <row r="385">
      <c r="A385" s="5" t="n">
        <v>384</v>
      </c>
      <c r="B385" s="5" t="inlineStr">
        <is>
          <t>Single-cell RNA-seq and bulk-seq identify RAB17 as a potential regulator of angiogenesis by human dermal microvascular endothelial cells in diabetic foot ulcers</t>
        </is>
      </c>
      <c r="C385" t="inlineStr"/>
      <c r="D385" s="5" t="inlineStr">
        <is>
          <t>Du, H., et al., Single-cell RNA-seq and bulk-seq identify RAB17 as a potential regulator of angiogenesis by human dermal microvascular endothelial cells in diabetic foot ulcers. Burns &amp; Trauma, 2023. 11: p. tkad020.</t>
        </is>
      </c>
    </row>
    <row r="386">
      <c r="A386" s="5" t="n">
        <v>385</v>
      </c>
      <c r="B386" s="5" t="inlineStr">
        <is>
          <t>Modeling diabetic endothelial dysfunction with patient‐specific induced pluripotent stem cells</t>
        </is>
      </c>
      <c r="C386" t="inlineStr"/>
      <c r="D386" s="5" t="inlineStr">
        <is>
          <t>Gorashi, R., et al., Modeling diabetic endothelial dysfunction with patient‐specific induced pluripotent stem cells. Bioengineering &amp; Translational Medicine, 2023. 8(6): p. e10592.</t>
        </is>
      </c>
    </row>
    <row r="387">
      <c r="A387" s="5" t="n">
        <v>386</v>
      </c>
      <c r="B387" s="5" t="inlineStr">
        <is>
          <t>Advanced microfluidic and 3D cell culture platforms for modeling vascularization in diabetic foot ulcers: A systematic review of translational challenges and perspectives</t>
        </is>
      </c>
      <c r="C387" t="inlineStr"/>
      <c r="D387" s="5" t="inlineStr">
        <is>
          <t>da Silva, A.K.A., et al., Advanced microfluidic and 3D cell culture platforms for modeling vascularization in diabetic foot ulcers: A systematic review of translational challenges and perspectives. PLoS One, 2026. 21(4): p. e0328278.</t>
        </is>
      </c>
    </row>
    <row r="388">
      <c r="A388" s="5" t="n">
        <v>387</v>
      </c>
      <c r="B388" s="5" t="inlineStr">
        <is>
          <t>Physiology and pathophysiology of wound healing in diabetes, in The diabetic foot: medical and surgical management</t>
        </is>
      </c>
      <c r="C388" t="inlineStr"/>
      <c r="D388" s="5" t="inlineStr">
        <is>
          <t>Pastar, I., et al., Physiology and pathophysiology of wound healing in diabetes, in The diabetic foot: medical and surgical management. 2024, Springer. p. 109–134.</t>
        </is>
      </c>
    </row>
    <row r="389">
      <c r="A389" s="5" t="n">
        <v>388</v>
      </c>
      <c r="B389" s="5" t="inlineStr">
        <is>
          <t>The landscape of biofilm models for phage therapy: mimicking biofilms in diabetic foot ulcers using 3D models</t>
        </is>
      </c>
      <c r="C389" t="inlineStr"/>
      <c r="D389" s="5" t="inlineStr">
        <is>
          <t>Martinet, M.G., et al., The landscape of biofilm models for phage therapy: mimicking biofilms in diabetic foot ulcers using 3D models. Frontiers in microbiology, 2025. 16: p. 1553979.</t>
        </is>
      </c>
    </row>
    <row r="390">
      <c r="A390" s="5" t="n">
        <v>389</v>
      </c>
      <c r="B390" s="5" t="inlineStr">
        <is>
          <t>Generation of induced pluripotent stem cells from diabetic foot ulcer fibroblasts using a nonintegrative Sendai virus</t>
        </is>
      </c>
      <c r="C390" t="inlineStr"/>
      <c r="D390" s="5" t="inlineStr">
        <is>
          <t>Gerami-Naini, B., et al., Generation of induced pluripotent stem cells from diabetic foot ulcer fibroblasts using a nonintegrative Sendai virus. Cellular reprogramming, 2016. 18(4): p. 214–223.</t>
        </is>
      </c>
    </row>
    <row r="391">
      <c r="A391" s="5" t="n">
        <v>390</v>
      </c>
      <c r="B391" s="5" t="inlineStr">
        <is>
          <t>IPSC-derived organoid-sourced skin cells enable functional 3D skin modeling of recessive dystrophic epidermolysis bullosa</t>
        </is>
      </c>
      <c r="C391" t="inlineStr"/>
      <c r="D391" s="5" t="inlineStr">
        <is>
          <t>Garriga-Cerda, L., et al., IPSC-derived organoid-sourced skin cells enable functional 3D skin modeling of recessive dystrophic epidermolysis bullosa. Journal of Tissue Engineering, 2025. 16: p. 20417314251397594.</t>
        </is>
      </c>
    </row>
    <row r="392">
      <c r="A392" s="5" t="n">
        <v>391</v>
      </c>
      <c r="B392" s="5" t="inlineStr">
        <is>
          <t>The potential of human induced pluripotent stem cells for modelling diabetic wound healing in vitro</t>
        </is>
      </c>
      <c r="C392" t="inlineStr"/>
      <c r="D392" s="5" t="inlineStr">
        <is>
          <t>Martin, P.E., et al., The potential of human induced pluripotent stem cells for modelling diabetic wound healing in vitro. Clinical Science, 2018. 132(15): p. 1629–1643.</t>
        </is>
      </c>
    </row>
    <row r="393">
      <c r="A393" s="5" t="n">
        <v>392</v>
      </c>
      <c r="B393" s="5" t="inlineStr">
        <is>
          <t>Organoids: development and applications in disease models, drug discovery, precision medicine, and regenerative medicine</t>
        </is>
      </c>
      <c r="C393" s="5" t="inlineStr"/>
      <c r="D393" s="5" t="inlineStr">
        <is>
          <t>Yao, Q., et al., Organoids: development and applications in disease models, drug discovery, precision medicine, and regenerative medicine. MedComm, 2024. 5(10): p. e735.</t>
        </is>
      </c>
    </row>
    <row r="394">
      <c r="A394" s="5" t="n">
        <v>393</v>
      </c>
      <c r="B394" s="5" t="inlineStr">
        <is>
          <t>Organoids‐On‐a‐Chip for Personalized Precision Medicine</t>
        </is>
      </c>
      <c r="C394" t="inlineStr"/>
      <c r="D394" s="5" t="inlineStr">
        <is>
          <t>Man, Y., et al., Organoids‐On‐a‐Chip for Personalized Precision Medicine. Advanced Healthcare Materials, 2024. 13(30): p. 2401843.</t>
        </is>
      </c>
    </row>
    <row r="395">
      <c r="A395" s="5" t="n">
        <v>394</v>
      </c>
      <c r="B395" s="5" t="inlineStr">
        <is>
          <t>Digital twin in healthcare: a study for chronic wound management</t>
        </is>
      </c>
      <c r="C395" t="inlineStr">
        <is>
          <t>10.1109/JBHI.2023.3299028</t>
        </is>
      </c>
      <c r="D395" s="5" t="inlineStr">
        <is>
          <t>Sarp, S., et al., Digital twin in healthcare: a study for chronic wound management. IEEE Journal of Biomedical and Health Informatics, 2023. 27(11): p. 5634–5643.</t>
        </is>
      </c>
    </row>
    <row r="396">
      <c r="A396" s="5" t="n">
        <v>395</v>
      </c>
      <c r="B396" s="5" t="inlineStr">
        <is>
          <t>Digital twin in chronic wound management, in Digital twin driven intelligent systems and emerging metaverse</t>
        </is>
      </c>
      <c r="C396" t="inlineStr"/>
      <c r="D396" s="5" t="inlineStr">
        <is>
          <t>Sarp, S., et al., Digital twin in chronic wound management, in Digital twin driven intelligent systems and emerging metaverse. 2023, Springer. p. 233–248.</t>
        </is>
      </c>
    </row>
    <row r="397">
      <c r="A397" s="5" t="n">
        <v>396</v>
      </c>
      <c r="B397" s="5" t="inlineStr">
        <is>
          <t>Current progress of digital twin construction using medical imaging</t>
        </is>
      </c>
      <c r="C397" t="inlineStr"/>
      <c r="D397" s="5" t="inlineStr">
        <is>
          <t>Zhao, F., et al., Current progress of digital twin construction using medical imaging. Journal of Applied Clinical Medical Physics, 2025. 26(9): p. e70226.</t>
        </is>
      </c>
    </row>
    <row r="398">
      <c r="A398" s="5" t="n">
        <v>397</v>
      </c>
      <c r="B398" s="5" t="inlineStr">
        <is>
          <t>The digital twin revolution in healthcare</t>
        </is>
      </c>
      <c r="C398" t="inlineStr"/>
      <c r="D398" s="5" t="inlineStr">
        <is>
          <t>Erol, T., A.F. Mendi, and D. Doğan. The digital twin revolution in healthcare. in 2020 4th international symposium on multidisciplinary studies and innovative technologies (ISMSIT). 2020. IEEE.</t>
        </is>
      </c>
    </row>
    <row r="399">
      <c r="A399" s="5" t="n">
        <v>398</v>
      </c>
      <c r="B399" s="5" t="inlineStr">
        <is>
          <t>Computational models for clinical applications in personalized medicine—guidelines and recommendations for data integration and model validation</t>
        </is>
      </c>
      <c r="C399" t="inlineStr"/>
      <c r="D399" s="5" t="inlineStr">
        <is>
          <t>Collin, C.B., et al., Computational models for clinical applications in personalized medicine—guidelines and recommendations for data integration and model validation. Journal of personalized medicine, 2022. 12(2): p. 166.</t>
        </is>
      </c>
    </row>
    <row r="400">
      <c r="A400" s="5" t="n">
        <v>399</v>
      </c>
      <c r="B400" s="5" t="inlineStr">
        <is>
          <t>Next-generation, personalised, model-based critical care medicine: a state-of-the art review of in silico virtual patient models, methods, and cohorts, and how to validation them</t>
        </is>
      </c>
      <c r="C400" t="inlineStr"/>
      <c r="D400" s="5" t="inlineStr">
        <is>
          <t>Chase, J.G., et al., Next-generation, personalised, model-based critical care medicine: a state-of-the art review of in silico virtual patient models, methods, and cohorts, and how to validation them. Biomedical engineering online, 2018. 17(1): p. 24.</t>
        </is>
      </c>
    </row>
    <row r="401">
      <c r="A401" s="5" t="n">
        <v>400</v>
      </c>
      <c r="B401" s="5" t="inlineStr">
        <is>
          <t>Interpolating and Forecasting Wound Trajectory using Machine Learning Approaches</t>
        </is>
      </c>
      <c r="C401" t="inlineStr"/>
      <c r="D401" s="5" t="inlineStr">
        <is>
          <t>Paddo, A.R., et al. Interpolating and Forecasting Wound Trajectory using Machine Learning Approaches. in 2024 IEEE 37th International Symposium on Computer-Based Medical Systems (CBMS). 2024. IEEE.</t>
        </is>
      </c>
    </row>
    <row r="402">
      <c r="A402" s="5" t="n">
        <v>401</v>
      </c>
      <c r="B402" s="5" t="inlineStr">
        <is>
          <t>How quickly does a wound heal? Bayesian calibration of a mathematical model of venous leg ulcer healing</t>
        </is>
      </c>
      <c r="C402" t="inlineStr"/>
      <c r="D402" s="5" t="inlineStr">
        <is>
          <t>Zanca, A., et al., How quickly does a wound heal? Bayesian calibration of a mathematical model of venous leg ulcer healing. Mathematical Medicine and Biology: A Journal of the IMA, 2022. 39(4): p. 313–331.</t>
        </is>
      </c>
    </row>
    <row r="403">
      <c r="A403" s="5" t="n">
        <v>402</v>
      </c>
      <c r="B403" s="5" t="inlineStr">
        <is>
          <t>Development of Mathematical Model for Understanding Microcirculation in Diabetic Foot Ulcers Based on Ankle–Brachial Index</t>
        </is>
      </c>
      <c r="C403" t="inlineStr"/>
      <c r="D403" s="5" t="inlineStr">
        <is>
          <t>da Silva, A.K.A., et al., Development of Mathematical Model for Understanding Microcirculation in Diabetic Foot Ulcers Based on Ankle–Brachial Index. Bioengineering, 2025. 12(2): p. 206.</t>
        </is>
      </c>
    </row>
    <row r="404">
      <c r="A404" s="5" t="n">
        <v>403</v>
      </c>
      <c r="B404" s="5" t="inlineStr">
        <is>
          <t>Spatio-temporal multiscale cell modeling of skin wound healing</t>
        </is>
      </c>
      <c r="C404" t="inlineStr"/>
      <c r="D404" s="5" t="inlineStr">
        <is>
          <t>Cao, Y., et al., Spatio-temporal multiscale cell modeling of skin wound healing. Biophysical Journal, 2026.</t>
        </is>
      </c>
    </row>
    <row r="405">
      <c r="A405" s="5" t="n">
        <v>404</v>
      </c>
      <c r="B405" s="5" t="inlineStr">
        <is>
          <t>Effective spatio-temporal regimes for wound treatment by way of macrophage polarization: a mathematical model</t>
        </is>
      </c>
      <c r="C405" t="inlineStr"/>
      <c r="D405" s="5" t="inlineStr">
        <is>
          <t>Zlobina, K., J. Xue, and M. Gomez, Effective spatio-temporal regimes for wound treatment by way of macrophage polarization: a mathematical model. Frontiers in Applied Mathematics and Statistics, 2022. 8: p. 791064.</t>
        </is>
      </c>
    </row>
    <row r="406">
      <c r="A406" s="5" t="n">
        <v>405</v>
      </c>
      <c r="B406" s="5" t="inlineStr">
        <is>
          <t>Mathematical model predicts that acceleration of diabetic wound healing is dependent on spatial distribution of VEGF-A mRNA (AZD8601)</t>
        </is>
      </c>
      <c r="C406" t="inlineStr"/>
      <c r="D406" s="5" t="inlineStr">
        <is>
          <t>Rikard, S.M., et al., Mathematical model predicts that acceleration of diabetic wound healing is dependent on spatial distribution of VEGF-A mRNA (AZD8601). Cellular and molecular bioengineering, 2021. 14(4): p. 321–338.</t>
        </is>
      </c>
    </row>
    <row r="407">
      <c r="A407" s="5" t="n">
        <v>406</v>
      </c>
      <c r="B407" s="5" t="inlineStr">
        <is>
          <t>ReplayBG: a digital twin-based methodology to identify a personalized model from type 1 diabetes data and simulate glucose concentrations to assess alternative therapies</t>
        </is>
      </c>
      <c r="C407" t="inlineStr"/>
      <c r="D407" s="5" t="inlineStr">
        <is>
          <t>Cappon, G., et al., ReplayBG: a digital twin-based methodology to identify a personalized model from type 1 diabetes data and simulate glucose concentrations to assess alternative therapies. IEEE Transactions on Biomedical Engineering, 2023. 70(11): p. 3227–3238.</t>
        </is>
      </c>
    </row>
    <row r="408">
      <c r="A408" s="5" t="n">
        <v>407</v>
      </c>
      <c r="B408" s="5" t="inlineStr">
        <is>
          <t>Explainable Prediction of Recurrence After Prostate Cancer Radiotherapy Using in Silico digital twin model and machine learning. in International Workshop on Digital Twin for Healthcare</t>
        </is>
      </c>
      <c r="C408" t="inlineStr"/>
      <c r="D408" s="5" t="inlineStr">
        <is>
          <t>Septiers, V., et al. Explainable Prediction of Recurrence After Prostate Cancer Radiotherapy Using in Silico digital twin model and machine learning. in International Workshop on Digital Twin for Healthcare. 2025. Springer.</t>
        </is>
      </c>
    </row>
    <row r="409">
      <c r="A409" s="5" t="n">
        <v>408</v>
      </c>
      <c r="B409" s="5" t="inlineStr">
        <is>
          <t>Patient-specific prostate tumour growth simulation: a first step towards the digital twin</t>
        </is>
      </c>
      <c r="C409" t="inlineStr"/>
      <c r="D409" s="5" t="inlineStr">
        <is>
          <t>Pérez-Benito, Á., et al., Patient-specific prostate tumour growth simulation: a first step towards the digital twin. Frontiers in physiology, 2024. 15: p. 1421591.</t>
        </is>
      </c>
    </row>
    <row r="410">
      <c r="A410" s="5" t="n">
        <v>409</v>
      </c>
      <c r="B410" s="5" t="inlineStr">
        <is>
          <t>Development and verification of a digital twin patient model to predict specific treatment response during the first 24 hours of sepsis</t>
        </is>
      </c>
      <c r="C410" t="inlineStr"/>
      <c r="D410" s="5" t="inlineStr">
        <is>
          <t>Lal, A., et al., Development and verification of a digital twin patient model to predict specific treatment response during the first 24 hours of sepsis. Critical care explorations, 2020. 2(11): p. e0249.</t>
        </is>
      </c>
    </row>
    <row r="411">
      <c r="A411" s="5" t="n">
        <v>410</v>
      </c>
      <c r="B411" s="5" t="inlineStr">
        <is>
          <t>TumorTwin: A python framework for patient-specific digital twins in oncology</t>
        </is>
      </c>
      <c r="C411" t="inlineStr"/>
      <c r="D411" s="5" t="inlineStr">
        <is>
          <t>Kapteyn, M.G., et al., TumorTwin: A python framework for patient-specific digital twins in oncology. BMC Medical Informatics and Decision Making, 2026.</t>
        </is>
      </c>
    </row>
    <row r="412">
      <c r="A412" s="5" t="n">
        <v>411</v>
      </c>
      <c r="B412" s="5" t="inlineStr">
        <is>
          <t>MediDT: Digital TwinBased Predictive Analytics for Personalized Patient Recovery</t>
        </is>
      </c>
      <c r="C412" t="inlineStr"/>
      <c r="D412" s="5" t="inlineStr">
        <is>
          <t>Mukadam, M., et al. MediDT: Digital TwinBased Predictive Analytics for Personalized Patient Recovery. in 2025 IEEE 2nd International Conference for Women in Computing (InCoWoCo). 2025. IEEE.</t>
        </is>
      </c>
    </row>
    <row r="413">
      <c r="A413" s="5" t="n">
        <v>412</v>
      </c>
      <c r="B413" s="5" t="inlineStr">
        <is>
          <t>Mathematical modeling can advance wound healing research</t>
        </is>
      </c>
      <c r="C413" s="5" t="inlineStr"/>
      <c r="D413" s="5" t="inlineStr">
        <is>
          <t>Menon, S.N. and J.A. Flegg, Mathematical modeling can advance wound healing research. Advances in Wound Care, 2021. 10(6): p. 328–344.</t>
        </is>
      </c>
    </row>
    <row r="414">
      <c r="A414" s="5" t="n">
        <v>413</v>
      </c>
      <c r="B414" s="5" t="inlineStr">
        <is>
          <t>Skin integrated with perfusable vascular channels on a chip</t>
        </is>
      </c>
      <c r="C414" t="inlineStr">
        <is>
          <t>10.1016/j.biomaterials.2016.11.031</t>
        </is>
      </c>
      <c r="D414" s="5" t="inlineStr">
        <is>
          <t>Mori, N., Y. Morimoto, and S. Takeuchi, Skin integrated with perfusable vascular channels on a chip. Biomaterials, 2017. 116: p. 48–56.</t>
        </is>
      </c>
    </row>
    <row r="415">
      <c r="A415" s="5" t="n">
        <v>414</v>
      </c>
      <c r="B415" s="5" t="inlineStr">
        <is>
          <t>Side-effect test of sorafenib using 3-D skin equivalent based on microfluidic skin-on-a-chip</t>
        </is>
      </c>
      <c r="C415" t="inlineStr"/>
      <c r="D415" s="5" t="inlineStr">
        <is>
          <t>Jeon, H.M., et al., Side-effect test of sorafenib using 3-D skin equivalent based on microfluidic skin-on-a-chip. Journal of Industrial and Engineering Chemistry, 2020. 82: p. 71–80.</t>
        </is>
      </c>
    </row>
    <row r="416">
      <c r="A416" s="5" t="n">
        <v>415</v>
      </c>
      <c r="B416" s="5" t="inlineStr">
        <is>
          <t>A human skin equivalent burn model to study the effect of a nanocrystalline silver dressing on wound healing</t>
        </is>
      </c>
      <c r="C416" t="inlineStr"/>
      <c r="D416" s="5" t="inlineStr">
        <is>
          <t>Iljas, J., et al., A human skin equivalent burn model to study the effect of a nanocrystalline silver dressing on wound healing. Burns, 2021. 47(2): p. 417–429.</t>
        </is>
      </c>
    </row>
    <row r="417">
      <c r="A417" s="5" t="n">
        <v>416</v>
      </c>
      <c r="B417" s="5" t="inlineStr">
        <is>
          <t>Immortalized keratinocytes cells generates an effective model of Epidermal Human Equivalent for irritation and corrosion tests</t>
        </is>
      </c>
      <c r="C417" t="inlineStr"/>
      <c r="D417" s="5" t="inlineStr">
        <is>
          <t>Mini, C.A., et al., Immortalized keratinocytes cells generates an effective model of Epidermal Human Equivalent for irritation and corrosion tests. Toxicology in Vitro, 2021. 71: p. 105069.</t>
        </is>
      </c>
    </row>
    <row r="418">
      <c r="A418" s="5" t="n">
        <v>417</v>
      </c>
      <c r="B418" s="5" t="inlineStr">
        <is>
          <t>The impossible made possible through the use of New Approach Methodologies: Dermal safety assessment of potential insect repellent or insecticidal active ingredients using a high-throughput approach to the in vitro Skin Irritation Test (OECD TG 439)</t>
        </is>
      </c>
      <c r="C418" t="inlineStr"/>
      <c r="D418" s="5" t="inlineStr">
        <is>
          <t>Huang, H., et al., The impossible made possible through the use of New Approach Methodologies: Dermal safety assessment of potential insect repellent or insecticidal active ingredients using a high-throughput approach to the in vitro Skin Irritation Test (OECD TG 439). Alternatives to Laboratory Animals, 2026. 54(1): p. 28–34.</t>
        </is>
      </c>
    </row>
    <row r="419">
      <c r="A419" s="5" t="n">
        <v>418</v>
      </c>
      <c r="B419" s="5" t="inlineStr">
        <is>
          <t>High-throughput organ-on-chip platform with integrated programmable fluid flow and real-time sensing for complex tissue models in drug development workflows</t>
        </is>
      </c>
      <c r="C419" t="inlineStr"/>
      <c r="D419" s="5" t="inlineStr">
        <is>
          <t>Azizgolshani, H., et al., High-throughput organ-on-chip platform with integrated programmable fluid flow and real-time sensing for complex tissue models in drug development workflows. Lab on a Chip, 2021. 21(8): p. 1454–1474.</t>
        </is>
      </c>
    </row>
    <row r="420">
      <c r="A420" s="5" t="n">
        <v>419</v>
      </c>
      <c r="B420" s="5" t="inlineStr">
        <is>
          <t>Performance assessment and economic analysis of a human Liver-Chip for predictive toxicology</t>
        </is>
      </c>
      <c r="C420" t="inlineStr"/>
      <c r="D420" s="5" t="inlineStr">
        <is>
          <t>Ewart, L., et al., Performance assessment and economic analysis of a human Liver-Chip for predictive toxicology. Communications Medicine, 2022. 2(1): p. 154.</t>
        </is>
      </c>
    </row>
    <row r="421">
      <c r="A421" s="5" t="n">
        <v>420</v>
      </c>
      <c r="B421" s="5" t="inlineStr">
        <is>
          <t>Artificial intelligence-, organoid-, and organ-on-chip-powered models to improve pre-clinical animal testing of vaccines and immunotherapeutics: potential, progress, and challenges</t>
        </is>
      </c>
      <c r="C421" t="inlineStr"/>
      <c r="D421" s="5" t="inlineStr">
        <is>
          <t>Elfatimi, E., et al., Artificial intelligence-, organoid-, and organ-on-chip-powered models to improve pre-clinical animal testing of vaccines and immunotherapeutics: potential, progress, and challenges. Frontiers in Artificial Intelligence, 2025. 8: p. 1681106.</t>
        </is>
      </c>
    </row>
    <row r="422">
      <c r="A422" s="5" t="n">
        <v>421</v>
      </c>
      <c r="B422" s="5" t="inlineStr">
        <is>
          <t>Taking the leap toward human-specific nonanimal methodologies: The need for harmonizing global policies for microphysiological systems</t>
        </is>
      </c>
      <c r="C422" t="inlineStr"/>
      <c r="D422" s="5" t="inlineStr">
        <is>
          <t>Parvatam, S., et al., Taking the leap toward human-specific nonanimal methodologies: The need for harmonizing global policies for microphysiological systems. Stem Cell Reports, 2024. 19(1): p. 37–40.</t>
        </is>
      </c>
    </row>
    <row r="423">
      <c r="A423" s="5" t="n">
        <v>422</v>
      </c>
      <c r="B423" s="5" t="inlineStr">
        <is>
          <t>The FDA modernisation act 2.0: bringing non-animal technologies to the regulatory table</t>
        </is>
      </c>
      <c r="C423" t="inlineStr"/>
      <c r="D423" s="5" t="inlineStr">
        <is>
          <t>Stewart, A., et al., The FDA modernisation act 2.0: bringing non-animal technologies to the regulatory table. 2023, Elsevier. p. 103496.</t>
        </is>
      </c>
    </row>
    <row r="424">
      <c r="A424" s="5" t="n">
        <v>423</v>
      </c>
      <c r="B424" s="5" t="inlineStr">
        <is>
          <t>Multi-chamber microfluidic platform for high-precision skin permeation testing</t>
        </is>
      </c>
      <c r="C424" t="inlineStr"/>
      <c r="D424" s="5" t="inlineStr">
        <is>
          <t>Alberti, M., et al., Multi-chamber microfluidic platform for high-precision skin permeation testing. Lab on a Chip, 2017. 17(9): p. 1625–1634.</t>
        </is>
      </c>
    </row>
    <row r="425">
      <c r="A425" s="5" t="n">
        <v>424</v>
      </c>
      <c r="B425" s="5" t="inlineStr">
        <is>
          <t>Open-source human skin model with an in vivo-like barrier for drug testing</t>
        </is>
      </c>
      <c r="C425" t="inlineStr"/>
      <c r="D425" s="5" t="inlineStr">
        <is>
          <t>Zoio, P., et al., Open-source human skin model with an in vivo-like barrier for drug testing. Altex, 2022. 39(3): p. 405–418.</t>
        </is>
      </c>
    </row>
    <row r="426">
      <c r="A426" s="5" t="n">
        <v>425</v>
      </c>
      <c r="B426" s="5" t="inlineStr">
        <is>
          <t>Standardised reconstructed skin models in toxicology and pharmacology: state of the art and future development</t>
        </is>
      </c>
      <c r="C426" t="inlineStr"/>
      <c r="D426" s="5" t="inlineStr">
        <is>
          <t>Kandarova, H. and P.J. Hayden, Standardised reconstructed skin models in toxicology and pharmacology: state of the art and future development. Organotypic models in drug development, 2020: p. 57–71.</t>
        </is>
      </c>
    </row>
    <row r="427">
      <c r="A427" s="5" t="n">
        <v>426</v>
      </c>
      <c r="B427" s="5" t="inlineStr">
        <is>
          <t>Technology transfer of the microphysiological systems: a case study of the human proximal tubule tissue chip</t>
        </is>
      </c>
      <c r="C427" s="5" t="inlineStr"/>
      <c r="D427" s="5" t="inlineStr">
        <is>
          <t>Sakolish, C., et al., Technology transfer of the microphysiological systems: a case study of the human proximal tubule tissue chip. Scientific reports, 2018. 8(1): p. 14882.</t>
        </is>
      </c>
    </row>
    <row r="428">
      <c r="A428" s="5" t="n">
        <v>427</v>
      </c>
      <c r="B428" s="5" t="inlineStr">
        <is>
          <t>Multi-scale analysis of the composition, structure, and function of decellularized extracellular matrix for human skin and wound healing models</t>
        </is>
      </c>
      <c r="C428" t="inlineStr">
        <is>
          <t>10.3390/biom12060837</t>
        </is>
      </c>
      <c r="D428" s="5" t="inlineStr">
        <is>
          <t>Sarmin, A.M., et al., Multi-scale analysis of the composition, structure, and function of decellularized extracellular matrix for human skin and wound healing models. Biomolecules, 2022. 12(6): p. 837.</t>
        </is>
      </c>
    </row>
    <row r="429">
      <c r="A429" s="5" t="n">
        <v>428</v>
      </c>
      <c r="B429" s="5" t="inlineStr">
        <is>
          <t>In vitro characterisation of 3D printed platelet lysate-based bioink for potential application in skin tissue engineering</t>
        </is>
      </c>
      <c r="C429" t="inlineStr"/>
      <c r="D429" s="5" t="inlineStr">
        <is>
          <t>Daikuara, L.Y., et al., In vitro characterisation of 3D printed platelet lysate-based bioink for potential application in skin tissue engineering. Acta biomaterialia, 2021. 123: p. 286–297.</t>
        </is>
      </c>
    </row>
    <row r="430">
      <c r="A430" s="5" t="n">
        <v>429</v>
      </c>
      <c r="B430" s="5" t="inlineStr">
        <is>
          <t>Engineering a multilayered skin equivalent: the importance of endogenous extracellular matrix maturation to provide robustness and reproducibility</t>
        </is>
      </c>
      <c r="C430" t="inlineStr"/>
      <c r="D430" s="5" t="inlineStr">
        <is>
          <t>Costello, L., et al., Engineering a multilayered skin equivalent: the importance of endogenous extracellular matrix maturation to provide robustness and reproducibility, in Skin Tissue Engineering: Methods and Protocols. 2019, Springer. p. 107–122.</t>
        </is>
      </c>
    </row>
    <row r="431">
      <c r="A431" s="5" t="n">
        <v>430</v>
      </c>
      <c r="B431" s="5" t="inlineStr">
        <is>
          <t>Environmentally controlled microfluidic system enabling immune cell flow and activation in an endothelialised skin‐on‐chip</t>
        </is>
      </c>
      <c r="C431" t="inlineStr"/>
      <c r="D431" s="5" t="inlineStr">
        <is>
          <t>Michielon, E., et al., Environmentally controlled microfluidic system enabling immune cell flow and activation in an endothelialised skin‐on‐chip. Advanced Healthcare Materials, 2024. 13(29): p. 2400750.</t>
        </is>
      </c>
    </row>
    <row r="432">
      <c r="A432" s="5" t="n">
        <v>431</v>
      </c>
      <c r="B432" s="5" t="inlineStr">
        <is>
          <t>Fully three-dimensional bioprinted skin equivalent constructs with validated morphology and barrier function</t>
        </is>
      </c>
      <c r="C432" t="inlineStr"/>
      <c r="D432" s="5" t="inlineStr">
        <is>
          <t>Derr, K., et al., Fully three-dimensional bioprinted skin equivalent constructs with validated morphology and barrier function. Tissue Engineering Part C: Methods, 2019. 25(6): p. 334–343.</t>
        </is>
      </c>
    </row>
    <row r="433">
      <c r="A433" s="5" t="n">
        <v>432</v>
      </c>
      <c r="B433" s="5" t="inlineStr">
        <is>
          <t>Optimization and Standardization of Stable De-Epidermized Dermis (DED) Models for Functional Evaluation of Cutaneous Cell Therapies</t>
        </is>
      </c>
      <c r="C433" t="inlineStr"/>
      <c r="D433" s="5" t="inlineStr">
        <is>
          <t>Chen, X., et al., Optimization and Standardization of Stable De-Epidermized Dermis (DED) Models for Functional Evaluation of Cutaneous Cell Therapies. Bioengineering, 2024. 11(12): p. 1297.</t>
        </is>
      </c>
    </row>
    <row r="434">
      <c r="A434" s="5" t="n">
        <v>433</v>
      </c>
      <c r="B434" s="5" t="inlineStr">
        <is>
          <t>Comparison of in vitro migration assays evaluating nintedanib’s migration inhibitory effects on melanoma cells</t>
        </is>
      </c>
      <c r="C434" t="inlineStr"/>
      <c r="D434" s="5" t="inlineStr">
        <is>
          <t>Németh, A., et al., Comparison of in vitro migration assays evaluating nintedanib’s migration inhibitory effects on melanoma cells. Scientific Reports, 2025. 15(1): p. 42599.</t>
        </is>
      </c>
    </row>
    <row r="435">
      <c r="A435" s="5" t="n">
        <v>434</v>
      </c>
      <c r="B435" s="5" t="inlineStr">
        <is>
          <t>Scratching in style: 3D printers as plotters for automated and complex wound-healing assays</t>
        </is>
      </c>
      <c r="C435" t="inlineStr"/>
      <c r="D435" s="5" t="inlineStr">
        <is>
          <t>Köppe, H., et al., Scratching in style: 3D printers as plotters for automated and complex wound-healing assays. Iscience, 2025. 28(12).</t>
        </is>
      </c>
    </row>
    <row r="436">
      <c r="A436" s="5" t="n">
        <v>435</v>
      </c>
      <c r="B436" s="5" t="inlineStr">
        <is>
          <t>Functional material probes and advanced technologies in organ-on-a-chip characterization</t>
        </is>
      </c>
      <c r="C436" t="inlineStr"/>
      <c r="D436" s="5" t="inlineStr">
        <is>
          <t>Wang, Y., et al., Functional material probes and advanced technologies in organ-on-a-chip characterization. Theranostics, 2026. 16(5): p. 2488.</t>
        </is>
      </c>
    </row>
    <row r="437">
      <c r="A437" s="5" t="n">
        <v>436</v>
      </c>
      <c r="B437" s="5" t="inlineStr">
        <is>
          <t>From Concept to Context-of-Use: A Framework for Organ-on-Chip Development</t>
        </is>
      </c>
      <c r="C437" t="inlineStr"/>
      <c r="D437" s="5" t="inlineStr">
        <is>
          <t>Araújo-Gomes, N., et al., From Concept to Context-of-Use: A Framework for Organ-on-Chip Development. NAM Journal, 2026: p. 100097.</t>
        </is>
      </c>
    </row>
    <row r="438">
      <c r="A438" s="5" t="n">
        <v>437</v>
      </c>
      <c r="B438" s="5" t="inlineStr">
        <is>
          <t>Microphysiological system design: simplicity is elegance</t>
        </is>
      </c>
      <c r="C438" t="inlineStr"/>
      <c r="D438" s="5" t="inlineStr">
        <is>
          <t>Hinman, S.S., et al., Microphysiological system design: simplicity is elegance. Current opinion in biomedical engineering, 2020. 13: p. 94–102.</t>
        </is>
      </c>
    </row>
    <row r="439">
      <c r="A439" s="5" t="n">
        <v>438</v>
      </c>
      <c r="B439" s="5" t="inlineStr">
        <is>
          <t>Microphysiological systems evaluation: experience of TEX-VAL tissue chip testing consortium</t>
        </is>
      </c>
      <c r="C439" t="inlineStr"/>
      <c r="D439" s="5" t="inlineStr">
        <is>
          <t>Rusyn, I., et al., Microphysiological systems evaluation: experience of TEX-VAL tissue chip testing consortium. Toxicological Sciences, 2022. 188(2): p. 143–152.</t>
        </is>
      </c>
    </row>
    <row r="440">
      <c r="A440" s="5" t="n">
        <v>439</v>
      </c>
      <c r="B440" s="5" t="inlineStr">
        <is>
          <t>The current status and use of microphysiological systems by the pharmaceutical industry: The international consortium for innovation and quality microphysiological systems affiliate survey and commentary</t>
        </is>
      </c>
      <c r="C440" t="inlineStr"/>
      <c r="D440" s="5" t="inlineStr">
        <is>
          <t>Baker, T.K., et al., The current status and use of microphysiological systems by the pharmaceutical industry: The international consortium for innovation and quality microphysiological systems affiliate survey and commentary. Drug Metabolism and Disposition, 2024. 52(3): p. 198–209.</t>
        </is>
      </c>
    </row>
    <row r="441">
      <c r="A441" s="5" t="n">
        <v>440</v>
      </c>
      <c r="B441" s="5" t="inlineStr">
        <is>
          <t>Nonclinical Testing Methods to Assess Safety and Efficacy of New Drugs, in Introduction to Basics of Pharmacology and Toxicology: Volume 4: Pharmacology and Therapeutics</t>
        </is>
      </c>
      <c r="C441" t="inlineStr"/>
      <c r="D441" s="5" t="inlineStr">
        <is>
          <t>Gajbhiye, S., Nonclinical Testing Methods to Assess Safety and Efficacy of New Drugs, in Introduction to Basics of Pharmacology and Toxicology: Volume 4: Pharmacology and Therapeutics. 2025, Springer. p. 451–469.</t>
        </is>
      </c>
    </row>
    <row r="442">
      <c r="A442" s="5" t="n">
        <v>441</v>
      </c>
      <c r="B442" s="5" t="inlineStr">
        <is>
          <t>Progress in developing microphysiological systems for biological product assessment</t>
        </is>
      </c>
      <c r="C442" t="inlineStr"/>
      <c r="D442" s="5" t="inlineStr">
        <is>
          <t>Mansouri, M., J. Lam, and K.E. Sung, Progress in developing microphysiological systems for biological product assessment. Lab on a Chip, 2024. 24(5): p. 1293–1306.</t>
        </is>
      </c>
    </row>
    <row r="443">
      <c r="A443" s="5" t="n">
        <v>442</v>
      </c>
      <c r="B443" s="5" t="inlineStr">
        <is>
          <t>Considering future qualification for regulatory science in the early development of microphysiological systems: a case study of microthrombosis in a vessel-on-chip</t>
        </is>
      </c>
      <c r="C443" t="inlineStr"/>
      <c r="D443" s="5" t="inlineStr">
        <is>
          <t>Weener, H.J., H.H. Middelkamp, and A.D. Van der Meer, Considering future qualification for regulatory science in the early development of microphysiological systems: a case study of microthrombosis in a vessel-on-chip. Frontiers in Toxicology, 2024. 6: p. 1513002.</t>
        </is>
      </c>
    </row>
    <row r="444">
      <c r="A444" s="5" t="n">
        <v>443</v>
      </c>
      <c r="B444" s="5" t="inlineStr">
        <is>
          <t>Standardisation needs for organ on chip devices</t>
        </is>
      </c>
      <c r="C444" t="inlineStr"/>
      <c r="D444" s="5" t="inlineStr">
        <is>
          <t>Piergiovanni, M., et al., Standardisation needs for organ on chip devices. Lab on a Chip, 2021. 21(15): p. 2857–2868.</t>
        </is>
      </c>
    </row>
    <row r="445">
      <c r="A445" s="5" t="n">
        <v>444</v>
      </c>
      <c r="B445" s="5" t="inlineStr">
        <is>
          <t>Scalable microphysiological system to model three-dimensional blood vessels</t>
        </is>
      </c>
      <c r="C445" t="inlineStr"/>
      <c r="D445" s="5" t="inlineStr">
        <is>
          <t>de Graaf, M.N., et al., Scalable microphysiological system to model three-dimensional blood vessels. APL bioengineering, 2019. 3(2).</t>
        </is>
      </c>
    </row>
    <row r="446">
      <c r="A446" s="5" t="n">
        <v>445</v>
      </c>
      <c r="B446" s="5" t="inlineStr">
        <is>
          <t>Integration of Customized Electrodes in a Microphysiological System for TEER Measurements using an Innovative Low-Cost Fabrication Technique</t>
        </is>
      </c>
      <c r="C446" t="inlineStr"/>
      <c r="D446" s="5" t="inlineStr">
        <is>
          <t>Marsili, G., et al. Integration of Customized Electrodes in a Microphysiological System for TEER Measurements using an Innovative Low-Cost Fabrication Technique. in Nineth National Congress of Bioengineering–Proceedings 2025. 2025. Patron Editore.</t>
        </is>
      </c>
    </row>
    <row r="447">
      <c r="A447" s="5" t="n">
        <v>446</v>
      </c>
      <c r="B447" s="5" t="inlineStr">
        <is>
          <t>Mera: A scalable high throughput automated micro-physiological system</t>
        </is>
      </c>
      <c r="C447" t="inlineStr"/>
      <c r="D447" s="5" t="inlineStr">
        <is>
          <t>Cliffe, F.E., et al., Mera: A scalable high throughput automated micro-physiological system. Slas Technology, 2023. 28(4): p. 230–242.</t>
        </is>
      </c>
    </row>
    <row r="448">
      <c r="A448" s="5" t="n">
        <v>447</v>
      </c>
      <c r="B448" s="5" t="inlineStr">
        <is>
          <t>Human in vitro vascularized micro-organ and micro-tumor models are reproducible organ-on-a-chip platforms for studies of anticancer drugs</t>
        </is>
      </c>
      <c r="C448" t="inlineStr"/>
      <c r="D448" s="5" t="inlineStr">
        <is>
          <t>Liu, Y., et al., Human in vitro vascularized micro-organ and micro-tumor models are reproducible organ-on-a-chip platforms for studies of anticancer drugs. Toxicology, 2020. 445: p. 152601.</t>
        </is>
      </c>
    </row>
    <row r="449">
      <c r="A449" s="5" t="n">
        <v>448</v>
      </c>
      <c r="B449" s="5" t="inlineStr">
        <is>
          <t>Normoglycemia and physiological cortisone level maintain glucose homeostasis in a pancreas-liver microphysiological system</t>
        </is>
      </c>
      <c r="C449" t="inlineStr"/>
      <c r="D449" s="5" t="inlineStr">
        <is>
          <t>Rigal, S., et al., Normoglycemia and physiological cortisone level maintain glucose homeostasis in a pancreas-liver microphysiological system. Communications Biology, 2024. 7(1): p. 877.</t>
        </is>
      </c>
    </row>
    <row r="450">
      <c r="A450" s="5" t="n">
        <v>449</v>
      </c>
      <c r="B450" s="5" t="inlineStr">
        <is>
          <t>Process and purification synergies with data analytics driving clinical translation in nanomedicine</t>
        </is>
      </c>
      <c r="C450" t="inlineStr"/>
      <c r="D450" s="5" t="inlineStr">
        <is>
          <t>Kushwaha, N., et al., Process and purification synergies with data analytics driving clinical translation in nanomedicine. Nanomedicine, 2026. 21(8): p. 1195–1222.</t>
        </is>
      </c>
    </row>
    <row r="451">
      <c r="A451" s="5" t="n">
        <v>450</v>
      </c>
      <c r="B451" s="5" t="inlineStr">
        <is>
          <t>Artificial Intelligence as a Disruptive Force in Pharmaceutical Innovation: Transforming Discovery, Development, and Manufacturing</t>
        </is>
      </c>
      <c r="C451" s="5" t="inlineStr"/>
      <c r="D451" s="5" t="inlineStr">
        <is>
          <t>Herdiana, Y., et al., Artificial Intelligence as a Disruptive Force in Pharmaceutical Innovation: Transforming Discovery, Development, and Manufacturing. Drug Design, Development and Therapy, 2026: p. 588295.</t>
        </is>
      </c>
    </row>
    <row r="452">
      <c r="A452" s="5" t="n">
        <v>451</v>
      </c>
      <c r="B452" s="5" t="inlineStr">
        <is>
          <t>Towards objective In-Vitro wound healing assessment with segment anything: A large evaluation of interactive and automated pipelines</t>
        </is>
      </c>
      <c r="C452" t="inlineStr">
        <is>
          <t>10.1016/j.cmpbup.2025.100224</t>
        </is>
      </c>
      <c r="D452" s="5" t="inlineStr">
        <is>
          <t>Löwenstein, K., et al., Towards objective In-Vitro wound healing assessment with segment anything: A large evaluation of interactive and automated pipelines. Computer Methods and Programs in Biomedicine Update, 2025: p. 100224.</t>
        </is>
      </c>
    </row>
    <row r="453">
      <c r="A453" s="5" t="n">
        <v>452</v>
      </c>
      <c r="B453" s="5" t="inlineStr">
        <is>
          <t>Development of a method for clinical evaluation of artificial intelligence–based digital wound assessment tools</t>
        </is>
      </c>
      <c r="C453" t="inlineStr"/>
      <c r="D453" s="5" t="inlineStr">
        <is>
          <t>Howell, R.S., et al., Development of a method for clinical evaluation of artificial intelligence–based digital wound assessment tools. JAMA Network Open, 2021. 4(5): p. e217234.</t>
        </is>
      </c>
    </row>
    <row r="454">
      <c r="A454" s="5" t="n">
        <v>453</v>
      </c>
      <c r="B454" s="5" t="inlineStr">
        <is>
          <t>Automatic wound detection and size estimation using deep learning algorithms</t>
        </is>
      </c>
      <c r="C454" t="inlineStr"/>
      <c r="D454" s="5" t="inlineStr">
        <is>
          <t>Carrión, H., et al., Automatic wound detection and size estimation using deep learning algorithms. PLoS computational biology, 2022. 18(3): p. e1009852.</t>
        </is>
      </c>
    </row>
    <row r="455">
      <c r="A455" s="5" t="n">
        <v>454</v>
      </c>
      <c r="B455" s="5" t="inlineStr">
        <is>
          <t>Convolutional Neural Networks in Chronic Wound Segmentation and Tissue Classification Using Real‐World Images</t>
        </is>
      </c>
      <c r="C455" t="inlineStr"/>
      <c r="D455" s="5" t="inlineStr">
        <is>
          <t>Huttunen, E., et al., Convolutional Neural Networks in Chronic Wound Segmentation and Tissue Classification Using Real‐World Images. International Wound Journal, 2026. 23(4): p. e70912.</t>
        </is>
      </c>
    </row>
    <row r="456">
      <c r="A456" s="5" t="n">
        <v>455</v>
      </c>
      <c r="B456" s="5" t="inlineStr">
        <is>
          <t>Development and external validation of machine-learning based models to predict diabetic foot ulcer in diabetes population</t>
        </is>
      </c>
      <c r="C456" t="inlineStr"/>
      <c r="D456" s="5" t="inlineStr">
        <is>
          <t>Zhang, Y., et al., Development and external validation of machine-learning based models to predict diabetic foot ulcer in diabetes population. Frontiers in Endocrinology, 2025. 16: p. 1692917.</t>
        </is>
      </c>
    </row>
    <row r="457">
      <c r="A457" s="5" t="n">
        <v>456</v>
      </c>
      <c r="B457" s="5" t="inlineStr">
        <is>
          <t>Development and External Validation of a Machine Learning Model for Predicting Wound Infection in Diabetic Foot Ulcers</t>
        </is>
      </c>
      <c r="C457" t="inlineStr"/>
      <c r="D457" s="5" t="inlineStr">
        <is>
          <t>Nie, X., et al., Development and External Validation of a Machine Learning Model for Predicting Wound Infection in Diabetic Foot Ulcers. Diabetes, Metabolic Syndrome and Obesity, 2026: p. 586810.</t>
        </is>
      </c>
    </row>
    <row r="458">
      <c r="A458" s="5" t="n">
        <v>457</v>
      </c>
      <c r="B458" s="5" t="inlineStr">
        <is>
          <t>Multimodal AI for Home Wound Patient Referral Decisions From Images With Specialist Annotations</t>
        </is>
      </c>
      <c r="C458" t="inlineStr"/>
      <c r="D458" s="5" t="inlineStr">
        <is>
          <t>Fard, R.S., et al., Multimodal AI for Home Wound Patient Referral Decisions From Images With Specialist Annotations. IEEE Journal of Translational Engineering in Health and Medicine, 2025.</t>
        </is>
      </c>
    </row>
    <row r="459">
      <c r="A459" s="5" t="n">
        <v>458</v>
      </c>
      <c r="B459" s="5" t="inlineStr">
        <is>
          <t>Diabetic foot ulcer classification models using artificial intelligence and machine learning techniques: systematic review</t>
        </is>
      </c>
      <c r="C459" t="inlineStr"/>
      <c r="D459" s="5" t="inlineStr">
        <is>
          <t>Silva, M.A., et al., Diabetic foot ulcer classification models using artificial intelligence and machine learning techniques: systematic review. Journal of Medical Internet Research, 2025. 27: p. e69408.</t>
        </is>
      </c>
    </row>
    <row r="460">
      <c r="A460" s="5" t="n">
        <v>459</v>
      </c>
      <c r="B460" s="5" t="inlineStr">
        <is>
          <t>Accuracy of deep learning for risk prediction and screening of diabetic foot Ulcers: A systematic review and meta-analysis</t>
        </is>
      </c>
      <c r="C460" t="inlineStr"/>
      <c r="D460" s="5" t="inlineStr">
        <is>
          <t>Zhao, T., et al., Accuracy of deep learning for risk prediction and screening of diabetic foot Ulcers: A systematic review and meta-analysis. Diabetes Research and Clinical Practice, 2026: p. 113262.</t>
        </is>
      </c>
    </row>
    <row r="461">
      <c r="A461" s="5" t="n">
        <v>460</v>
      </c>
      <c r="B461" s="5" t="inlineStr">
        <is>
          <t>Enhancing chronic wound assessment through agreement analysis and tissue segmentation</t>
        </is>
      </c>
      <c r="C461" t="inlineStr"/>
      <c r="D461" s="5" t="inlineStr">
        <is>
          <t>Morgado, A.C., et al., Enhancing chronic wound assessment through agreement analysis and tissue segmentation. Scientific Reports, 2025. 15(1): p. 22244.</t>
        </is>
      </c>
    </row>
    <row r="462">
      <c r="A462" s="5" t="n">
        <v>461</v>
      </c>
      <c r="B462" s="5" t="inlineStr">
        <is>
          <t>Wound imaging software and digital platform to assist review of surgical wounds using patient smartphones: The development and evaluation of artificial intelligence (WISDOM AI study)</t>
        </is>
      </c>
      <c r="C462" t="inlineStr"/>
      <c r="D462" s="5" t="inlineStr">
        <is>
          <t>Rochon, M., et al., Wound imaging software and digital platform to assist review of surgical wounds using patient smartphones: The development and evaluation of artificial intelligence (WISDOM AI study). PloS one, 2024. 19(12): p. e0315384.</t>
        </is>
      </c>
    </row>
    <row r="463">
      <c r="A463" s="5" t="n">
        <v>462</v>
      </c>
      <c r="B463" s="5" t="inlineStr">
        <is>
          <t>Artificial intelligence and machine learning in diabetic foot ulcer care: advances in diagnosis, treatment, prognosis, and novel therapeutic strategies</t>
        </is>
      </c>
      <c r="C463" t="inlineStr"/>
      <c r="D463" s="5" t="inlineStr">
        <is>
          <t>Misir, A., Artificial intelligence and machine learning in diabetic foot ulcer care: advances in diagnosis, treatment, prognosis, and novel therapeutic strategies. Journal of Diabetes Science and Technology, 2025: p. 19322968251363632.</t>
        </is>
      </c>
    </row>
    <row r="464">
      <c r="A464" s="5" t="n">
        <v>463</v>
      </c>
      <c r="B464" s="5" t="inlineStr">
        <is>
          <t>An Indian database for grading wound healing and cross-corpus classification using perturbation-based Explainable AI models</t>
        </is>
      </c>
      <c r="C464" t="inlineStr"/>
      <c r="D464" s="5" t="inlineStr">
        <is>
          <t>Jacob, N.V., et al., An Indian database for grading wound healing and cross-corpus classification using perturbation-based Explainable AI models. Computer Methods and Programs in Biomedicine, 2025: p. 108981.</t>
        </is>
      </c>
    </row>
    <row r="465">
      <c r="A465" s="5" t="n">
        <v>464</v>
      </c>
      <c r="B465" s="5" t="inlineStr">
        <is>
          <t>Explainability and causability for artificial intelligence-supported medical image analysis in the context of the European In Vitro Diagnostic Regulation</t>
        </is>
      </c>
      <c r="C465" t="inlineStr"/>
      <c r="D465" s="5" t="inlineStr">
        <is>
          <t>Müller, H., et al., Explainability and causability for artificial intelligence-supported medical image analysis in the context of the European In Vitro Diagnostic Regulation. New Biotechnology, 2022. 70: p. 67–72.</t>
        </is>
      </c>
    </row>
    <row r="466">
      <c r="A466" s="5" t="n">
        <v>465</v>
      </c>
      <c r="B466" s="5" t="inlineStr">
        <is>
          <t>Using electronic health records to develop and validate a machine-learning tool to predict type 2 diabetes outcomes: a study protocol</t>
        </is>
      </c>
      <c r="C466" s="5" t="inlineStr"/>
      <c r="D466" s="5" t="inlineStr">
        <is>
          <t>Neves, A.L., et al., Using electronic health records to develop and validate a machine-learning tool to predict type 2 diabetes outcomes: a study protocol. BMJ open, 2021. 11(7): p. e046716.</t>
        </is>
      </c>
    </row>
    <row r="467">
      <c r="A467" s="5" t="n">
        <v>466</v>
      </c>
      <c r="B467" s="5" t="inlineStr">
        <is>
          <t>Breakthrough treatments for accelerated wound healing</t>
        </is>
      </c>
      <c r="C467" s="5" t="inlineStr">
        <is>
          <t>10.1126/sciadv.ade7007</t>
        </is>
      </c>
      <c r="D467" s="5" t="inlineStr">
        <is>
          <t>Freedman, B.R., et al., Breakthrough treatments for accelerated wound healing. Science Advances, 2023. 9(20): p. eade7007.</t>
        </is>
      </c>
    </row>
    <row r="468">
      <c r="A468" s="5" t="n">
        <v>467</v>
      </c>
      <c r="B468" s="5" t="inlineStr">
        <is>
          <t>Microsystem advances through integration with artificial intelligence</t>
        </is>
      </c>
      <c r="C468" s="5" t="inlineStr">
        <is>
          <t>10.3390/mi14040826</t>
        </is>
      </c>
      <c r="D468" s="5" t="inlineStr">
        <is>
          <t>Tsai, H.-F., S. Podder, and P.-Y. Chen, Microsystem advances through integration with artificial intelligence. Micromachines, 2023. 14(4): p. 826.</t>
        </is>
      </c>
    </row>
    <row r="469">
      <c r="A469" s="5" t="n">
        <v>468</v>
      </c>
      <c r="B469" s="5" t="inlineStr">
        <is>
          <t>Wearable battery-free smart bandage with peptide functionalized biosensors based on MXene for bacterial wound infection detection</t>
        </is>
      </c>
      <c r="C469" s="5" t="inlineStr">
        <is>
          <t>10.1016/j.snb.2023.133598</t>
        </is>
      </c>
      <c r="D469" s="5" t="inlineStr">
        <is>
          <t>Shi, Z., et al., Wearable battery-free smart bandage with peptide functionalized biosensors based on MXene for bacterial wound infection detection. Sensors and Actuators B: Chemical, 2023. 383: p. 133598.</t>
        </is>
      </c>
    </row>
    <row r="470">
      <c r="A470" s="5" t="n">
        <v>469</v>
      </c>
      <c r="B470" s="5" t="inlineStr">
        <is>
          <t>In vivo validation of a smart sensor-enabled dressing for remote wound monitoring</t>
        </is>
      </c>
      <c r="C470" s="5" t="inlineStr"/>
      <c r="D470" s="5" t="inlineStr">
        <is>
          <t>Godau, B., et al., In vivo validation of a smart sensor-enabled dressing for remote wound monitoring. Biosensors and Bioelectronics, 2025. 285: p. 117474.</t>
        </is>
      </c>
    </row>
    <row r="471">
      <c r="A471" s="5" t="n">
        <v>470</v>
      </c>
      <c r="B471" s="5" t="inlineStr">
        <is>
          <t>Smart dual‐sensor wound dressing for monitoring cutaneous wounds</t>
        </is>
      </c>
      <c r="C471" t="inlineStr"/>
      <c r="D471" s="5" t="inlineStr">
        <is>
          <t>Mirani, B., et al., Smart dual‐sensor wound dressing for monitoring cutaneous wounds. Advanced Healthcare Materials, 2023. 12(18): p. 2203233.</t>
        </is>
      </c>
    </row>
    <row r="472">
      <c r="A472" s="5" t="n">
        <v>471</v>
      </c>
      <c r="B472" s="5" t="inlineStr">
        <is>
          <t>A Glucose‐Responsive Intelligent Antibacterial and Oxygen‐Producing Hydrogel Promotes the Healing of Diabetic Wounds by Regulating Cellular Heterogeneity</t>
        </is>
      </c>
      <c r="C472" t="inlineStr"/>
      <c r="D472" s="5" t="inlineStr">
        <is>
          <t>Liu, M., et al., A Glucose‐Responsive Intelligent Antibacterial and Oxygen‐Producing Hydrogel Promotes the Healing of Diabetic Wounds by Regulating Cellular Heterogeneity. Advanced Science, 2026. 13(19): p. e17028.</t>
        </is>
      </c>
    </row>
    <row r="473">
      <c r="A473" s="5" t="n">
        <v>472</v>
      </c>
      <c r="B473" s="5" t="inlineStr">
        <is>
          <t>Mesenchymal stem cell-laden, personalized 3D scaffolds with controlled structure and fiber alignment promote diabetic wound healing</t>
        </is>
      </c>
      <c r="C473" t="inlineStr"/>
      <c r="D473" s="5" t="inlineStr">
        <is>
          <t>Chen, S., et al., Mesenchymal stem cell-laden, personalized 3D scaffolds with controlled structure and fiber alignment promote diabetic wound healing. Acta biomaterialia, 2020. 108: p. 153–167.</t>
        </is>
      </c>
    </row>
    <row r="474">
      <c r="A474" s="5" t="n">
        <v>473</v>
      </c>
      <c r="B474" s="5" t="inlineStr">
        <is>
          <t>Fabricating scalable, personalized wound dressings with customizable drug loadings via 3D printing</t>
        </is>
      </c>
      <c r="C474" t="inlineStr"/>
      <c r="D474" s="5" t="inlineStr">
        <is>
          <t>Teoh, J.H., et al., Fabricating scalable, personalized wound dressings with customizable drug loadings via 3D printing. Journal of Controlled Release, 2022. 341: p. 80–94.</t>
        </is>
      </c>
    </row>
    <row r="475">
      <c r="A475" s="5" t="n">
        <v>474</v>
      </c>
      <c r="B475" s="5" t="inlineStr">
        <is>
          <t>Wireless intelligent patch for closed‐loop in situ wound management</t>
        </is>
      </c>
      <c r="C475" t="inlineStr">
        <is>
          <t>10.1002/advs.202400451</t>
        </is>
      </c>
      <c r="D475" s="5" t="inlineStr">
        <is>
          <t>Liu, Z., et al., Wireless intelligent patch for closed‐loop in situ wound management. Advanced Science, 2024. 11(29): p. 2400451.</t>
        </is>
      </c>
    </row>
    <row r="476">
      <c r="A476" s="5" t="n">
        <v>475</v>
      </c>
      <c r="B476" s="5" t="inlineStr">
        <is>
          <t>Smart biomaterials in wound healing: advances, challenges, and future directions in intelligent dressing design</t>
        </is>
      </c>
      <c r="C476" t="inlineStr"/>
      <c r="D476" s="5" t="inlineStr">
        <is>
          <t>Liu, Y. and L. Ge, Smart biomaterials in wound healing: advances, challenges, and future directions in intelligent dressing design. Bioengineering, 2025. 12(11): p. 1178.</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169"/>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47.7109375" customWidth="1" min="2" max="2"/>
    <col width="58.7109375" customWidth="1" min="3" max="3"/>
    <col width="38.7109375" customWidth="1" min="4" max="12"/>
  </cols>
  <sheetData>
    <row r="1" ht="44" customHeight="1">
      <c r="A1" s="2" t="inlineStr">
        <is>
          <t>SI_Table</t>
        </is>
      </c>
      <c r="B1" s="2" t="inlineStr">
        <is>
          <t>Reference_number</t>
        </is>
      </c>
      <c r="C1" s="2" t="inlineStr">
        <is>
          <t>SI_Table_row_identification</t>
        </is>
      </c>
      <c r="D1" s="2" t="inlineStr">
        <is>
          <t>Title_from_main</t>
        </is>
      </c>
      <c r="E1" s="2" t="inlineStr">
        <is>
          <t>DOI_from_register</t>
        </is>
      </c>
    </row>
    <row r="2">
      <c r="A2" s="5" t="inlineStr">
        <is>
          <t>S1</t>
        </is>
      </c>
      <c r="B2" s="5" t="n">
        <v>105</v>
      </c>
      <c r="C2" s="5" t="inlineStr">
        <is>
          <t>2: Migration assay standardization</t>
        </is>
      </c>
      <c r="D2" s="5" t="inlineStr">
        <is>
          <t>Comparison of in vitro scratch wound assay experimental procedures</t>
        </is>
      </c>
      <c r="E2" s="5" t="inlineStr">
        <is>
          <t>10.1016/j.bbrep.2023.101423</t>
        </is>
      </c>
    </row>
    <row r="3">
      <c r="A3" s="5" t="inlineStr">
        <is>
          <t>S1</t>
        </is>
      </c>
      <c r="B3" s="5" t="n">
        <v>106</v>
      </c>
      <c r="C3" s="5" t="inlineStr">
        <is>
          <t>4: 2D assays with acute in vivo validation</t>
        </is>
      </c>
      <c r="D3" s="5" t="inlineStr">
        <is>
          <t>ERK activating peptide, AES16-2M promotes wound healing through accelerating migration of keratinocytes</t>
        </is>
      </c>
      <c r="E3" s="5" t="inlineStr">
        <is>
          <t>10.1038/s41598-018-32851-y</t>
        </is>
      </c>
    </row>
    <row r="4">
      <c r="A4" s="5" t="inlineStr">
        <is>
          <t>S1</t>
        </is>
      </c>
      <c r="B4" s="5" t="n">
        <v>107</v>
      </c>
      <c r="C4" s="5" t="inlineStr">
        <is>
          <t>3: 2D therapeutic-response assays</t>
        </is>
      </c>
      <c r="D4" s="5" t="inlineStr">
        <is>
          <t>Effects of Periploca forrestii Schltr on wound healing by Src meditated Mek/Erk and PI3K/Akt signals</t>
        </is>
      </c>
      <c r="E4" s="5" t="inlineStr">
        <is>
          <t>10.1016/j.jep.2019.03.046</t>
        </is>
      </c>
    </row>
    <row r="5">
      <c r="A5" s="5" t="inlineStr">
        <is>
          <t>S1</t>
        </is>
      </c>
      <c r="B5" s="5" t="n">
        <v>108</v>
      </c>
      <c r="C5" s="5" t="inlineStr">
        <is>
          <t>2: Migration assay standardization</t>
        </is>
      </c>
      <c r="D5" s="5" t="inlineStr">
        <is>
          <t>Microscopy based methods for the assessment of epithelial cell migration during in vitro wound healing</t>
        </is>
      </c>
      <c r="E5" s="5" t="inlineStr">
        <is>
          <t>10.3791/56799</t>
        </is>
      </c>
    </row>
    <row r="6">
      <c r="A6" s="5" t="inlineStr">
        <is>
          <t>S1</t>
        </is>
      </c>
      <c r="B6" s="5" t="n">
        <v>109</v>
      </c>
      <c r="C6" s="5" t="inlineStr">
        <is>
          <t>3: 2D therapeutic-response assays</t>
        </is>
      </c>
      <c r="D6" s="5" t="inlineStr">
        <is>
          <t>Establishment of a cell-based wound healing assay for bio-relevant testing of wound therapeutics</t>
        </is>
      </c>
      <c r="E6" s="5" t="inlineStr">
        <is>
          <t>10.1016/j.vascn.2017.10.003</t>
        </is>
      </c>
    </row>
    <row r="7">
      <c r="A7" s="5" t="inlineStr">
        <is>
          <t>S1</t>
        </is>
      </c>
      <c r="B7" s="5" t="n">
        <v>110</v>
      </c>
      <c r="C7" s="5" t="inlineStr">
        <is>
          <t>6: Reconstructed epidermis for barrier and irritation testing</t>
        </is>
      </c>
      <c r="D7" s="5" t="inlineStr">
        <is>
          <t>Property characterization of reconstructed human epidermis equivalents, and performance as a skin irritation model</t>
        </is>
      </c>
      <c r="E7" s="5" t="inlineStr">
        <is>
          <t>10.1016/j.tiv.2018.07.005</t>
        </is>
      </c>
    </row>
    <row r="8">
      <c r="A8" s="5" t="inlineStr">
        <is>
          <t>S1</t>
        </is>
      </c>
      <c r="B8" s="5" t="n">
        <v>111</v>
      </c>
      <c r="C8" s="5" t="inlineStr">
        <is>
          <t>6: Reconstructed epidermis for barrier and irritation testing</t>
        </is>
      </c>
      <c r="D8" s="5" t="inlineStr">
        <is>
          <t>A new reconstructed human epidermis for in vitro skin irritation testing</t>
        </is>
      </c>
      <c r="E8" s="5" t="inlineStr">
        <is>
          <t>10.1016/j.tiv.2017.03.010</t>
        </is>
      </c>
    </row>
    <row r="9">
      <c r="A9" s="5" t="inlineStr">
        <is>
          <t>S1</t>
        </is>
      </c>
      <c r="B9" s="5" t="n">
        <v>112</v>
      </c>
      <c r="C9" s="5" t="inlineStr">
        <is>
          <t>7: Epidermal and full-thickness toxicity comparison</t>
        </is>
      </c>
      <c r="D9" s="5" t="inlineStr">
        <is>
          <t>Skin corrosion test: A comparison between reconstructed human epidermis and full thickness skin models</t>
        </is>
      </c>
      <c r="E9" s="5" t="inlineStr">
        <is>
          <t>10.1016/j.ejpb.2018.01.002</t>
        </is>
      </c>
    </row>
    <row r="10">
      <c r="A10" s="5" t="inlineStr">
        <is>
          <t>S1</t>
        </is>
      </c>
      <c r="B10" s="5" t="n">
        <v>115</v>
      </c>
      <c r="C10" s="5" t="inlineStr">
        <is>
          <t>7: Epidermal and full-thickness toxicity comparison</t>
        </is>
      </c>
      <c r="D10" s="5" t="inlineStr">
        <is>
          <t>Skin toxicity assessment of silver nanoparticles in a 3D epidermal model compared to 2D keratinocytes</t>
        </is>
      </c>
      <c r="E10" s="5" t="inlineStr">
        <is>
          <t>10.2147/IJN.S225451</t>
        </is>
      </c>
    </row>
    <row r="11">
      <c r="A11" s="5" t="inlineStr">
        <is>
          <t>S1</t>
        </is>
      </c>
      <c r="B11" s="5" t="n">
        <v>118</v>
      </c>
      <c r="C11" s="5" t="inlineStr">
        <is>
          <t>11: Longitudinal non-invasive wound monitoring</t>
        </is>
      </c>
      <c r="D11" s="5" t="inlineStr">
        <is>
          <t>New Methodological Approach to Follow the Re‐Epithelialisation Phase in the Wound Healing Process on a 3D Full Thickness Skin Model</t>
        </is>
      </c>
      <c r="E11" s="5" t="inlineStr">
        <is>
          <t>10.1111/exd.70137</t>
        </is>
      </c>
    </row>
    <row r="12">
      <c r="A12" s="5" t="inlineStr">
        <is>
          <t>S1</t>
        </is>
      </c>
      <c r="B12" s="5" t="n">
        <v>119</v>
      </c>
      <c r="C12" s="5" t="inlineStr">
        <is>
          <t>8: Automated epidermal digital pathology</t>
        </is>
      </c>
      <c r="D12" s="5" t="inlineStr">
        <is>
          <t>Assessment of skin toxicity in an in vitro reconstituted human epidermis model using deep learning</t>
        </is>
      </c>
      <c r="E12" s="5" t="inlineStr">
        <is>
          <t>10.1016/j.ajpath.2021.12.007</t>
        </is>
      </c>
    </row>
    <row r="13">
      <c r="A13" s="5" t="inlineStr">
        <is>
          <t>S1</t>
        </is>
      </c>
      <c r="B13" s="5" t="n">
        <v>122</v>
      </c>
      <c r="C13" s="5" t="inlineStr">
        <is>
          <t>10: Matrix-based 3D wound constructs</t>
        </is>
      </c>
      <c r="D13" s="5" t="inlineStr">
        <is>
          <t>Keratinocyte migration in a three-dimensional in vitro wound healing model co-cultured with fibroblasts</t>
        </is>
      </c>
      <c r="E13" s="5" t="inlineStr">
        <is>
          <t>10.1007/s13770-018-0145-7</t>
        </is>
      </c>
    </row>
    <row r="14">
      <c r="A14" s="5" t="inlineStr">
        <is>
          <t>S1</t>
        </is>
      </c>
      <c r="B14" s="5" t="n">
        <v>123</v>
      </c>
      <c r="C14" s="5" t="inlineStr">
        <is>
          <t>11: Longitudinal non-invasive wound monitoring</t>
        </is>
      </c>
      <c r="D14" s="5" t="inlineStr">
        <is>
          <t>Reepithelialization in focus: Non-invasive monitoring of epidermal wound healing in vitro</t>
        </is>
      </c>
      <c r="E14" s="5" t="inlineStr">
        <is>
          <t>10.1016/j.bios.2019.111555</t>
        </is>
      </c>
    </row>
    <row r="15">
      <c r="A15" s="5" t="inlineStr">
        <is>
          <t>S1</t>
        </is>
      </c>
      <c r="B15" s="5" t="n">
        <v>124</v>
      </c>
      <c r="C15" s="5" t="inlineStr">
        <is>
          <t>11: Longitudinal non-invasive wound monitoring</t>
        </is>
      </c>
      <c r="D15" s="5" t="inlineStr">
        <is>
          <t>Fluorescent cell tracer dye permits real‐time assessment of re‐epithelialization in a serum‐free ex vivo human skin wound assay</t>
        </is>
      </c>
      <c r="E15" s="5" t="inlineStr">
        <is>
          <t>10.1111/wrr.12688</t>
        </is>
      </c>
    </row>
    <row r="16">
      <c r="A16" s="5" t="inlineStr">
        <is>
          <t>S1</t>
        </is>
      </c>
      <c r="B16" s="5" t="n">
        <v>125</v>
      </c>
      <c r="C16" s="5" t="inlineStr">
        <is>
          <t>13: Controlled injury and inflammatory 3D wound models</t>
        </is>
      </c>
      <c r="D16" s="5" t="inlineStr">
        <is>
          <t>A standardized in vitro bioengineered skin for penetrating wound modeling</t>
        </is>
      </c>
      <c r="E16" s="5" t="inlineStr">
        <is>
          <t>10.1007/s44164-025-00082-x</t>
        </is>
      </c>
    </row>
    <row r="17">
      <c r="A17" s="5" t="inlineStr">
        <is>
          <t>S1</t>
        </is>
      </c>
      <c r="B17" s="5" t="n">
        <v>126</v>
      </c>
      <c r="C17" s="5" t="inlineStr">
        <is>
          <t>13: Controlled injury and inflammatory 3D wound models</t>
        </is>
      </c>
      <c r="D17" s="5" t="inlineStr">
        <is>
          <t>Novel leukocyte-depleted platelet-rich plasma-based skin equivalent as an in vitro model of chronic wounds: a preliminary study</t>
        </is>
      </c>
      <c r="E17" s="5" t="inlineStr">
        <is>
          <t>10.1186/s12860-021-00366-6</t>
        </is>
      </c>
    </row>
    <row r="18">
      <c r="A18" s="5" t="inlineStr">
        <is>
          <t>S1</t>
        </is>
      </c>
      <c r="B18" s="5" t="n">
        <v>128</v>
      </c>
      <c r="C18" s="5" t="inlineStr">
        <is>
          <t>16: Bioink-optimized printed skin equivalents</t>
        </is>
      </c>
      <c r="D18" s="5" t="inlineStr">
        <is>
          <t>Fibrinogen-based bioink for application in skin equivalent 3D bioprinting</t>
        </is>
      </c>
      <c r="E18" s="5" t="inlineStr">
        <is>
          <t>10.3390/jfb14090459</t>
        </is>
      </c>
    </row>
    <row r="19">
      <c r="A19" s="5" t="inlineStr">
        <is>
          <t>S1</t>
        </is>
      </c>
      <c r="B19" s="5" t="n">
        <v>129</v>
      </c>
      <c r="C19" s="5" t="inlineStr">
        <is>
          <t>16: Bioink-optimized printed skin equivalents</t>
        </is>
      </c>
      <c r="D19" s="5" t="inlineStr">
        <is>
          <t>Properties of collagen/sodium alginate hydrogels for bioprinting of skin models</t>
        </is>
      </c>
      <c r="E19" s="5" t="inlineStr">
        <is>
          <t>10.1007/s42235-022-00251-8</t>
        </is>
      </c>
    </row>
    <row r="20">
      <c r="A20" s="5" t="inlineStr">
        <is>
          <t>S1</t>
        </is>
      </c>
      <c r="B20" s="5" t="n">
        <v>130</v>
      </c>
      <c r="C20" s="5" t="inlineStr">
        <is>
          <t>16: Bioink-optimized printed skin equivalents</t>
        </is>
      </c>
      <c r="D20" s="5" t="inlineStr">
        <is>
          <t>3D Bioprinting a Novel Skin Co‐Culture Model Using Human Keratinocytes and Fibroblasts</t>
        </is>
      </c>
      <c r="E20" s="5" t="inlineStr">
        <is>
          <t>10.1002/jbm.a.37831</t>
        </is>
      </c>
    </row>
    <row r="21">
      <c r="A21" s="5" t="inlineStr">
        <is>
          <t>S1</t>
        </is>
      </c>
      <c r="B21" s="5" t="n">
        <v>131</v>
      </c>
      <c r="C21" s="5" t="inlineStr">
        <is>
          <t>14: Mechanically guided bilayer tissue-engineered skin</t>
        </is>
      </c>
      <c r="D21" s="5" t="inlineStr">
        <is>
          <t>Bilayer tissue-engineered skin loaded with confining forces enhances epidermal proliferation to promote full-thickness wound healing</t>
        </is>
      </c>
      <c r="E21" s="5" t="inlineStr">
        <is>
          <t>10.1016/j.mtcomm.2025.113049</t>
        </is>
      </c>
    </row>
    <row r="22">
      <c r="A22" s="5" t="inlineStr">
        <is>
          <t>S1</t>
        </is>
      </c>
      <c r="B22" s="5" t="n">
        <v>132</v>
      </c>
      <c r="C22" s="5" t="inlineStr">
        <is>
          <t>17: Printed skin substitutes and in situ wound bioprinting</t>
        </is>
      </c>
      <c r="D22" s="5" t="inlineStr">
        <is>
          <t>3D bioprinted skin substitutes for accelerated wound healing and reduced scar</t>
        </is>
      </c>
      <c r="E22" s="5" t="inlineStr">
        <is>
          <t>10.1007/s42235-021-0053-8</t>
        </is>
      </c>
    </row>
    <row r="23">
      <c r="A23" s="5" t="inlineStr">
        <is>
          <t>S1</t>
        </is>
      </c>
      <c r="B23" s="5" t="n">
        <v>133</v>
      </c>
      <c r="C23" s="5" t="inlineStr">
        <is>
          <t>17: Printed skin substitutes and in situ wound bioprinting</t>
        </is>
      </c>
      <c r="D23" s="5" t="inlineStr">
        <is>
          <t>Development and application of a mechanical arm-based in situ 3D bioprinting method for the repair of skin wounds</t>
        </is>
      </c>
      <c r="E23" s="5" t="inlineStr">
        <is>
          <t>10.1007/s42452-024-06043-5</t>
        </is>
      </c>
    </row>
    <row r="24">
      <c r="A24" s="5" t="inlineStr">
        <is>
          <t>S1</t>
        </is>
      </c>
      <c r="B24" s="5" t="n">
        <v>134</v>
      </c>
      <c r="C24" s="5" t="inlineStr">
        <is>
          <t>18: PRP-functionalized and vascularized printed wound substitutes</t>
        </is>
      </c>
      <c r="D24" s="5" t="inlineStr">
        <is>
          <t>Functionalizing multi-component bioink with platelet-rich plasma for customized in-situ bilayer bioprinting for wound healing</t>
        </is>
      </c>
      <c r="E24" s="5" t="inlineStr">
        <is>
          <t>10.1016/j.mtbio.2022.100334</t>
        </is>
      </c>
    </row>
    <row r="25">
      <c r="A25" s="5" t="inlineStr">
        <is>
          <t>S1</t>
        </is>
      </c>
      <c r="B25" s="5" t="n">
        <v>136</v>
      </c>
      <c r="C25" s="5" t="inlineStr">
        <is>
          <t>18: PRP-functionalized and vascularized printed wound substitutes</t>
        </is>
      </c>
      <c r="D25" s="5" t="inlineStr">
        <is>
          <t>A bioprinted vascularized skin substitute with fibroblasts, keratinocytes, and endothelial progenitor cells for skin wound healing</t>
        </is>
      </c>
      <c r="E25" s="5" t="inlineStr">
        <is>
          <t>10.1016/j.bprint.2022.e00237</t>
        </is>
      </c>
    </row>
    <row r="26">
      <c r="A26" s="5" t="inlineStr">
        <is>
          <t>S1</t>
        </is>
      </c>
      <c r="B26" s="5" t="n">
        <v>137</v>
      </c>
      <c r="C26" s="5" t="inlineStr">
        <is>
          <t>18: PRP-functionalized and vascularized printed wound substitutes</t>
        </is>
      </c>
      <c r="D26" s="5" t="inlineStr">
        <is>
          <t>Three dimensional bioprinting of a vascularized and perfusable skin graft using human keratinocytes, fibroblasts, pericytes, and endothelial cells</t>
        </is>
      </c>
      <c r="E26" s="5" t="inlineStr">
        <is>
          <t>10.1089/ten.TEA.2019.0201</t>
        </is>
      </c>
    </row>
    <row r="27">
      <c r="A27" s="5" t="inlineStr">
        <is>
          <t>S1</t>
        </is>
      </c>
      <c r="B27" s="5" t="n">
        <v>138</v>
      </c>
      <c r="C27" s="5" t="inlineStr">
        <is>
          <t>18: PRP-functionalized and vascularized printed wound substitutes</t>
        </is>
      </c>
      <c r="D27" s="5" t="inlineStr">
        <is>
          <t>3D bioprinting bioglass to construct vascularized full-thickness skin substitutes for wound healing</t>
        </is>
      </c>
      <c r="E27" s="5" t="inlineStr">
        <is>
          <t>10.1016/j.mtbio.2023.100899</t>
        </is>
      </c>
    </row>
    <row r="28">
      <c r="A28" s="5" t="inlineStr">
        <is>
          <t>S1</t>
        </is>
      </c>
      <c r="B28" s="5" t="n">
        <v>140</v>
      </c>
      <c r="C28" s="5" t="inlineStr">
        <is>
          <t>13: Controlled injury and inflammatory 3D wound models</t>
        </is>
      </c>
      <c r="D28" s="5" t="inlineStr">
        <is>
          <t>Macrophages significantly enhance wound healing in a vascularized skin model</t>
        </is>
      </c>
      <c r="E28" s="5" t="inlineStr">
        <is>
          <t>10.1002/jbm.a.36648</t>
        </is>
      </c>
    </row>
    <row r="29">
      <c r="A29" s="5" t="inlineStr">
        <is>
          <t>S1</t>
        </is>
      </c>
      <c r="B29" s="5" t="n">
        <v>142</v>
      </c>
      <c r="C29" s="5" t="inlineStr">
        <is>
          <t>19: Disease-relevant diabetic bioprinted skin</t>
        </is>
      </c>
      <c r="D29" s="5" t="inlineStr">
        <is>
          <t>Engineering of diseased human skin equivalent using 3D cell printing for representing pathophysiological hallmarks of type 2 diabetes in vitro</t>
        </is>
      </c>
      <c r="E29" s="5" t="inlineStr">
        <is>
          <t>10.1016/j.biomaterials.2021.120776</t>
        </is>
      </c>
    </row>
    <row r="30">
      <c r="A30" s="5" t="inlineStr">
        <is>
          <t>S2</t>
        </is>
      </c>
      <c r="B30" s="5" t="n">
        <v>58</v>
      </c>
      <c r="C30" s="5" t="inlineStr">
        <is>
          <t>12: Perfused inflammatory full-thickness skin-on-chip model for drug-response testing</t>
        </is>
      </c>
      <c r="D30" s="5" t="inlineStr">
        <is>
          <t>Analysis of drug efficacy for inflammatory skin on an organ-chip system</t>
        </is>
      </c>
      <c r="E30" t="inlineStr"/>
    </row>
    <row r="31">
      <c r="A31" s="5" t="inlineStr">
        <is>
          <t>S2</t>
        </is>
      </c>
      <c r="B31" s="5" t="n">
        <v>101</v>
      </c>
      <c r="C31" s="5" t="inlineStr">
        <is>
          <t>18: Multiplexed wound-exudate sensing patches</t>
        </is>
      </c>
      <c r="D31" s="5" t="inlineStr">
        <is>
          <t>A flexible multiplexed immunosensor for point-of-care in situ wound monitoring</t>
        </is>
      </c>
      <c r="E31" s="5" t="inlineStr">
        <is>
          <t>10.1126/sciadv.abg9614</t>
        </is>
      </c>
    </row>
    <row r="32">
      <c r="A32" s="5" t="inlineStr">
        <is>
          <t>S2</t>
        </is>
      </c>
      <c r="B32" s="5" t="n">
        <v>155</v>
      </c>
      <c r="C32" s="5" t="inlineStr">
        <is>
          <t>2: Perfused dermal perivascular angiogenesis chip</t>
        </is>
      </c>
      <c r="D32" s="5" t="inlineStr">
        <is>
          <t>A 3D millifluidic model of a dermal perivascular microenvironment on a chip</t>
        </is>
      </c>
      <c r="E32" s="5" t="inlineStr">
        <is>
          <t>10.1039/d4lc00898g</t>
        </is>
      </c>
    </row>
    <row r="33">
      <c r="A33" s="5" t="inlineStr">
        <is>
          <t>S2</t>
        </is>
      </c>
      <c r="B33" s="5" t="n">
        <v>158</v>
      </c>
      <c r="C33" s="5" t="inlineStr">
        <is>
          <t>3: Ex vivo full-thickness human skin microbioreactor</t>
        </is>
      </c>
      <c r="D33" s="5" t="inlineStr">
        <is>
          <t>Design and evaluation of a skin-on-a-chip pumpless microfluidic device</t>
        </is>
      </c>
      <c r="E33" s="5" t="inlineStr">
        <is>
          <t>10.1038/s41598-023-34796-3</t>
        </is>
      </c>
    </row>
    <row r="34">
      <c r="A34" s="5" t="inlineStr">
        <is>
          <t>S2</t>
        </is>
      </c>
      <c r="B34" s="5" t="n">
        <v>159</v>
      </c>
      <c r="C34" s="5" t="inlineStr">
        <is>
          <t>4: Layered tissue-generation chip</t>
        </is>
      </c>
      <c r="D34" s="5" t="inlineStr">
        <is>
          <t>A new microfluidic method enabling the generation of multi-layered tissues-on-chips using skin cells as a proof of concept</t>
        </is>
      </c>
      <c r="E34" s="5" t="inlineStr">
        <is>
          <t>10.1038/s41598-021-91875-z</t>
        </is>
      </c>
    </row>
    <row r="35">
      <c r="A35" s="5" t="inlineStr">
        <is>
          <t>S2</t>
        </is>
      </c>
      <c r="B35" s="5" t="n">
        <v>164</v>
      </c>
      <c r="C35" s="5" t="inlineStr">
        <is>
          <t>5: Oxygen-gradient angiogenesis module</t>
        </is>
      </c>
      <c r="D35" s="5" t="inlineStr">
        <is>
          <t>Studying sprouting angiogenesis under combination of oxygen gradients and co-culture of fibroblasts using microfluidic cell culture model</t>
        </is>
      </c>
      <c r="E35" s="5" t="inlineStr">
        <is>
          <t>10.1016/j.mtbio.2023.100703</t>
        </is>
      </c>
    </row>
    <row r="36">
      <c r="A36" s="5" t="inlineStr">
        <is>
          <t>S2</t>
        </is>
      </c>
      <c r="B36" s="5" t="n">
        <v>166</v>
      </c>
      <c r="C36" s="5" t="inlineStr">
        <is>
          <t>7: Perfused reconstructed skin-on-chip for transdermal diffusion</t>
        </is>
      </c>
      <c r="D36" s="5" t="inlineStr">
        <is>
          <t>In silico approach for validating organ-on-chips: exemplifying through a skin-on-chip device</t>
        </is>
      </c>
      <c r="E36" s="5" t="inlineStr">
        <is>
          <t>10.1007/s10404-025-02863-y</t>
        </is>
      </c>
    </row>
    <row r="37">
      <c r="A37" s="5" t="inlineStr">
        <is>
          <t>S2</t>
        </is>
      </c>
      <c r="B37" s="5" t="n">
        <v>169</v>
      </c>
      <c r="C37" s="5" t="inlineStr">
        <is>
          <t>13: Infection-activated vessel-on-chip</t>
        </is>
      </c>
      <c r="D37" s="5" t="inlineStr">
        <is>
          <t>An in vitro human vessel model to study Neisseria meningitidis colonization and vascular damages</t>
        </is>
      </c>
      <c r="E37" s="5" t="inlineStr">
        <is>
          <t>10.7554/eLife.107813</t>
        </is>
      </c>
    </row>
    <row r="38">
      <c r="A38" s="5" t="inlineStr">
        <is>
          <t>S2</t>
        </is>
      </c>
      <c r="B38" s="5" t="n">
        <v>181</v>
      </c>
      <c r="C38" s="5" t="inlineStr">
        <is>
          <t>8: Perfused 3D skin-on-chip for barrier validation and drug permeation</t>
        </is>
      </c>
      <c r="D38" s="5" t="inlineStr">
        <is>
          <t>A 3D microfluidic model for preclinical drug permeation studies: Advancing validation of skin-on-chip technology</t>
        </is>
      </c>
      <c r="E38" s="5" t="inlineStr">
        <is>
          <t>10.1016/j.jpba.2025.117187</t>
        </is>
      </c>
    </row>
    <row r="39">
      <c r="A39" s="5" t="inlineStr">
        <is>
          <t>S2</t>
        </is>
      </c>
      <c r="B39" s="5" t="n">
        <v>182</v>
      </c>
      <c r="C39" s="5" t="inlineStr">
        <is>
          <t>18: Multiplexed wound-exudate sensing patches</t>
        </is>
      </c>
      <c r="D39" s="5" t="inlineStr">
        <is>
          <t>A flexible and multimodal biosensing patch integrated with microfluidics for chronic wound monitoring</t>
        </is>
      </c>
      <c r="E39" s="5" t="inlineStr">
        <is>
          <t>10.1016/j.cej.2024.157673</t>
        </is>
      </c>
    </row>
    <row r="40">
      <c r="A40" s="5" t="inlineStr">
        <is>
          <t>S2</t>
        </is>
      </c>
      <c r="B40" s="5" t="n">
        <v>183</v>
      </c>
      <c r="C40" s="5" t="inlineStr">
        <is>
          <t>19: Battery-free lactate prognostic wound monitor</t>
        </is>
      </c>
      <c r="D40" s="5" t="inlineStr">
        <is>
          <t>A miniaturized, battery‐free, wireless wound monitor that predicts wound closure rate early</t>
        </is>
      </c>
      <c r="E40" s="5" t="inlineStr">
        <is>
          <t>10.1002/adhm.202301280</t>
        </is>
      </c>
    </row>
    <row r="41">
      <c r="A41" s="5" t="inlineStr">
        <is>
          <t>S2</t>
        </is>
      </c>
      <c r="B41" s="5" t="n">
        <v>187</v>
      </c>
      <c r="C41" s="5" t="inlineStr">
        <is>
          <t>21: Wireless smart bandage with sensing and electrical stimulation</t>
        </is>
      </c>
      <c r="D41" s="5" t="inlineStr">
        <is>
          <t>Wireless, closed-loop, smart bandage with integrated sensors and stimulators for advanced wound care and accelerated healing</t>
        </is>
      </c>
      <c r="E41" s="5" t="inlineStr">
        <is>
          <t>10.1038/s41587-022-01528-3</t>
        </is>
      </c>
    </row>
    <row r="42">
      <c r="A42" s="5" t="inlineStr">
        <is>
          <t>S2</t>
        </is>
      </c>
      <c r="B42" s="5" t="n">
        <v>188</v>
      </c>
      <c r="C42" s="5" t="inlineStr">
        <is>
          <t>22: Closed-loop wound-management platform with on-chip inference and drug delivery</t>
        </is>
      </c>
      <c r="D42" s="5" t="inlineStr">
        <is>
          <t>Smart Wound Management System Capable of On‐Chip Machine Learning and Closed‐Loop Therapeutic Feedback</t>
        </is>
      </c>
      <c r="E42" s="5" t="inlineStr">
        <is>
          <t>10.1002/adfm.202522329</t>
        </is>
      </c>
    </row>
    <row r="43">
      <c r="A43" s="5" t="inlineStr">
        <is>
          <t>S2</t>
        </is>
      </c>
      <c r="B43" s="5" t="n">
        <v>192</v>
      </c>
      <c r="C43" s="5" t="inlineStr">
        <is>
          <t>9: Ex vivo and surrogate skin dynamic permeation platforms</t>
        </is>
      </c>
      <c r="D43" s="5" t="inlineStr">
        <is>
          <t>Skin-on-a-chip device for ex vivo monitoring of transdermal delivery of drugs—design, fabrication, and testing</t>
        </is>
      </c>
      <c r="E43" s="5" t="inlineStr">
        <is>
          <t>10.3390/pharmaceutics11090445</t>
        </is>
      </c>
    </row>
    <row r="44">
      <c r="A44" s="5" t="inlineStr">
        <is>
          <t>S2</t>
        </is>
      </c>
      <c r="B44" s="5" t="n">
        <v>193</v>
      </c>
      <c r="C44" s="5" t="inlineStr">
        <is>
          <t>9: Ex vivo and surrogate skin dynamic permeation platforms</t>
        </is>
      </c>
      <c r="D44" s="5" t="inlineStr">
        <is>
          <t>Comparison between Franz diffusion cell and a novel micro-physiological system for in vitro penetration assay using different skin models</t>
        </is>
      </c>
      <c r="E44" s="5" t="inlineStr">
        <is>
          <t>10.1016/j.slast.2021.12.006</t>
        </is>
      </c>
    </row>
    <row r="45">
      <c r="A45" s="5" t="inlineStr">
        <is>
          <t>S2</t>
        </is>
      </c>
      <c r="B45" s="5" t="n">
        <v>194</v>
      </c>
      <c r="C45" s="5" t="inlineStr">
        <is>
          <t>10: Skin-linked systemic toxicity chips</t>
        </is>
      </c>
      <c r="D45" s="5" t="inlineStr">
        <is>
          <t>Microphysiological heart–liver body-on-a-chip system with a skin mimic for evaluating topical drug delivery</t>
        </is>
      </c>
      <c r="E45" s="5" t="inlineStr">
        <is>
          <t>10.1039/c9lc00861f</t>
        </is>
      </c>
    </row>
    <row r="46">
      <c r="A46" s="5" t="inlineStr">
        <is>
          <t>S2</t>
        </is>
      </c>
      <c r="B46" s="5" t="n">
        <v>195</v>
      </c>
      <c r="C46" s="5" t="inlineStr">
        <is>
          <t>10: Skin-linked systemic toxicity chips</t>
        </is>
      </c>
      <c r="D46" s="5" t="inlineStr">
        <is>
          <t>Toxicity of topically applied drugs beyond skin irritation: Static skin model vs</t>
        </is>
      </c>
      <c r="E46" s="5" t="inlineStr">
        <is>
          <t>10.1016/j.ijpharm.2020.119788</t>
        </is>
      </c>
    </row>
    <row r="47">
      <c r="A47" s="5" t="inlineStr">
        <is>
          <t>S2</t>
        </is>
      </c>
      <c r="B47" s="5" t="n">
        <v>196</v>
      </c>
      <c r="C47" s="5" t="inlineStr">
        <is>
          <t>14: Dynamic reconstructed skin-on-chip for topical sensitizer response</t>
        </is>
      </c>
      <c r="D47" s="5" t="inlineStr">
        <is>
          <t>Proof-of-concept organ-on-chip study: topical cinnamaldehyde exposure of reconstructed human skin with integrated neopapillae cultured under dynamic flow</t>
        </is>
      </c>
      <c r="E47" s="5" t="inlineStr">
        <is>
          <t>10.3390/pharmaceutics14081529</t>
        </is>
      </c>
    </row>
    <row r="48">
      <c r="A48" s="5" t="inlineStr">
        <is>
          <t>S2</t>
        </is>
      </c>
      <c r="B48" s="5" t="n">
        <v>197</v>
      </c>
      <c r="C48" s="5" t="inlineStr">
        <is>
          <t>15: Perfused inflammatory skin-on-chip with rapid cytokine detection</t>
        </is>
      </c>
      <c r="D48" s="5" t="inlineStr">
        <is>
          <t>Skin-on-a-Chip Coupled with a Rapid Inflammation Detection System for Cosmetic Ingredient Screening</t>
        </is>
      </c>
      <c r="E48" t="inlineStr"/>
    </row>
    <row r="49">
      <c r="A49" s="5" t="inlineStr">
        <is>
          <t>S2</t>
        </is>
      </c>
      <c r="B49" s="5" t="n">
        <v>198</v>
      </c>
      <c r="C49" s="5" t="inlineStr">
        <is>
          <t>16: Epidermal pruritus and barrier-support skin-on-chip</t>
        </is>
      </c>
      <c r="D49" s="5" t="inlineStr">
        <is>
          <t>Skin-on-Chip and clinical evaluation of the soothing potential of a topical natural treatment for atopic-prone skin: An exploratory study</t>
        </is>
      </c>
      <c r="E49" s="5" t="inlineStr">
        <is>
          <t>10.1016/j.biopha.2025.118957</t>
        </is>
      </c>
    </row>
    <row r="50">
      <c r="A50" s="5" t="inlineStr">
        <is>
          <t>S3</t>
        </is>
      </c>
      <c r="B50" s="5" t="n">
        <v>200</v>
      </c>
      <c r="C50" s="5" t="inlineStr">
        <is>
          <t>3: Redox-, glucose-, and mixed-stimulus adaptive hydrogels</t>
        </is>
      </c>
      <c r="D50" s="5" t="inlineStr">
        <is>
          <t>Construction of oxidized dextran-based pH/ROS responsive hydrogel with live bacterial microcapsules for accelerating diabetic wound healing via reducing inflammatory factors</t>
        </is>
      </c>
      <c r="E50" s="5" t="inlineStr">
        <is>
          <t>10.1016/j.ijbiomac.2026.151405</t>
        </is>
      </c>
    </row>
    <row r="51">
      <c r="A51" s="5" t="inlineStr">
        <is>
          <t>S3</t>
        </is>
      </c>
      <c r="B51" s="5" t="n">
        <v>201</v>
      </c>
      <c r="C51" s="5" t="inlineStr">
        <is>
          <t>3: Redox-, glucose-, and mixed-stimulus adaptive hydrogels</t>
        </is>
      </c>
      <c r="D51" s="5" t="inlineStr">
        <is>
          <t>pH/ROS responsive hydrogel loaded with bimetallic phenolic nanoparticles: A multifaceted therapeutic strategy for accelerating diabetic wound repair</t>
        </is>
      </c>
      <c r="E51" s="5" t="inlineStr">
        <is>
          <t>10.1016/j.cej.2025.170173</t>
        </is>
      </c>
    </row>
    <row r="52">
      <c r="A52" s="5" t="inlineStr">
        <is>
          <t>S3</t>
        </is>
      </c>
      <c r="B52" s="5" t="n">
        <v>202</v>
      </c>
      <c r="C52" s="5" t="inlineStr">
        <is>
          <t>4: Enzyme-activated infection and remodeling depots</t>
        </is>
      </c>
      <c r="D52" s="5" t="inlineStr">
        <is>
          <t>Bacterial enzyme-responsive hydrogels for triggered delivery of antibiotics to infected wounds</t>
        </is>
      </c>
      <c r="E52" s="5" t="inlineStr">
        <is>
          <t>10.1126/sciadv.adz0786</t>
        </is>
      </c>
    </row>
    <row r="53">
      <c r="A53" s="5" t="inlineStr">
        <is>
          <t>S3</t>
        </is>
      </c>
      <c r="B53" s="5" t="n">
        <v>206</v>
      </c>
      <c r="C53" s="5" t="inlineStr">
        <is>
          <t>2: Acidic pH-switching adhesive and release matrices</t>
        </is>
      </c>
      <c r="D53" s="5" t="inlineStr">
        <is>
          <t>pH-responsive hydrogel loaded with insulin as a bioactive dressing for enhancing diabetic wound healing</t>
        </is>
      </c>
      <c r="E53" s="5" t="inlineStr">
        <is>
          <t>10.1016/j.matdes.2021.110104</t>
        </is>
      </c>
    </row>
    <row r="54">
      <c r="A54" s="5" t="inlineStr">
        <is>
          <t>S3</t>
        </is>
      </c>
      <c r="B54" s="5" t="n">
        <v>207</v>
      </c>
      <c r="C54" s="5" t="inlineStr">
        <is>
          <t>2: Acidic pH-switching adhesive and release matrices</t>
        </is>
      </c>
      <c r="D54" s="5" t="inlineStr">
        <is>
          <t>Dual-crosslinked mussel-inspired smart hydrogels with enhanced antibacterial and angiogenic properties for chronic infected diabetic wound treatment via pH-responsive quick cargo release</t>
        </is>
      </c>
      <c r="E54" s="5" t="inlineStr">
        <is>
          <t>10.1016/j.cej.2021.128564</t>
        </is>
      </c>
    </row>
    <row r="55">
      <c r="A55" s="5" t="inlineStr">
        <is>
          <t>S3</t>
        </is>
      </c>
      <c r="B55" s="5" t="n">
        <v>210</v>
      </c>
      <c r="C55" s="5" t="inlineStr">
        <is>
          <t>3: Redox-, glucose-, and mixed-stimulus adaptive hydrogels</t>
        </is>
      </c>
      <c r="D55" s="5" t="inlineStr">
        <is>
          <t>ROS-scavenging hydrogel to promote healing of bacteria infected diabetic wounds</t>
        </is>
      </c>
      <c r="E55" s="5" t="inlineStr">
        <is>
          <t>10.1016/j.biomaterials.2020.120286</t>
        </is>
      </c>
    </row>
    <row r="56">
      <c r="A56" s="5" t="inlineStr">
        <is>
          <t>S3</t>
        </is>
      </c>
      <c r="B56" s="5" t="n">
        <v>211</v>
      </c>
      <c r="C56" s="5" t="inlineStr">
        <is>
          <t>3: Redox-, glucose-, and mixed-stimulus adaptive hydrogels</t>
        </is>
      </c>
      <c r="D56" s="5" t="inlineStr">
        <is>
          <t>Ros-responsive hydrogel with size-dependent sequential release effects for anti-bacterial and anti-inflammation in diabetic wound healing</t>
        </is>
      </c>
      <c r="E56" t="inlineStr"/>
    </row>
    <row r="57">
      <c r="A57" s="5" t="inlineStr">
        <is>
          <t>S3</t>
        </is>
      </c>
      <c r="B57" s="5" t="n">
        <v>212</v>
      </c>
      <c r="C57" s="5" t="inlineStr">
        <is>
          <t>3: Redox-, glucose-, and mixed-stimulus adaptive hydrogels</t>
        </is>
      </c>
      <c r="D57" s="5" t="inlineStr">
        <is>
          <t>Smart multifunctional ROS-responsive supramolecular hydrogel for simultaneously regulating oxidative stress, immune dysregulation, and bacterial infection in diabetic wound healing</t>
        </is>
      </c>
      <c r="E57" s="5" t="inlineStr">
        <is>
          <t>10.1016/j.biomaterials.2026.124006</t>
        </is>
      </c>
    </row>
    <row r="58">
      <c r="A58" s="5" t="inlineStr">
        <is>
          <t>S3</t>
        </is>
      </c>
      <c r="B58" s="5" t="n">
        <v>214</v>
      </c>
      <c r="C58" s="5" t="inlineStr">
        <is>
          <t>3: Redox-, glucose-, and mixed-stimulus adaptive hydrogels</t>
        </is>
      </c>
      <c r="D58" s="5" t="inlineStr">
        <is>
          <t>A smart ROS-responsive hydrogel for on-demand antibacterial and platelet-rich plasma (PRP) activation in diabetic wound healing</t>
        </is>
      </c>
      <c r="E58" s="5" t="inlineStr">
        <is>
          <t>10.1016/j.jconrel.2025.114392</t>
        </is>
      </c>
    </row>
    <row r="59">
      <c r="A59" s="5" t="inlineStr">
        <is>
          <t>S3</t>
        </is>
      </c>
      <c r="B59" s="5" t="n">
        <v>215</v>
      </c>
      <c r="C59" s="5" t="inlineStr">
        <is>
          <t>3: Redox-, glucose-, and mixed-stimulus adaptive hydrogels</t>
        </is>
      </c>
      <c r="D59" s="5" t="inlineStr">
        <is>
          <t>Glucose/ROS-responsive and redox-gated adaptive hydrogel dressing for accelerating diabetic wound repair via synergistic cGAS/STING pathway inhibition and oxidative stress alleviation</t>
        </is>
      </c>
      <c r="E59" s="5" t="inlineStr">
        <is>
          <t>10.1016/j.bioactmat.2026.03.025</t>
        </is>
      </c>
    </row>
    <row r="60">
      <c r="A60" s="5" t="inlineStr">
        <is>
          <t>S3</t>
        </is>
      </c>
      <c r="B60" s="5" t="n">
        <v>217</v>
      </c>
      <c r="C60" s="5" t="inlineStr">
        <is>
          <t>4: Enzyme-activated infection and remodeling depots</t>
        </is>
      </c>
      <c r="D60" s="5" t="inlineStr">
        <is>
          <t>ADSC-exo@ MMP-PEG smart hydrogel promotes diabetic wound healing by optimizing cellular functions and relieving oxidative stress</t>
        </is>
      </c>
      <c r="E60" s="5" t="inlineStr">
        <is>
          <t>10.1016/j.mtbio.2022.100365</t>
        </is>
      </c>
    </row>
    <row r="61">
      <c r="A61" s="5" t="inlineStr">
        <is>
          <t>S3</t>
        </is>
      </c>
      <c r="B61" s="5" t="n">
        <v>219</v>
      </c>
      <c r="C61" s="5" t="inlineStr">
        <is>
          <t>2: Acidic pH-switching adhesive and release matrices</t>
        </is>
      </c>
      <c r="D61" s="5" t="inlineStr">
        <is>
          <t>A dual pH-and temperature-responsive hydrogel produced in situ crosslinking of cyclodextrin-cellulose for wound healing</t>
        </is>
      </c>
      <c r="E61" s="5" t="inlineStr">
        <is>
          <t>10.1016/j.ijbiomac.2023.126693</t>
        </is>
      </c>
    </row>
    <row r="62">
      <c r="A62" s="5" t="inlineStr">
        <is>
          <t>S3</t>
        </is>
      </c>
      <c r="B62" s="5" t="n">
        <v>221</v>
      </c>
      <c r="C62" s="5" t="inlineStr">
        <is>
          <t>5: Thermogelling and externally actuated antimicrobial-regenerative systems</t>
        </is>
      </c>
      <c r="D62" s="5" t="inlineStr">
        <is>
          <t>Temperature-Responsive Hydrogel Delivery of Antimicrobial Peptide Engineered Watermelon-Derived Extracellular Vesicles Enables Sequential Infection Control and Wound Healing</t>
        </is>
      </c>
      <c r="E62" s="5" t="inlineStr">
        <is>
          <t>10.1016/j.colsurfb.2026.115438</t>
        </is>
      </c>
    </row>
    <row r="63">
      <c r="A63" s="5" t="inlineStr">
        <is>
          <t>S3</t>
        </is>
      </c>
      <c r="B63" s="5" t="n">
        <v>224</v>
      </c>
      <c r="C63" s="5" t="inlineStr">
        <is>
          <t>7: Macrophage-state and cytokine-balancing matrices</t>
        </is>
      </c>
      <c r="D63" s="5" t="inlineStr">
        <is>
          <t>Immunomodulatory hydrogel orchestrates pro-regenerative response of macrophages and angiogenesis for chronic wound healing</t>
        </is>
      </c>
      <c r="E63" s="5" t="inlineStr">
        <is>
          <t>10.1016/j.biomaterials.2024.122848</t>
        </is>
      </c>
    </row>
    <row r="64">
      <c r="A64" s="5" t="inlineStr">
        <is>
          <t>S3</t>
        </is>
      </c>
      <c r="B64" s="5" t="n">
        <v>225</v>
      </c>
      <c r="C64" s="5" t="inlineStr">
        <is>
          <t>7: Macrophage-state and cytokine-balancing matrices</t>
        </is>
      </c>
      <c r="D64" s="5" t="inlineStr">
        <is>
          <t>Immunoregulatory hydrogel decorated with Tannic acid/Ferric ion accelerates diabetic wound healing via regulating Macrophage polarization</t>
        </is>
      </c>
      <c r="E64" s="5" t="inlineStr">
        <is>
          <t>10.1016/j.cej.2023.143173</t>
        </is>
      </c>
    </row>
    <row r="65">
      <c r="A65" s="5" t="inlineStr">
        <is>
          <t>S3</t>
        </is>
      </c>
      <c r="B65" s="5" t="n">
        <v>226</v>
      </c>
      <c r="C65" s="5" t="inlineStr">
        <is>
          <t>7: Macrophage-state and cytokine-balancing matrices</t>
        </is>
      </c>
      <c r="D65" s="5" t="inlineStr">
        <is>
          <t>Extracellular matrix‐mimetic immunomodulatory hydrogel for accelerating wound healing</t>
        </is>
      </c>
      <c r="E65" s="5" t="inlineStr">
        <is>
          <t>10.1002/adhm.202301264</t>
        </is>
      </c>
    </row>
    <row r="66">
      <c r="A66" s="5" t="inlineStr">
        <is>
          <t>S3</t>
        </is>
      </c>
      <c r="B66" s="5" t="n">
        <v>227</v>
      </c>
      <c r="C66" s="5" t="inlineStr">
        <is>
          <t>7: Macrophage-state and cytokine-balancing matrices</t>
        </is>
      </c>
      <c r="D66" s="5" t="inlineStr">
        <is>
          <t>Bioinspired design of mannose-decorated globular lysine dendrimers promotes diabetic wound healing by orchestrating appropriate macrophage polarization</t>
        </is>
      </c>
      <c r="E66" s="5" t="inlineStr">
        <is>
          <t>10.1016/j.biomaterials.2021.121323</t>
        </is>
      </c>
    </row>
    <row r="67">
      <c r="A67" s="5" t="inlineStr">
        <is>
          <t>S3</t>
        </is>
      </c>
      <c r="B67" s="5" t="n">
        <v>230</v>
      </c>
      <c r="C67" s="5" t="inlineStr">
        <is>
          <t>2: Acidic pH-switching adhesive and release matrices</t>
        </is>
      </c>
      <c r="D67" s="5" t="inlineStr">
        <is>
          <t>Chitosan-based hydrogel dressings for diabetic wound healing via promoting M2 macrophage-polarization</t>
        </is>
      </c>
      <c r="E67" s="5" t="inlineStr">
        <is>
          <t>10.1016/j.carbpol.2024.121873</t>
        </is>
      </c>
    </row>
    <row r="68">
      <c r="A68" s="5" t="inlineStr">
        <is>
          <t>S3</t>
        </is>
      </c>
      <c r="B68" s="5" t="n">
        <v>231</v>
      </c>
      <c r="C68" s="5" t="inlineStr">
        <is>
          <t>7: Macrophage-state and cytokine-balancing matrices</t>
        </is>
      </c>
      <c r="D68" s="5" t="inlineStr">
        <is>
          <t>Varying ratios of M/G in alginate to modulate macrophages polarization and its application for wound healing in diabetic</t>
        </is>
      </c>
      <c r="E68" s="5" t="inlineStr">
        <is>
          <t>10.1016/j.ijbiomac.2024.132387</t>
        </is>
      </c>
    </row>
    <row r="69">
      <c r="A69" s="5" t="inlineStr">
        <is>
          <t>S3</t>
        </is>
      </c>
      <c r="B69" s="5" t="n">
        <v>232</v>
      </c>
      <c r="C69" s="5" t="inlineStr">
        <is>
          <t>7: Macrophage-state and cytokine-balancing matrices</t>
        </is>
      </c>
      <c r="D69" s="5" t="inlineStr">
        <is>
          <t>Programming of macrophage polarization in different stages for accelerating wound healing</t>
        </is>
      </c>
      <c r="E69" s="5" t="inlineStr">
        <is>
          <t>10.1016/j.cej.2024.152131</t>
        </is>
      </c>
    </row>
    <row r="70">
      <c r="A70" s="5" t="inlineStr">
        <is>
          <t>S3</t>
        </is>
      </c>
      <c r="B70" s="5" t="n">
        <v>234</v>
      </c>
      <c r="C70" s="5" t="inlineStr">
        <is>
          <t>8: Antimicrobial and antibiofilm hydrogel depots</t>
        </is>
      </c>
      <c r="D70" s="5" t="inlineStr">
        <is>
          <t>In Vitro and In Vivo Comparison of a Novel Antimicrobial Wound Hydrogel With Commercial Wound Treatments: Antimicrobial, Antibiofilm and Biocompatibility Assessment</t>
        </is>
      </c>
      <c r="E70" s="5" t="inlineStr">
        <is>
          <t>10.1111/iwj.70904</t>
        </is>
      </c>
    </row>
    <row r="71">
      <c r="A71" s="5" t="inlineStr">
        <is>
          <t>S3</t>
        </is>
      </c>
      <c r="B71" s="5" t="n">
        <v>235</v>
      </c>
      <c r="C71" s="5" t="inlineStr">
        <is>
          <t>8: Antimicrobial and antibiofilm hydrogel depots</t>
        </is>
      </c>
      <c r="D71" s="5" t="inlineStr">
        <is>
          <t>Efficacy of a novel antimicrobial hydrogel for eradication of Staphylococcus epidermidis, Staphylococcus aureus and Cutibacterium acnes from preformed biofilm and treatment performance in an in vivo MRSA wound model</t>
        </is>
      </c>
      <c r="E71" s="5" t="inlineStr">
        <is>
          <t>10.1093/jacamr/dlab108</t>
        </is>
      </c>
    </row>
    <row r="72">
      <c r="A72" s="5" t="inlineStr">
        <is>
          <t>S3</t>
        </is>
      </c>
      <c r="B72" s="5" t="n">
        <v>238</v>
      </c>
      <c r="C72" s="5" t="inlineStr">
        <is>
          <t>8: Antimicrobial and antibiofilm hydrogel depots</t>
        </is>
      </c>
      <c r="D72" s="5" t="inlineStr">
        <is>
          <t>Sustained release of alginate hydrogel containing antimicrobial peptide Chol-37 (F34-R) in vitro and its effect on wound healing in murine model of Pseudomonas aeruginosa infection</t>
        </is>
      </c>
      <c r="E72" s="5" t="inlineStr">
        <is>
          <t>10.4142/jvs.22319</t>
        </is>
      </c>
    </row>
    <row r="73">
      <c r="A73" s="5" t="inlineStr">
        <is>
          <t>S3</t>
        </is>
      </c>
      <c r="B73" s="5" t="n">
        <v>239</v>
      </c>
      <c r="C73" s="5" t="inlineStr">
        <is>
          <t>5: Thermogelling and externally actuated antimicrobial-regenerative systems</t>
        </is>
      </c>
      <c r="D73" s="5" t="inlineStr">
        <is>
          <t>A photo-modulated nitric oxide delivering hydrogel for the accelerated healing of biofilm infected chronic wounds</t>
        </is>
      </c>
      <c r="E73" s="5" t="inlineStr">
        <is>
          <t>10.1016/j.actbio.2024.09.017</t>
        </is>
      </c>
    </row>
    <row r="74">
      <c r="A74" s="5" t="inlineStr">
        <is>
          <t>S3</t>
        </is>
      </c>
      <c r="B74" s="5" t="n">
        <v>241</v>
      </c>
      <c r="C74" s="5" t="inlineStr">
        <is>
          <t>8: Antimicrobial and antibiofilm hydrogel depots</t>
        </is>
      </c>
      <c r="D74" s="5" t="inlineStr">
        <is>
          <t>Photo‐Crosslinked Antimicrobial Hydrogel Exhibiting Wound Healing Ability and Curing Infections In Vivo</t>
        </is>
      </c>
      <c r="E74" s="5" t="inlineStr">
        <is>
          <t>10.1002/adhm.202200536</t>
        </is>
      </c>
    </row>
    <row r="75">
      <c r="A75" s="5" t="inlineStr">
        <is>
          <t>S3</t>
        </is>
      </c>
      <c r="B75" s="5" t="n">
        <v>243</v>
      </c>
      <c r="C75" s="5" t="inlineStr">
        <is>
          <t>8: Antimicrobial and antibiofilm hydrogel depots</t>
        </is>
      </c>
      <c r="D75" s="5" t="inlineStr">
        <is>
          <t>Eradication of Mature Bacterial Biofilms with Concurrent Improvement in Chronic Wound Healing Using Silver Nanoparticle Hydrogel Treatment</t>
        </is>
      </c>
      <c r="E75" s="5" t="inlineStr">
        <is>
          <t>10.3390/biomedicines9091182</t>
        </is>
      </c>
    </row>
    <row r="76">
      <c r="A76" s="5" t="inlineStr">
        <is>
          <t>S3</t>
        </is>
      </c>
      <c r="B76" s="5" t="n">
        <v>244</v>
      </c>
      <c r="C76" s="5" t="inlineStr">
        <is>
          <t>8: Antimicrobial and antibiofilm hydrogel depots</t>
        </is>
      </c>
      <c r="D76" s="5" t="inlineStr">
        <is>
          <t>TA-AgNPs/Alginate Hydrogel and Its potential application as a promising antibiofilm material against polymicrobial wound biofilms using a unique biofilm flow model</t>
        </is>
      </c>
      <c r="E76" s="5" t="inlineStr">
        <is>
          <t>10.3390/microorganisms10112279</t>
        </is>
      </c>
    </row>
    <row r="77">
      <c r="A77" s="5" t="inlineStr">
        <is>
          <t>S3</t>
        </is>
      </c>
      <c r="B77" s="5" t="n">
        <v>245</v>
      </c>
      <c r="C77" s="5" t="inlineStr">
        <is>
          <t>5: Thermogelling and externally actuated antimicrobial-regenerative systems</t>
        </is>
      </c>
      <c r="D77" s="5" t="inlineStr">
        <is>
          <t>Multifunctional ultrasmall AgNP hydrogel accelerates healing of S. aureus infected wounds</t>
        </is>
      </c>
      <c r="E77" s="5" t="inlineStr">
        <is>
          <t>10.1016/j.actbio.2021.04.007</t>
        </is>
      </c>
    </row>
    <row r="78">
      <c r="A78" s="5" t="inlineStr">
        <is>
          <t>S3</t>
        </is>
      </c>
      <c r="B78" s="5" t="n">
        <v>248</v>
      </c>
      <c r="C78" s="5" t="inlineStr">
        <is>
          <t>10: Growth-factor and protein delivery depots</t>
        </is>
      </c>
      <c r="D78" s="5" t="inlineStr">
        <is>
          <t>Sustained release of insulin-like growth factor-1 from Bombyx mori L. silk fibroin delivery for diabetic wound therapy</t>
        </is>
      </c>
      <c r="E78" s="5" t="inlineStr">
        <is>
          <t>10.3390/ijms22126267</t>
        </is>
      </c>
    </row>
    <row r="79">
      <c r="A79" s="5" t="inlineStr">
        <is>
          <t>S3</t>
        </is>
      </c>
      <c r="B79" s="5" t="n">
        <v>249</v>
      </c>
      <c r="C79" s="5" t="inlineStr">
        <is>
          <t>10: Growth-factor and protein delivery depots</t>
        </is>
      </c>
      <c r="D79" s="5" t="inlineStr">
        <is>
          <t>Controlled platelet-derived growth factor delivery by hyaluronic acid hydrogels with tunable crosslinking for accelerated chronic wound healing</t>
        </is>
      </c>
      <c r="E79" s="5" t="inlineStr">
        <is>
          <t>10.1016/j.ijbiomac.2025.140710</t>
        </is>
      </c>
    </row>
    <row r="80">
      <c r="A80" s="5" t="inlineStr">
        <is>
          <t>S3</t>
        </is>
      </c>
      <c r="B80" s="5" t="n">
        <v>250</v>
      </c>
      <c r="C80" s="5" t="inlineStr">
        <is>
          <t>10: Growth-factor and protein delivery depots</t>
        </is>
      </c>
      <c r="D80" s="5" t="inlineStr">
        <is>
          <t>Platelet‐derived growth factor nanocapsules with tunable controlled release for chronic wound healing</t>
        </is>
      </c>
      <c r="E80" s="5" t="inlineStr">
        <is>
          <t>10.1002/smll.202310743</t>
        </is>
      </c>
    </row>
    <row r="81">
      <c r="A81" s="5" t="inlineStr">
        <is>
          <t>S3</t>
        </is>
      </c>
      <c r="B81" s="5" t="n">
        <v>252</v>
      </c>
      <c r="C81" s="5" t="inlineStr">
        <is>
          <t>10: Growth-factor and protein delivery depots</t>
        </is>
      </c>
      <c r="D81" s="5" t="inlineStr">
        <is>
          <t>Sequential release of multiple growth factors from injectable nanocomposite hyaluronic acid hydrogels for enhanced angiogenesis</t>
        </is>
      </c>
      <c r="E81" s="5" t="inlineStr">
        <is>
          <t>10.1016/j.cej.2025.168701</t>
        </is>
      </c>
    </row>
    <row r="82">
      <c r="A82" s="5" t="inlineStr">
        <is>
          <t>S3</t>
        </is>
      </c>
      <c r="B82" s="5" t="n">
        <v>253</v>
      </c>
      <c r="C82" s="5" t="inlineStr">
        <is>
          <t>10: Growth-factor and protein delivery depots</t>
        </is>
      </c>
      <c r="D82" s="5" t="inlineStr">
        <is>
          <t>Fibrin hydrogel incorporated with microspheres containing vascular endothelial growth factor (VEGF) and basic fibroblast growth factor (bFGF) accelerated the healing of diabetic wounds in rats</t>
        </is>
      </c>
      <c r="E82" s="5" t="inlineStr">
        <is>
          <t>10.1016/j.tice.2025.103301</t>
        </is>
      </c>
    </row>
    <row r="83">
      <c r="A83" s="5" t="inlineStr">
        <is>
          <t>S3</t>
        </is>
      </c>
      <c r="B83" s="5" t="n">
        <v>254</v>
      </c>
      <c r="C83" s="5" t="inlineStr">
        <is>
          <t>10: Growth-factor and protein delivery depots</t>
        </is>
      </c>
      <c r="D83" s="5" t="inlineStr">
        <is>
          <t>Programmable hierarchical hydrogel dressing for sequential release of growth factor and DNase to accelerate diabetic wound healing</t>
        </is>
      </c>
      <c r="E83" s="5" t="inlineStr">
        <is>
          <t>10.1016/j.jconrel.2025.113825</t>
        </is>
      </c>
    </row>
    <row r="84">
      <c r="A84" s="5" t="inlineStr">
        <is>
          <t>S3</t>
        </is>
      </c>
      <c r="B84" s="5" t="n">
        <v>255</v>
      </c>
      <c r="C84" s="5" t="inlineStr">
        <is>
          <t>12: Multicargo sequence-delivery formulations</t>
        </is>
      </c>
      <c r="D84" s="5" t="inlineStr">
        <is>
          <t>An intrinsically bioactive hydrogel with on-demand drug release behaviors for diabetic wound healing</t>
        </is>
      </c>
      <c r="E84" s="5" t="inlineStr">
        <is>
          <t>10.1016/j.bioactmat.2021.04.040</t>
        </is>
      </c>
    </row>
    <row r="85">
      <c r="A85" s="5" t="inlineStr">
        <is>
          <t>S3</t>
        </is>
      </c>
      <c r="B85" s="5" t="n">
        <v>256</v>
      </c>
      <c r="C85" s="5" t="inlineStr">
        <is>
          <t>11: Exosome and extracellular-vesicle release systems</t>
        </is>
      </c>
      <c r="D85" s="5" t="inlineStr">
        <is>
          <t>All‐in‐one: multifunctional hydrogel accelerates oxidative diabetic wound healing through timed‐release of exosome and fibroblast growth factor</t>
        </is>
      </c>
      <c r="E85" s="5" t="inlineStr">
        <is>
          <t>10.1002/smll.202104229</t>
        </is>
      </c>
    </row>
    <row r="86">
      <c r="A86" s="5" t="inlineStr">
        <is>
          <t>S3</t>
        </is>
      </c>
      <c r="B86" s="5" t="n">
        <v>257</v>
      </c>
      <c r="C86" s="5" t="inlineStr">
        <is>
          <t>11: Exosome and extracellular-vesicle release systems</t>
        </is>
      </c>
      <c r="D86" s="5" t="inlineStr">
        <is>
          <t>Duo-nano exosome encapsulating hydrogel boosts wound healing across xenogenic and allogenic models</t>
        </is>
      </c>
      <c r="E86" s="5" t="inlineStr">
        <is>
          <t>10.1016/j.biomaterials.2025.123975</t>
        </is>
      </c>
    </row>
    <row r="87">
      <c r="A87" s="5" t="inlineStr">
        <is>
          <t>S3</t>
        </is>
      </c>
      <c r="B87" s="5" t="n">
        <v>258</v>
      </c>
      <c r="C87" s="5" t="inlineStr">
        <is>
          <t>11: Exosome and extracellular-vesicle release systems</t>
        </is>
      </c>
      <c r="D87" s="5" t="inlineStr">
        <is>
          <t>Recombinant human collagen hydrogels with different stem cell-derived exosomes encapsulation for wound treatment</t>
        </is>
      </c>
      <c r="E87" s="5" t="inlineStr">
        <is>
          <t>10.1186/s12951-025-03319-9</t>
        </is>
      </c>
    </row>
    <row r="88">
      <c r="A88" s="5" t="inlineStr">
        <is>
          <t>S3</t>
        </is>
      </c>
      <c r="B88" s="5" t="n">
        <v>259</v>
      </c>
      <c r="C88" s="5" t="inlineStr">
        <is>
          <t>11: Exosome and extracellular-vesicle release systems</t>
        </is>
      </c>
      <c r="D88" s="5" t="inlineStr">
        <is>
          <t>Sustained exosome‐guided macrophage polarization using hydrolytically degradable PEG hydrogels for cutaneous wound healing: identification of key proteins and MiRNAs, and sustained release formulation</t>
        </is>
      </c>
      <c r="E88" s="5" t="inlineStr">
        <is>
          <t>10.1002/smll.202200060</t>
        </is>
      </c>
    </row>
    <row r="89">
      <c r="A89" s="5" t="inlineStr">
        <is>
          <t>S3</t>
        </is>
      </c>
      <c r="B89" s="5" t="n">
        <v>261</v>
      </c>
      <c r="C89" s="5" t="inlineStr">
        <is>
          <t>12: Multicargo sequence-delivery formulations</t>
        </is>
      </c>
      <c r="D89" s="5" t="inlineStr">
        <is>
          <t>A composite hydrogel with co-delivery of antimicrobial peptides and platelet-rich plasma to enhance healing of infected wounds in diabetes</t>
        </is>
      </c>
      <c r="E89" s="5" t="inlineStr">
        <is>
          <t>10.1016/j.actbio.2021.01.046</t>
        </is>
      </c>
    </row>
    <row r="90">
      <c r="A90" s="5" t="inlineStr">
        <is>
          <t>S3</t>
        </is>
      </c>
      <c r="B90" s="5" t="n">
        <v>262</v>
      </c>
      <c r="C90" s="5" t="inlineStr">
        <is>
          <t>4: Enzyme-activated infection and remodeling depots</t>
        </is>
      </c>
      <c r="D90" s="5" t="inlineStr">
        <is>
          <t>Facile and efficient encapsulation of antimicrobial peptides via crosslinked DNA nanostructures and their application in wound therapy</t>
        </is>
      </c>
      <c r="E90" s="5" t="inlineStr">
        <is>
          <t>10.1016/j.jconrel.2019.10.013</t>
        </is>
      </c>
    </row>
    <row r="91">
      <c r="A91" s="5" t="inlineStr">
        <is>
          <t>S4</t>
        </is>
      </c>
      <c r="B91" s="5" t="n">
        <v>91</v>
      </c>
      <c r="C91" s="5" t="inlineStr">
        <is>
          <t>6: Molecular, exudate, biofilm, and treatment-response prediction</t>
        </is>
      </c>
      <c r="D91" s="5" t="inlineStr">
        <is>
          <t>Promising Biomarkers for Chronic Wound Healing: A Pilot Cohort Study on Wound Cytokines and a Novel Biofilm Detection Kit for Predicting 90‐Day Outcomes</t>
        </is>
      </c>
      <c r="E91" s="5" t="inlineStr">
        <is>
          <t>10.1111/wrr.70100</t>
        </is>
      </c>
    </row>
    <row r="92">
      <c r="A92" s="5" t="inlineStr">
        <is>
          <t>S4</t>
        </is>
      </c>
      <c r="B92" s="5" t="n">
        <v>102</v>
      </c>
      <c r="C92" s="5" t="inlineStr">
        <is>
          <t>12: AI-enabled wound-state sensing and classification</t>
        </is>
      </c>
      <c r="D92" s="5" t="inlineStr">
        <is>
          <t>Multifunctional hydrogel as wound dressing for intelligent wound monitoring</t>
        </is>
      </c>
      <c r="E92" s="5" t="inlineStr">
        <is>
          <t>10.1016/j.cej.2022.134625</t>
        </is>
      </c>
    </row>
    <row r="93">
      <c r="A93" s="5" t="inlineStr">
        <is>
          <t>S4</t>
        </is>
      </c>
      <c r="B93" s="5" t="n">
        <v>271</v>
      </c>
      <c r="C93" s="5" t="inlineStr">
        <is>
          <t>2: Wound-boundary segmentation and calibrated area extraction</t>
        </is>
      </c>
      <c r="D93" s="5" t="inlineStr">
        <is>
          <t>Diabetic foot ulcers segmentation challenge report: Benchmark and analysis</t>
        </is>
      </c>
      <c r="E93" s="5" t="inlineStr">
        <is>
          <t>10.1016/j.media.2024.103153</t>
        </is>
      </c>
    </row>
    <row r="94">
      <c r="A94" s="5" t="inlineStr">
        <is>
          <t>S4</t>
        </is>
      </c>
      <c r="B94" s="5" t="n">
        <v>272</v>
      </c>
      <c r="C94" s="5" t="inlineStr">
        <is>
          <t>2: Wound-boundary segmentation and calibrated area extraction</t>
        </is>
      </c>
      <c r="D94" s="5" t="inlineStr">
        <is>
          <t>Fully convolutional networks for diabetic foot ulcer segmentation. in 2017 IEEE international conference on systems, man, and cybernetics (SMC)</t>
        </is>
      </c>
      <c r="E94" t="inlineStr"/>
    </row>
    <row r="95">
      <c r="A95" s="5" t="inlineStr">
        <is>
          <t>S4</t>
        </is>
      </c>
      <c r="B95" s="5" t="n">
        <v>275</v>
      </c>
      <c r="C95" s="5" t="inlineStr">
        <is>
          <t>2: Wound-boundary segmentation and calibrated area extraction</t>
        </is>
      </c>
      <c r="D95" s="5" t="inlineStr">
        <is>
          <t>FUSegNet: A deep convolutional neural network for foot ulcer segmentation</t>
        </is>
      </c>
      <c r="E95" s="5" t="inlineStr">
        <is>
          <t>10.1016/j.bspc.2024.106057</t>
        </is>
      </c>
    </row>
    <row r="96">
      <c r="A96" s="5" t="inlineStr">
        <is>
          <t>S4</t>
        </is>
      </c>
      <c r="B96" s="5" t="n">
        <v>276</v>
      </c>
      <c r="C96" s="5" t="inlineStr">
        <is>
          <t>2: Wound-boundary segmentation and calibrated area extraction</t>
        </is>
      </c>
      <c r="D96" s="5" t="inlineStr">
        <is>
          <t>Fully automatic wound segmentation with deep convolutional neural networks</t>
        </is>
      </c>
      <c r="E96" s="5" t="inlineStr">
        <is>
          <t>10.1038/s41598-020-78799-w</t>
        </is>
      </c>
    </row>
    <row r="97">
      <c r="A97" s="5" t="inlineStr">
        <is>
          <t>S4</t>
        </is>
      </c>
      <c r="B97" s="5" t="n">
        <v>277</v>
      </c>
      <c r="C97" s="5" t="inlineStr">
        <is>
          <t>2: Wound-boundary segmentation and calibrated area extraction</t>
        </is>
      </c>
      <c r="D97" s="5" t="inlineStr">
        <is>
          <t>Detect-and-segment: A deep learning approach to automate wound image segmentation</t>
        </is>
      </c>
      <c r="E97" s="5" t="inlineStr">
        <is>
          <t>10.1016/j.imu.2022.100884</t>
        </is>
      </c>
    </row>
    <row r="98">
      <c r="A98" s="5" t="inlineStr">
        <is>
          <t>S4</t>
        </is>
      </c>
      <c r="B98" s="5" t="n">
        <v>281</v>
      </c>
      <c r="C98" s="5" t="inlineStr">
        <is>
          <t>3: Tissue-level and disease-state image phenotyping</t>
        </is>
      </c>
      <c r="D98" s="5" t="inlineStr">
        <is>
          <t>Assessing Clinician Consistency in Wound Tissue Classification and the Value of AI‐Assisted Quantification: A Cross‐Sectional Study</t>
        </is>
      </c>
      <c r="E98" t="inlineStr"/>
    </row>
    <row r="99">
      <c r="A99" s="5" t="inlineStr">
        <is>
          <t>S4</t>
        </is>
      </c>
      <c r="B99" s="5" t="n">
        <v>282</v>
      </c>
      <c r="C99" s="5" t="inlineStr">
        <is>
          <t>3: Tissue-level and disease-state image phenotyping</t>
        </is>
      </c>
      <c r="D99" s="5" t="inlineStr">
        <is>
          <t>Recognition of ischaemia and infection in diabetic foot ulcers: Dataset and techniques</t>
        </is>
      </c>
      <c r="E99" t="inlineStr">
        <is>
          <t>10.1016/j.compbiomed.2020.103616</t>
        </is>
      </c>
    </row>
    <row r="100">
      <c r="A100" s="5" t="inlineStr">
        <is>
          <t>S4</t>
        </is>
      </c>
      <c r="B100" s="5" t="n">
        <v>283</v>
      </c>
      <c r="C100" s="5" t="inlineStr">
        <is>
          <t>3: Tissue-level and disease-state image phenotyping</t>
        </is>
      </c>
      <c r="D100" s="5" t="inlineStr">
        <is>
          <t>Protocol for metadata and image collection at diabetic foot ulcer clinics: enabling research in wound analytics and deep learning</t>
        </is>
      </c>
      <c r="E100" s="5" t="inlineStr"/>
    </row>
    <row r="101">
      <c r="A101" s="5" t="inlineStr">
        <is>
          <t>S4</t>
        </is>
      </c>
      <c r="B101" s="5" t="n">
        <v>284</v>
      </c>
      <c r="C101" s="5" t="inlineStr">
        <is>
          <t>2: Wound-boundary segmentation and calibrated area extraction</t>
        </is>
      </c>
      <c r="D101" s="5" t="inlineStr">
        <is>
          <t>WSNet: towards an effective method for wound image segmentation. in Proceedings of the IEEE/CVF winter conference on applications of computer vision</t>
        </is>
      </c>
      <c r="E101" t="inlineStr"/>
    </row>
    <row r="102">
      <c r="A102" s="5" t="inlineStr">
        <is>
          <t>S4</t>
        </is>
      </c>
      <c r="B102" s="5" t="n">
        <v>286</v>
      </c>
      <c r="C102" s="5" t="inlineStr">
        <is>
          <t>3: Tissue-level and disease-state image phenotyping</t>
        </is>
      </c>
      <c r="D102" s="5" t="inlineStr">
        <is>
          <t>AI-assisted assessment of wound tissue with automatic color and measurement calibration on images taken with a smartphone. in Healthcare</t>
        </is>
      </c>
      <c r="E102" t="inlineStr"/>
    </row>
    <row r="103">
      <c r="A103" s="5" t="inlineStr">
        <is>
          <t>S4</t>
        </is>
      </c>
      <c r="B103" s="5" t="n">
        <v>287</v>
      </c>
      <c r="C103" s="5" t="inlineStr">
        <is>
          <t>2: Wound-boundary segmentation and calibrated area extraction</t>
        </is>
      </c>
      <c r="D103" s="5" t="inlineStr">
        <is>
          <t>FUSeg: The foot ulcer segmentation challenge</t>
        </is>
      </c>
      <c r="E103" t="inlineStr">
        <is>
          <t>10.3390/info15030140</t>
        </is>
      </c>
    </row>
    <row r="104">
      <c r="A104" s="5" t="inlineStr">
        <is>
          <t>S4</t>
        </is>
      </c>
      <c r="B104" s="5" t="n">
        <v>288</v>
      </c>
      <c r="C104" s="5" t="inlineStr">
        <is>
          <t>2: Wound-boundary segmentation and calibrated area extraction</t>
        </is>
      </c>
      <c r="D104" s="5" t="inlineStr">
        <is>
          <t>Analysis of training data augmentation for diabetic foot ulcer semantic segmentation</t>
        </is>
      </c>
      <c r="E104" s="5" t="inlineStr"/>
    </row>
    <row r="105">
      <c r="A105" s="5" t="inlineStr">
        <is>
          <t>S4</t>
        </is>
      </c>
      <c r="B105" s="5" t="n">
        <v>293</v>
      </c>
      <c r="C105" s="5" t="inlineStr">
        <is>
          <t>5: Longitudinal healing trajectory and time-to-closure prediction</t>
        </is>
      </c>
      <c r="D105" s="5" t="inlineStr">
        <is>
          <t>The use of the artificial neural network for three-month prognosis in diabetic foot syndrome</t>
        </is>
      </c>
      <c r="E105" t="inlineStr"/>
    </row>
    <row r="106">
      <c r="A106" s="5" t="inlineStr">
        <is>
          <t>S4</t>
        </is>
      </c>
      <c r="B106" s="5" t="n">
        <v>295</v>
      </c>
      <c r="C106" s="5" t="inlineStr">
        <is>
          <t>5: Longitudinal healing trajectory and time-to-closure prediction</t>
        </is>
      </c>
      <c r="D106" s="5" t="inlineStr">
        <is>
          <t>Machine learning models for predicting the risk of hard-to-heal diabetic foot ulcers in a Chinese population</t>
        </is>
      </c>
      <c r="E106" t="inlineStr">
        <is>
          <t>10.2147/DMSO.S383960</t>
        </is>
      </c>
    </row>
    <row r="107">
      <c r="A107" s="5" t="inlineStr">
        <is>
          <t>S4</t>
        </is>
      </c>
      <c r="B107" s="5" t="n">
        <v>296</v>
      </c>
      <c r="C107" s="5" t="inlineStr">
        <is>
          <t>5: Longitudinal healing trajectory and time-to-closure prediction</t>
        </is>
      </c>
      <c r="D107" s="5" t="inlineStr">
        <is>
          <t>Temporal machine learning framework for diabetic foot ulcer healing trajectory prediction</t>
        </is>
      </c>
      <c r="E107" s="5" t="inlineStr">
        <is>
          <t>10.1186/s12938-026-01529-2</t>
        </is>
      </c>
    </row>
    <row r="108">
      <c r="A108" s="5" t="inlineStr">
        <is>
          <t>S4</t>
        </is>
      </c>
      <c r="B108" s="5" t="n">
        <v>297</v>
      </c>
      <c r="C108" s="5" t="inlineStr">
        <is>
          <t>5: Longitudinal healing trajectory and time-to-closure prediction</t>
        </is>
      </c>
      <c r="D108" s="5" t="inlineStr">
        <is>
          <t>Dynamic prediction of time to wound healing at routine wound care visits</t>
        </is>
      </c>
      <c r="E108" s="5" t="inlineStr">
        <is>
          <t>10.1089/wound.2024.0069</t>
        </is>
      </c>
    </row>
    <row r="109">
      <c r="A109" s="5" t="inlineStr">
        <is>
          <t>S4</t>
        </is>
      </c>
      <c r="B109" s="5" t="n">
        <v>298</v>
      </c>
      <c r="C109" s="5" t="inlineStr">
        <is>
          <t>5: Longitudinal healing trajectory and time-to-closure prediction</t>
        </is>
      </c>
      <c r="D109" s="5" t="inlineStr">
        <is>
          <t>Chronic ulcers healing prediction through machine learning approaches: preliminary results on diabetic foot ulcers case study</t>
        </is>
      </c>
      <c r="E109" s="5" t="inlineStr"/>
    </row>
    <row r="110">
      <c r="A110" s="5" t="inlineStr">
        <is>
          <t>S4</t>
        </is>
      </c>
      <c r="B110" s="5" t="n">
        <v>299</v>
      </c>
      <c r="C110" s="5" t="inlineStr">
        <is>
          <t>5: Longitudinal healing trajectory and time-to-closure prediction</t>
        </is>
      </c>
      <c r="D110" s="5" t="inlineStr">
        <is>
          <t>Towards an AI-based objective prognostic model for quantifying wound healing</t>
        </is>
      </c>
      <c r="E110" t="inlineStr"/>
    </row>
    <row r="111">
      <c r="A111" s="5" t="inlineStr">
        <is>
          <t>S4</t>
        </is>
      </c>
      <c r="B111" s="5" t="n">
        <v>300</v>
      </c>
      <c r="C111" s="5" t="inlineStr">
        <is>
          <t>5: Longitudinal healing trajectory and time-to-closure prediction</t>
        </is>
      </c>
      <c r="D111" s="5" t="inlineStr">
        <is>
          <t>Predictive modeling of chronic foot ulcer outcomes using longitudinal photoacoustic imaging</t>
        </is>
      </c>
      <c r="E111" t="inlineStr"/>
    </row>
    <row r="112">
      <c r="A112" s="5" t="inlineStr">
        <is>
          <t>S4</t>
        </is>
      </c>
      <c r="B112" s="5" t="n">
        <v>302</v>
      </c>
      <c r="C112" s="5" t="inlineStr">
        <is>
          <t>6: Molecular, exudate, biofilm, and treatment-response prediction</t>
        </is>
      </c>
      <c r="D112" s="5" t="inlineStr">
        <is>
          <t>Integrated machine learning analysis of proteomic and transcriptomic data identifies healing associated targets in diabetic wound repair</t>
        </is>
      </c>
      <c r="E112" t="inlineStr"/>
    </row>
    <row r="113">
      <c r="A113" s="5" t="inlineStr">
        <is>
          <t>S4</t>
        </is>
      </c>
      <c r="B113" s="5" t="n">
        <v>305</v>
      </c>
      <c r="C113" s="5" t="inlineStr">
        <is>
          <t>6: Molecular, exudate, biofilm, and treatment-response prediction</t>
        </is>
      </c>
      <c r="D113" s="5" t="inlineStr">
        <is>
          <t>Development of an XGBoost-based prediction model for wound recurrence risk in diabetic foot ulcer patients treated with antibiotic-loaded bone cement</t>
        </is>
      </c>
      <c r="E113" t="inlineStr"/>
    </row>
    <row r="114">
      <c r="A114" s="5" t="inlineStr">
        <is>
          <t>S4</t>
        </is>
      </c>
      <c r="B114" s="5" t="n">
        <v>306</v>
      </c>
      <c r="C114" s="5" t="inlineStr">
        <is>
          <t>6: Molecular, exudate, biofilm, and treatment-response prediction</t>
        </is>
      </c>
      <c r="D114" s="5" t="inlineStr">
        <is>
          <t>Healing profiles in patients with a chronic diabetic foot ulcer: An exploratory study with machine learning</t>
        </is>
      </c>
      <c r="E114" t="inlineStr"/>
    </row>
    <row r="115">
      <c r="A115" s="5" t="inlineStr">
        <is>
          <t>S4</t>
        </is>
      </c>
      <c r="B115" s="5" t="n">
        <v>307</v>
      </c>
      <c r="C115" s="5" t="inlineStr">
        <is>
          <t>7: Recurrence, amputation, mortality, and population-level risk stratification</t>
        </is>
      </c>
      <c r="D115" s="5" t="inlineStr">
        <is>
          <t>Personalized prediction of diabetic foot ulcer recurrence in elderly individuals using machine learning paradigms</t>
        </is>
      </c>
      <c r="E115" t="inlineStr">
        <is>
          <t>10.3233/THC-248023</t>
        </is>
      </c>
    </row>
    <row r="116">
      <c r="A116" s="5" t="inlineStr">
        <is>
          <t>S4</t>
        </is>
      </c>
      <c r="B116" s="5" t="n">
        <v>308</v>
      </c>
      <c r="C116" s="5" t="inlineStr">
        <is>
          <t>7: Recurrence, amputation, mortality, and population-level risk stratification</t>
        </is>
      </c>
      <c r="D116" s="5" t="inlineStr">
        <is>
          <t>Interpretable machine learning model for predicting recurrence in patients with diabetic foot ulcers</t>
        </is>
      </c>
      <c r="E116" s="5" t="inlineStr"/>
    </row>
    <row r="117">
      <c r="A117" s="5" t="inlineStr">
        <is>
          <t>S4</t>
        </is>
      </c>
      <c r="B117" s="5" t="n">
        <v>310</v>
      </c>
      <c r="C117" s="5" t="inlineStr">
        <is>
          <t>7: Recurrence, amputation, mortality, and population-level risk stratification</t>
        </is>
      </c>
      <c r="D117" s="5" t="inlineStr">
        <is>
          <t>Toward machine-learning-based decision support in diabetes care: A risk stratification study on diabetic foot ulcer and amputation</t>
        </is>
      </c>
      <c r="E117" t="inlineStr">
        <is>
          <t>10.3389/fmed.2020.601602</t>
        </is>
      </c>
    </row>
    <row r="118">
      <c r="A118" s="5" t="inlineStr">
        <is>
          <t>S4</t>
        </is>
      </c>
      <c r="B118" s="5" t="n">
        <v>311</v>
      </c>
      <c r="C118" s="5" t="inlineStr">
        <is>
          <t>7: Recurrence, amputation, mortality, and population-level risk stratification</t>
        </is>
      </c>
      <c r="D118" s="5" t="inlineStr">
        <is>
          <t>Survival prediction in diabetic foot ulcers: a machine learning approach</t>
        </is>
      </c>
      <c r="E118" s="5" t="inlineStr">
        <is>
          <t>10.3390/jcm12185816</t>
        </is>
      </c>
    </row>
    <row r="119">
      <c r="A119" s="5" t="inlineStr">
        <is>
          <t>S4</t>
        </is>
      </c>
      <c r="B119" s="5" t="n">
        <v>312</v>
      </c>
      <c r="C119" s="5" t="inlineStr">
        <is>
          <t>7: Recurrence, amputation, mortality, and population-level risk stratification</t>
        </is>
      </c>
      <c r="D119" s="5" t="inlineStr">
        <is>
          <t>An interpreting machine learning models to predict amputation risk in patients with diabetic foot ulcers: a multi-center study</t>
        </is>
      </c>
      <c r="E119" s="5" t="inlineStr"/>
    </row>
    <row r="120">
      <c r="A120" s="5" t="inlineStr">
        <is>
          <t>S4</t>
        </is>
      </c>
      <c r="B120" s="5" t="n">
        <v>321</v>
      </c>
      <c r="C120" s="5" t="inlineStr">
        <is>
          <t>10: Biologically constrained formulation optimization</t>
        </is>
      </c>
      <c r="D120" s="5" t="inlineStr">
        <is>
          <t>Machine learning-driven optimization of therapeutic substance composition for high-hardness, fast-dissolving microneedles for androgenetic alopecia treatment</t>
        </is>
      </c>
      <c r="E120" t="inlineStr">
        <is>
          <t>10.1021/acsnano.5c05505</t>
        </is>
      </c>
    </row>
    <row r="121">
      <c r="A121" s="5" t="inlineStr">
        <is>
          <t>S4</t>
        </is>
      </c>
      <c r="B121" s="5" t="n">
        <v>330</v>
      </c>
      <c r="C121" s="5" t="inlineStr">
        <is>
          <t>9: Release-kinetic and exposure-duration optimization</t>
        </is>
      </c>
      <c r="D121" s="5" t="inlineStr">
        <is>
          <t>Automated active learning to optimize hydrogel drug release profiles</t>
        </is>
      </c>
      <c r="E121" s="5" t="inlineStr">
        <is>
          <t>10.1016/j.jconrel.2026.114602</t>
        </is>
      </c>
    </row>
    <row r="122">
      <c r="A122" s="5" t="inlineStr">
        <is>
          <t>S4</t>
        </is>
      </c>
      <c r="B122" s="5" t="n">
        <v>331</v>
      </c>
      <c r="C122" s="5" t="inlineStr">
        <is>
          <t>9: Release-kinetic and exposure-duration optimization</t>
        </is>
      </c>
      <c r="D122" s="5" t="inlineStr">
        <is>
          <t>A hybrid machine learning framework for predicting drug-release profiles, kinetics, and mechanisms of temperature-responsive hydrogels</t>
        </is>
      </c>
      <c r="E122" s="5" t="inlineStr">
        <is>
          <t>10.1007/s00289-025-05645-2</t>
        </is>
      </c>
    </row>
    <row r="123">
      <c r="A123" s="5" t="inlineStr">
        <is>
          <t>S4</t>
        </is>
      </c>
      <c r="B123" s="5" t="n">
        <v>340</v>
      </c>
      <c r="C123" s="5" t="inlineStr">
        <is>
          <t>13: Feedback-capable smart dressings with sensing and controlled release</t>
        </is>
      </c>
      <c r="D123" s="5" t="inlineStr">
        <is>
          <t>Battery‐free and wireless smart wound dressing for wound infection monitoring and electrically controlled on‐demand drug delivery</t>
        </is>
      </c>
      <c r="E123" s="5" t="inlineStr"/>
    </row>
    <row r="124">
      <c r="A124" s="5" t="inlineStr">
        <is>
          <t>S4</t>
        </is>
      </c>
      <c r="B124" s="5" t="n">
        <v>341</v>
      </c>
      <c r="C124" s="5" t="inlineStr">
        <is>
          <t>13: Feedback-capable smart dressings with sensing and controlled release</t>
        </is>
      </c>
      <c r="D124" s="5" t="inlineStr">
        <is>
          <t>A closed-loop smart dressing based on microneedle and electrochemical micropump for early diagnosis and in-time therapy of chronic wound</t>
        </is>
      </c>
      <c r="E124" t="inlineStr"/>
    </row>
    <row r="125">
      <c r="A125" s="5" t="inlineStr">
        <is>
          <t>S4</t>
        </is>
      </c>
      <c r="B125" s="5" t="n">
        <v>342</v>
      </c>
      <c r="C125" s="5" t="inlineStr">
        <is>
          <t>12: AI-enabled wound-state sensing and classification</t>
        </is>
      </c>
      <c r="D125" s="5" t="inlineStr">
        <is>
          <t>Battery-free and AI-enabled multiplexed sensor patches for wound monitoring</t>
        </is>
      </c>
      <c r="E125" t="inlineStr">
        <is>
          <t>10.1126/sciadv.adg6670</t>
        </is>
      </c>
    </row>
    <row r="126">
      <c r="A126" s="5" t="inlineStr">
        <is>
          <t>S4</t>
        </is>
      </c>
      <c r="B126" s="5" t="n">
        <v>343</v>
      </c>
      <c r="C126" s="5" t="inlineStr">
        <is>
          <t>13: Feedback-capable smart dressings with sensing and controlled release</t>
        </is>
      </c>
      <c r="D126" s="5" t="inlineStr">
        <is>
          <t>Wireless and closed‐loop smart dressing for exudate management and on‐demand treatment of chronic wounds</t>
        </is>
      </c>
      <c r="E126" s="5" t="inlineStr"/>
    </row>
    <row r="127">
      <c r="A127" s="5" t="inlineStr">
        <is>
          <t>S4</t>
        </is>
      </c>
      <c r="B127" s="5" t="n">
        <v>344</v>
      </c>
      <c r="C127" s="5" t="inlineStr">
        <is>
          <t>13: Feedback-capable smart dressings with sensing and controlled release</t>
        </is>
      </c>
      <c r="D127" s="5" t="inlineStr">
        <is>
          <t>A conducting polymer-based array with multiplex sensing and drug delivery capabilities for smart bandages</t>
        </is>
      </c>
      <c r="E127" t="inlineStr"/>
    </row>
    <row r="128">
      <c r="A128" s="5" t="inlineStr">
        <is>
          <t>S4</t>
        </is>
      </c>
      <c r="B128" s="5" t="n">
        <v>345</v>
      </c>
      <c r="C128" s="5" t="inlineStr">
        <is>
          <t>13: Feedback-capable smart dressings with sensing and controlled release</t>
        </is>
      </c>
      <c r="D128" s="5" t="inlineStr">
        <is>
          <t>Wireless matrix metalloproteinase-9 sensing by smart wound dressing with controlled antibacterial nanoparticles release toward chronic wound management</t>
        </is>
      </c>
      <c r="E128" t="inlineStr">
        <is>
          <t>10.1016/j.bios.2024.116860</t>
        </is>
      </c>
    </row>
    <row r="129">
      <c r="A129" s="5" t="inlineStr">
        <is>
          <t>S4</t>
        </is>
      </c>
      <c r="B129" s="5" t="n">
        <v>346</v>
      </c>
      <c r="C129" s="5" t="inlineStr">
        <is>
          <t>14: Wound-cue-mediated adaptive release and integrated therapeutic feedback</t>
        </is>
      </c>
      <c r="D129" s="5" t="inlineStr">
        <is>
          <t>Closed‐Loop Responsive Smart Bandages for Dynamic Monitoring and Self‐Regulated Antibacterial Therapy in Wound Healing</t>
        </is>
      </c>
      <c r="E129" s="5" t="inlineStr"/>
    </row>
    <row r="130">
      <c r="A130" s="5" t="inlineStr">
        <is>
          <t>S4</t>
        </is>
      </c>
      <c r="B130" s="5" t="n">
        <v>347</v>
      </c>
      <c r="C130" s="5" t="inlineStr">
        <is>
          <t>14: Wound-cue-mediated adaptive release and integrated therapeutic feedback</t>
        </is>
      </c>
      <c r="D130" s="5" t="inlineStr">
        <is>
          <t>A closed-loop patch based on bioinspired infection sensor for wound management</t>
        </is>
      </c>
      <c r="E130" t="inlineStr">
        <is>
          <t>10.1016/j.nantod.2024.102400</t>
        </is>
      </c>
    </row>
    <row r="131">
      <c r="A131" s="5" t="inlineStr">
        <is>
          <t>S4</t>
        </is>
      </c>
      <c r="B131" s="5" t="n">
        <v>348</v>
      </c>
      <c r="C131" s="5" t="inlineStr">
        <is>
          <t>14: Wound-cue-mediated adaptive release and integrated therapeutic feedback</t>
        </is>
      </c>
      <c r="D131" s="5" t="inlineStr">
        <is>
          <t>Injectable hydrogels with integrated Ph probes and ultrasound‐responsive microcapsules as smart wound dressings for visual monitoring and on‐demand treatment of chronic wounds</t>
        </is>
      </c>
      <c r="E131" s="5" t="inlineStr"/>
    </row>
    <row r="132">
      <c r="A132" s="5" t="inlineStr">
        <is>
          <t>S4</t>
        </is>
      </c>
      <c r="B132" s="5" t="n">
        <v>349</v>
      </c>
      <c r="C132" s="5" t="inlineStr">
        <is>
          <t>14: Wound-cue-mediated adaptive release and integrated therapeutic feedback</t>
        </is>
      </c>
      <c r="D132" s="5" t="inlineStr">
        <is>
          <t>A skin-interfaced three-dimensional closed-loop sensing and therapeutic electronic wound bandage</t>
        </is>
      </c>
      <c r="E132" t="inlineStr">
        <is>
          <t>10.1038/s41467-025-61261-8</t>
        </is>
      </c>
    </row>
    <row r="133">
      <c r="A133" s="5" t="inlineStr">
        <is>
          <t>S4</t>
        </is>
      </c>
      <c r="B133" s="5" t="n">
        <v>351</v>
      </c>
      <c r="C133" s="5" t="inlineStr">
        <is>
          <t>13: Feedback-capable smart dressings with sensing and controlled release</t>
        </is>
      </c>
      <c r="D133" s="5" t="inlineStr">
        <is>
          <t>Smart flexible electronics‐integrated wound dressing for real‐time monitoring and on‐demand treatment of infected wounds</t>
        </is>
      </c>
      <c r="E133" s="5" t="inlineStr">
        <is>
          <t>10.1002/advs.201902673</t>
        </is>
      </c>
    </row>
    <row r="134">
      <c r="A134" s="5" t="inlineStr">
        <is>
          <t>S4</t>
        </is>
      </c>
      <c r="B134" s="5" t="n">
        <v>352</v>
      </c>
      <c r="C134" s="5" t="inlineStr">
        <is>
          <t>13: Feedback-capable smart dressings with sensing and controlled release</t>
        </is>
      </c>
      <c r="D134" s="5" t="inlineStr">
        <is>
          <t>A highly stretchable smart dressing for wound infection monitoring and treatment</t>
        </is>
      </c>
      <c r="E134" s="5" t="inlineStr"/>
    </row>
    <row r="135">
      <c r="A135" s="5" t="inlineStr">
        <is>
          <t>S4</t>
        </is>
      </c>
      <c r="B135" s="5" t="n">
        <v>353</v>
      </c>
      <c r="C135" s="5" t="inlineStr">
        <is>
          <t>14: Wound-cue-mediated adaptive release and integrated therapeutic feedback</t>
        </is>
      </c>
      <c r="D135" s="5" t="inlineStr">
        <is>
          <t>Wearable, battery-free, and wireless microneedle-based bioelectronics for robustly-integrated chronic wound management and therapeutic diagnosis</t>
        </is>
      </c>
      <c r="E135" t="inlineStr"/>
    </row>
    <row r="136">
      <c r="A136" s="5" t="inlineStr">
        <is>
          <t>S5</t>
        </is>
      </c>
      <c r="B136" s="5" t="n">
        <v>356</v>
      </c>
      <c r="C136" s="5" t="inlineStr">
        <is>
          <t>2: • Scalable wound-closure and epithelial-migration screening systems</t>
        </is>
      </c>
      <c r="D136" s="5" t="inlineStr">
        <is>
          <t>Wound-on-a-chip: High-throughput 3D wound healing assay with a novel SU-8 mesh chip</t>
        </is>
      </c>
      <c r="E136" t="inlineStr"/>
    </row>
    <row r="137">
      <c r="A137" s="5" t="inlineStr">
        <is>
          <t>S5</t>
        </is>
      </c>
      <c r="B137" s="5" t="n">
        <v>357</v>
      </c>
      <c r="C137" s="5" t="inlineStr">
        <is>
          <t>2: • Scalable wound-closure and epithelial-migration screening systems</t>
        </is>
      </c>
      <c r="D137" s="5" t="inlineStr">
        <is>
          <t>High throughput microfluidic drug screening system for corneal epithelial wound healing</t>
        </is>
      </c>
      <c r="E137" t="inlineStr"/>
    </row>
    <row r="138">
      <c r="A138" s="5" t="inlineStr">
        <is>
          <t>S5</t>
        </is>
      </c>
      <c r="B138" s="5" t="n">
        <v>358</v>
      </c>
      <c r="C138" s="5" t="inlineStr">
        <is>
          <t>3: • Barrier, ECM, and phenotypic repair screening platforms</t>
        </is>
      </c>
      <c r="D138" s="5" t="inlineStr">
        <is>
          <t>Development of tight junction-strengthening compounds using a high-throughput screening system to evaluate cell surface-localized claudin-1 in keratinocytes</t>
        </is>
      </c>
      <c r="E138" t="inlineStr">
        <is>
          <t>10.1038/s41598-024-53649-1</t>
        </is>
      </c>
    </row>
    <row r="139">
      <c r="A139" s="5" t="inlineStr">
        <is>
          <t>S5</t>
        </is>
      </c>
      <c r="B139" s="5" t="n">
        <v>359</v>
      </c>
      <c r="C139" s="5" t="inlineStr">
        <is>
          <t>3: • Barrier, ECM, and phenotypic repair screening platforms</t>
        </is>
      </c>
      <c r="D139" s="5" t="inlineStr">
        <is>
          <t>Identification of a novel collagen-like peptide by high-throughput screening for effective wound-healing therapy</t>
        </is>
      </c>
      <c r="E139" s="5" t="inlineStr">
        <is>
          <t>10.1016/j.ijbiomac.2021.01.104</t>
        </is>
      </c>
    </row>
    <row r="140">
      <c r="A140" s="5" t="inlineStr">
        <is>
          <t>S5</t>
        </is>
      </c>
      <c r="B140" s="5" t="n">
        <v>360</v>
      </c>
      <c r="C140" s="5" t="inlineStr">
        <is>
          <t>4: • High-content natural-product and nanobiomaterial optimization</t>
        </is>
      </c>
      <c r="D140" s="5" t="inlineStr">
        <is>
          <t>High-throughput screening-based design of multifunctional natural polyphenol nano-vesicles to accelerate diabetic wound healing</t>
        </is>
      </c>
      <c r="E140" s="5" t="inlineStr">
        <is>
          <t>10.1186/s12951-024-02950-2</t>
        </is>
      </c>
    </row>
    <row r="141">
      <c r="A141" s="5" t="inlineStr">
        <is>
          <t>S5</t>
        </is>
      </c>
      <c r="B141" s="5" t="n">
        <v>361</v>
      </c>
      <c r="C141" s="5" t="inlineStr">
        <is>
          <t>3: • Barrier, ECM, and phenotypic repair screening platforms</t>
        </is>
      </c>
      <c r="D141" s="5" t="inlineStr">
        <is>
          <t>Phenotypic screening identifies synergistically acting natural product enhancing the performance of biomaterial based wound healing</t>
        </is>
      </c>
      <c r="E141" s="5" t="inlineStr"/>
    </row>
    <row r="142">
      <c r="A142" s="5" t="inlineStr">
        <is>
          <t>S5</t>
        </is>
      </c>
      <c r="B142" s="5" t="n">
        <v>365</v>
      </c>
      <c r="C142" s="5" t="inlineStr">
        <is>
          <t>5: • Cell-free biologic and regenerative patch screening platforms</t>
        </is>
      </c>
      <c r="D142" s="5" t="inlineStr">
        <is>
          <t>Extracellular vesicles enriched with an endothelial cell pro-survival microRNA affects skin tissue regeneration</t>
        </is>
      </c>
      <c r="E142" t="inlineStr">
        <is>
          <t>10.1016/j.omtn.2022.03.018</t>
        </is>
      </c>
    </row>
    <row r="143">
      <c r="A143" s="5" t="inlineStr">
        <is>
          <t>S5</t>
        </is>
      </c>
      <c r="B143" s="5" t="n">
        <v>366</v>
      </c>
      <c r="C143" s="5" t="inlineStr">
        <is>
          <t>5: • Cell-free biologic and regenerative patch screening platforms</t>
        </is>
      </c>
      <c r="D143" s="5" t="inlineStr">
        <is>
          <t>Exosomes derived from human amniotic epithelial cells accelerate wound healing and inhibit scar formation</t>
        </is>
      </c>
      <c r="E143" s="5" t="inlineStr"/>
    </row>
    <row r="144">
      <c r="A144" s="5" t="inlineStr">
        <is>
          <t>S5</t>
        </is>
      </c>
      <c r="B144" s="5" t="n">
        <v>367</v>
      </c>
      <c r="C144" s="5" t="inlineStr">
        <is>
          <t>5: • Cell-free biologic and regenerative patch screening platforms</t>
        </is>
      </c>
      <c r="D144" s="5" t="inlineStr">
        <is>
          <t>Exosomes derived from pioglitazone-pretreated MSCs accelerate diabetic wound healing through enhancing angiogenesis</t>
        </is>
      </c>
      <c r="E144" t="inlineStr">
        <is>
          <t>10.1186/s12951-021-00894-5</t>
        </is>
      </c>
    </row>
    <row r="145">
      <c r="A145" s="5" t="inlineStr">
        <is>
          <t>S5</t>
        </is>
      </c>
      <c r="B145" s="5" t="n">
        <v>369</v>
      </c>
      <c r="C145" s="5" t="inlineStr">
        <is>
          <t>5: • Cell-free biologic and regenerative patch screening platforms</t>
        </is>
      </c>
      <c r="D145" s="5" t="inlineStr">
        <is>
          <t>3D-bioprinted multifunctional artificial skin patches with synergistic antimicrobial-mechanoadaptive functions for accelerating infected wound healing</t>
        </is>
      </c>
      <c r="E145" s="5" t="inlineStr"/>
    </row>
    <row r="146">
      <c r="A146" s="5" t="inlineStr">
        <is>
          <t>S5</t>
        </is>
      </c>
      <c r="B146" s="5" t="n">
        <v>384</v>
      </c>
      <c r="C146" s="5" t="inlineStr">
        <is>
          <t>7: • Patient-derived vascular and endothelial dysfunction platforms</t>
        </is>
      </c>
      <c r="D146" s="5" t="inlineStr">
        <is>
          <t>Single-cell RNA-seq and bulk-seq identify RAB17 as a potential regulator of angiogenesis by human dermal microvascular endothelial cells in diabetic foot ulcers</t>
        </is>
      </c>
      <c r="E146" t="inlineStr"/>
    </row>
    <row r="147">
      <c r="A147" s="5" t="inlineStr">
        <is>
          <t>S5</t>
        </is>
      </c>
      <c r="B147" s="5" t="n">
        <v>385</v>
      </c>
      <c r="C147" s="5" t="inlineStr">
        <is>
          <t>7: • Patient-derived vascular and endothelial dysfunction platforms</t>
        </is>
      </c>
      <c r="D147" s="5" t="inlineStr">
        <is>
          <t>Modeling diabetic endothelial dysfunction with patient‐specific induced pluripotent stem cells</t>
        </is>
      </c>
      <c r="E147" t="inlineStr"/>
    </row>
    <row r="148">
      <c r="A148" s="5" t="inlineStr">
        <is>
          <t>S5</t>
        </is>
      </c>
      <c r="B148" s="5" t="n">
        <v>394</v>
      </c>
      <c r="C148" s="5" t="inlineStr">
        <is>
          <t>9: • Clinical image and trajectory-based wound digital twins</t>
        </is>
      </c>
      <c r="D148" s="5" t="inlineStr">
        <is>
          <t>Digital twin in healthcare: a study for chronic wound management</t>
        </is>
      </c>
      <c r="E148" t="inlineStr">
        <is>
          <t>10.1109/JBHI.2023.3299028</t>
        </is>
      </c>
    </row>
    <row r="149">
      <c r="A149" s="5" t="inlineStr">
        <is>
          <t>S5</t>
        </is>
      </c>
      <c r="B149" s="5" t="n">
        <v>400</v>
      </c>
      <c r="C149" s="5" t="inlineStr">
        <is>
          <t>9: • Clinical image and trajectory-based wound digital twins</t>
        </is>
      </c>
      <c r="D149" s="5" t="inlineStr">
        <is>
          <t>Interpolating and Forecasting Wound Trajectory using Machine Learning Approaches</t>
        </is>
      </c>
      <c r="E149" s="5" t="inlineStr"/>
    </row>
    <row r="150">
      <c r="A150" s="5" t="inlineStr">
        <is>
          <t>S5</t>
        </is>
      </c>
      <c r="B150" s="5" t="n">
        <v>401</v>
      </c>
      <c r="C150" s="5" t="inlineStr">
        <is>
          <t>9: • Clinical image and trajectory-based wound digital twins</t>
        </is>
      </c>
      <c r="D150" s="5" t="inlineStr">
        <is>
          <t>How quickly does a wound heal? Bayesian calibration of a mathematical model of venous leg ulcer healing</t>
        </is>
      </c>
      <c r="E150" t="inlineStr"/>
    </row>
    <row r="151">
      <c r="A151" s="5" t="inlineStr">
        <is>
          <t>S5</t>
        </is>
      </c>
      <c r="B151" s="5" t="n">
        <v>403</v>
      </c>
      <c r="C151" s="5" t="inlineStr">
        <is>
          <t>10: • Mechanistic and multiscale wound-treatment simulators</t>
        </is>
      </c>
      <c r="D151" s="5" t="inlineStr">
        <is>
          <t>Spatio-temporal multiscale cell modeling of skin wound healing</t>
        </is>
      </c>
      <c r="E151" t="inlineStr"/>
    </row>
    <row r="152">
      <c r="A152" s="5" t="inlineStr">
        <is>
          <t>S5</t>
        </is>
      </c>
      <c r="B152" s="5" t="n">
        <v>404</v>
      </c>
      <c r="C152" s="5" t="inlineStr">
        <is>
          <t>10: • Mechanistic and multiscale wound-treatment simulators</t>
        </is>
      </c>
      <c r="D152" s="5" t="inlineStr">
        <is>
          <t>Effective spatio-temporal regimes for wound treatment by way of macrophage polarization: a mathematical model</t>
        </is>
      </c>
      <c r="E152" s="5" t="inlineStr"/>
    </row>
    <row r="153">
      <c r="A153" s="5" t="inlineStr">
        <is>
          <t>S5</t>
        </is>
      </c>
      <c r="B153" s="5" t="n">
        <v>405</v>
      </c>
      <c r="C153" s="5" t="inlineStr">
        <is>
          <t>10: • Mechanistic and multiscale wound-treatment simulators</t>
        </is>
      </c>
      <c r="D153" s="5" t="inlineStr">
        <is>
          <t>Mathematical model predicts that acceleration of diabetic wound healing is dependent on spatial distribution of VEGF-A mRNA (AZD8601)</t>
        </is>
      </c>
      <c r="E153" t="inlineStr"/>
    </row>
    <row r="154">
      <c r="A154" s="5" t="inlineStr">
        <is>
          <t>S5</t>
        </is>
      </c>
      <c r="B154" s="5" t="n">
        <v>413</v>
      </c>
      <c r="C154" s="5" t="inlineStr">
        <is>
          <t>12: • Skin-on-chip and microfluidic skin testing systems for toxicity, absorption, and permeation</t>
        </is>
      </c>
      <c r="D154" s="5" t="inlineStr">
        <is>
          <t>Skin integrated with perfusable vascular channels on a chip</t>
        </is>
      </c>
      <c r="E154" t="inlineStr">
        <is>
          <t>10.1016/j.biomaterials.2016.11.031</t>
        </is>
      </c>
    </row>
    <row r="155">
      <c r="A155" s="5" t="inlineStr">
        <is>
          <t>S5</t>
        </is>
      </c>
      <c r="B155" s="5" t="n">
        <v>414</v>
      </c>
      <c r="C155" s="5" t="inlineStr">
        <is>
          <t>12: • Skin-on-chip and microfluidic skin testing systems for toxicity, absorption, and permeation</t>
        </is>
      </c>
      <c r="D155" s="5" t="inlineStr">
        <is>
          <t>Side-effect test of sorafenib using 3-D skin equivalent based on microfluidic skin-on-a-chip</t>
        </is>
      </c>
      <c r="E155" t="inlineStr"/>
    </row>
    <row r="156">
      <c r="A156" s="5" t="inlineStr">
        <is>
          <t>S5</t>
        </is>
      </c>
      <c r="B156" s="5" t="n">
        <v>423</v>
      </c>
      <c r="C156" s="5" t="inlineStr">
        <is>
          <t>12: • Skin-on-chip and microfluidic skin testing systems for toxicity, absorption, and permeation</t>
        </is>
      </c>
      <c r="D156" s="5" t="inlineStr">
        <is>
          <t>Multi-chamber microfluidic platform for high-precision skin permeation testing</t>
        </is>
      </c>
      <c r="E156" t="inlineStr"/>
    </row>
    <row r="157">
      <c r="A157" s="5" t="inlineStr">
        <is>
          <t>S5</t>
        </is>
      </c>
      <c r="B157" s="5" t="n">
        <v>427</v>
      </c>
      <c r="C157" s="5" t="inlineStr">
        <is>
          <t>13: • Biomaterial and tissue-platform standardization systems</t>
        </is>
      </c>
      <c r="D157" s="5" t="inlineStr">
        <is>
          <t>Multi-scale analysis of the composition, structure, and function of decellularized extracellular matrix for human skin and wound healing models</t>
        </is>
      </c>
      <c r="E157" t="inlineStr">
        <is>
          <t>10.3390/biom12060837</t>
        </is>
      </c>
    </row>
    <row r="158">
      <c r="A158" s="5" t="inlineStr">
        <is>
          <t>S5</t>
        </is>
      </c>
      <c r="B158" s="5" t="n">
        <v>428</v>
      </c>
      <c r="C158" s="5" t="inlineStr">
        <is>
          <t>13: • Biomaterial and tissue-platform standardization systems</t>
        </is>
      </c>
      <c r="D158" s="5" t="inlineStr">
        <is>
          <t>In vitro characterisation of 3D printed platelet lysate-based bioink for potential application in skin tissue engineering</t>
        </is>
      </c>
      <c r="E158" t="inlineStr"/>
    </row>
    <row r="159">
      <c r="A159" s="5" t="inlineStr">
        <is>
          <t>S5</t>
        </is>
      </c>
      <c r="B159" s="5" t="n">
        <v>430</v>
      </c>
      <c r="C159" s="5" t="inlineStr">
        <is>
          <t>13: • Biomaterial and tissue-platform standardization systems</t>
        </is>
      </c>
      <c r="D159" s="5" t="inlineStr">
        <is>
          <t>Environmentally controlled microfluidic system enabling immune cell flow and activation in an endothelialised skin‐on‐chip</t>
        </is>
      </c>
      <c r="E159" s="5" t="inlineStr"/>
    </row>
    <row r="160">
      <c r="A160" s="5" t="inlineStr">
        <is>
          <t>S5</t>
        </is>
      </c>
      <c r="B160" s="5" t="n">
        <v>432</v>
      </c>
      <c r="C160" s="5" t="inlineStr">
        <is>
          <t>13: • Biomaterial and tissue-platform standardization systems</t>
        </is>
      </c>
      <c r="D160" s="5" t="inlineStr">
        <is>
          <t>Optimization and Standardization of Stable De-Epidermized Dermis (DED) Models for Functional Evaluation of Cutaneous Cell Therapies</t>
        </is>
      </c>
      <c r="E160" t="inlineStr"/>
    </row>
    <row r="161">
      <c r="A161" s="5" t="inlineStr">
        <is>
          <t>S5</t>
        </is>
      </c>
      <c r="B161" s="5" t="n">
        <v>451</v>
      </c>
      <c r="C161" s="5" t="inlineStr">
        <is>
          <t>14: • AI-assisted wound endpoint standardization for clinical and preclinical studies</t>
        </is>
      </c>
      <c r="D161" s="5" t="inlineStr">
        <is>
          <t>Towards objective In-Vitro wound healing assessment with segment anything: A large evaluation of interactive and automated pipelines</t>
        </is>
      </c>
      <c r="E161" t="inlineStr">
        <is>
          <t>10.1016/j.cmpbup.2025.100224</t>
        </is>
      </c>
    </row>
    <row r="162">
      <c r="A162" s="5" t="inlineStr">
        <is>
          <t>S5</t>
        </is>
      </c>
      <c r="B162" s="5" t="n">
        <v>452</v>
      </c>
      <c r="C162" s="5" t="inlineStr">
        <is>
          <t>14: • AI-assisted wound endpoint standardization for clinical and preclinical studies</t>
        </is>
      </c>
      <c r="D162" s="5" t="inlineStr">
        <is>
          <t>Development of a method for clinical evaluation of artificial intelligence–based digital wound assessment tools</t>
        </is>
      </c>
      <c r="E162" s="5" t="inlineStr"/>
    </row>
    <row r="163">
      <c r="A163" s="5" t="inlineStr">
        <is>
          <t>S5</t>
        </is>
      </c>
      <c r="B163" s="5" t="n">
        <v>453</v>
      </c>
      <c r="C163" s="5" t="inlineStr">
        <is>
          <t>14: • AI-assisted wound endpoint standardization for clinical and preclinical studies</t>
        </is>
      </c>
      <c r="D163" s="5" t="inlineStr">
        <is>
          <t>Automatic wound detection and size estimation using deep learning algorithms</t>
        </is>
      </c>
      <c r="E163" t="inlineStr"/>
    </row>
    <row r="164">
      <c r="A164" s="5" t="inlineStr">
        <is>
          <t>S5</t>
        </is>
      </c>
      <c r="B164" s="5" t="n">
        <v>454</v>
      </c>
      <c r="C164" s="5" t="inlineStr">
        <is>
          <t>14: • AI-assisted wound endpoint standardization for clinical and preclinical studies</t>
        </is>
      </c>
      <c r="D164" s="5" t="inlineStr">
        <is>
          <t>Convolutional Neural Networks in Chronic Wound Segmentation and Tissue Classification Using Real‐World Images</t>
        </is>
      </c>
      <c r="E164" t="inlineStr"/>
    </row>
    <row r="165">
      <c r="A165" s="5" t="inlineStr">
        <is>
          <t>S5</t>
        </is>
      </c>
      <c r="B165" s="5" t="n">
        <v>460</v>
      </c>
      <c r="C165" s="5" t="inlineStr">
        <is>
          <t>14: • AI-assisted wound endpoint standardization for clinical and preclinical studies</t>
        </is>
      </c>
      <c r="D165" s="5" t="inlineStr">
        <is>
          <t>Enhancing chronic wound assessment through agreement analysis and tissue segmentation</t>
        </is>
      </c>
      <c r="E165" t="inlineStr"/>
    </row>
    <row r="166">
      <c r="A166" s="5" t="inlineStr">
        <is>
          <t>S5</t>
        </is>
      </c>
      <c r="B166" s="5" t="n">
        <v>468</v>
      </c>
      <c r="C166" s="5" t="inlineStr">
        <is>
          <t>16: • Wearable infection and wound-state monitoring systems</t>
        </is>
      </c>
      <c r="D166" s="5" t="inlineStr">
        <is>
          <t>Wearable battery-free smart bandage with peptide functionalized biosensors based on MXene for bacterial wound infection detection</t>
        </is>
      </c>
      <c r="E166" s="5" t="inlineStr">
        <is>
          <t>10.1016/j.snb.2023.133598</t>
        </is>
      </c>
    </row>
    <row r="167">
      <c r="A167" s="5" t="inlineStr">
        <is>
          <t>S5</t>
        </is>
      </c>
      <c r="B167" s="5" t="n">
        <v>469</v>
      </c>
      <c r="C167" s="5" t="inlineStr">
        <is>
          <t>16: • Wearable infection and wound-state monitoring systems</t>
        </is>
      </c>
      <c r="D167" s="5" t="inlineStr">
        <is>
          <t>In vivo validation of a smart sensor-enabled dressing for remote wound monitoring</t>
        </is>
      </c>
      <c r="E167" t="inlineStr"/>
    </row>
    <row r="168">
      <c r="A168" s="5" t="inlineStr">
        <is>
          <t>S5</t>
        </is>
      </c>
      <c r="B168" s="5" t="n">
        <v>470</v>
      </c>
      <c r="C168" s="5" t="inlineStr">
        <is>
          <t>16: • Wearable infection and wound-state monitoring systems</t>
        </is>
      </c>
      <c r="D168" s="5" t="inlineStr">
        <is>
          <t>Smart dual‐sensor wound dressing for monitoring cutaneous wounds</t>
        </is>
      </c>
      <c r="E168" t="inlineStr"/>
    </row>
    <row r="169">
      <c r="A169" s="5" t="inlineStr">
        <is>
          <t>S5</t>
        </is>
      </c>
      <c r="B169" s="5" t="n">
        <v>474</v>
      </c>
      <c r="C169" s="5" t="inlineStr">
        <is>
          <t>17: • Closed-loop bioelectronic wound-management platforms</t>
        </is>
      </c>
      <c r="D169" s="5" t="inlineStr">
        <is>
          <t>Wireless intelligent patch for closed‐loop in situ wound management</t>
        </is>
      </c>
      <c r="E169" t="inlineStr">
        <is>
          <t>10.1002/advs.202400451</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365"/>
  <sheetViews>
    <sheetView showGridLines="0" workbookViewId="0">
      <selection activeCell="A1" sqref="A1"/>
    </sheetView>
  </sheetViews>
  <sheetFormatPr baseColWidth="8" defaultRowHeight="15"/>
  <cols>
    <col width="16.7109375" customWidth="1" min="1" max="1"/>
    <col width="15.7109375" customWidth="1" min="2" max="2"/>
    <col width="63.7109375" customWidth="1" min="3" max="3"/>
  </cols>
  <sheetData>
    <row r="1">
      <c r="A1" s="2" t="inlineStr">
        <is>
          <t>Figure</t>
        </is>
      </c>
      <c r="B1" s="2" t="inlineStr">
        <is>
          <t>Main ref</t>
        </is>
      </c>
      <c r="C1" s="2" t="inlineStr">
        <is>
          <t>Group</t>
        </is>
      </c>
    </row>
    <row r="2">
      <c r="A2" s="5" t="inlineStr">
        <is>
          <t>S1</t>
        </is>
      </c>
      <c r="B2" s="6" t="n">
        <v>105</v>
      </c>
      <c r="C2" s="5" t="inlineStr">
        <is>
          <t>2D early screening models</t>
        </is>
      </c>
    </row>
    <row r="3">
      <c r="A3" s="5" t="inlineStr">
        <is>
          <t>S1</t>
        </is>
      </c>
      <c r="B3" s="6" t="n">
        <v>106</v>
      </c>
      <c r="C3" s="5" t="inlineStr">
        <is>
          <t>2D early screening models</t>
        </is>
      </c>
    </row>
    <row r="4">
      <c r="A4" s="5" t="inlineStr">
        <is>
          <t>S1</t>
        </is>
      </c>
      <c r="B4" s="6" t="n">
        <v>107</v>
      </c>
      <c r="C4" s="5" t="inlineStr">
        <is>
          <t>2D early screening models</t>
        </is>
      </c>
    </row>
    <row r="5">
      <c r="A5" s="5" t="inlineStr">
        <is>
          <t>S1</t>
        </is>
      </c>
      <c r="B5" s="6" t="n">
        <v>108</v>
      </c>
      <c r="C5" s="5" t="inlineStr">
        <is>
          <t>2D early screening models</t>
        </is>
      </c>
    </row>
    <row r="6">
      <c r="A6" s="5" t="inlineStr">
        <is>
          <t>S1</t>
        </is>
      </c>
      <c r="B6" s="6" t="n">
        <v>109</v>
      </c>
      <c r="C6" s="5" t="inlineStr">
        <is>
          <t>2D early screening models</t>
        </is>
      </c>
    </row>
    <row r="7">
      <c r="A7" s="5" t="inlineStr">
        <is>
          <t>S1</t>
        </is>
      </c>
      <c r="B7" s="6" t="n">
        <v>110</v>
      </c>
      <c r="C7" s="5" t="inlineStr">
        <is>
          <t>3D epidermal models</t>
        </is>
      </c>
    </row>
    <row r="8">
      <c r="A8" s="5" t="inlineStr">
        <is>
          <t>S1</t>
        </is>
      </c>
      <c r="B8" s="6" t="n">
        <v>111</v>
      </c>
      <c r="C8" s="5" t="inlineStr">
        <is>
          <t>3D epidermal models</t>
        </is>
      </c>
    </row>
    <row r="9">
      <c r="A9" s="5" t="inlineStr">
        <is>
          <t>S1</t>
        </is>
      </c>
      <c r="B9" s="6" t="n">
        <v>112</v>
      </c>
      <c r="C9" s="5" t="inlineStr">
        <is>
          <t>3D epidermal models</t>
        </is>
      </c>
    </row>
    <row r="10">
      <c r="A10" s="5" t="inlineStr">
        <is>
          <t>S1</t>
        </is>
      </c>
      <c r="B10" s="6" t="n">
        <v>115</v>
      </c>
      <c r="C10" s="5" t="inlineStr">
        <is>
          <t>3D epidermal models</t>
        </is>
      </c>
    </row>
    <row r="11">
      <c r="A11" s="5" t="inlineStr">
        <is>
          <t>S1</t>
        </is>
      </c>
      <c r="B11" s="6" t="n">
        <v>118</v>
      </c>
      <c r="C11" s="5" t="inlineStr">
        <is>
          <t>3D wound models</t>
        </is>
      </c>
    </row>
    <row r="12">
      <c r="A12" s="5" t="inlineStr">
        <is>
          <t>S1</t>
        </is>
      </c>
      <c r="B12" s="6" t="n">
        <v>119</v>
      </c>
      <c r="C12" s="5" t="inlineStr">
        <is>
          <t>3D epidermal models</t>
        </is>
      </c>
    </row>
    <row r="13">
      <c r="A13" s="5" t="inlineStr">
        <is>
          <t>S1</t>
        </is>
      </c>
      <c r="B13" s="6" t="n">
        <v>122</v>
      </c>
      <c r="C13" s="5" t="inlineStr">
        <is>
          <t>3D wound models</t>
        </is>
      </c>
    </row>
    <row r="14">
      <c r="A14" s="5" t="inlineStr">
        <is>
          <t>S1</t>
        </is>
      </c>
      <c r="B14" s="6" t="n">
        <v>123</v>
      </c>
      <c r="C14" s="5" t="inlineStr">
        <is>
          <t>3D wound models</t>
        </is>
      </c>
    </row>
    <row r="15">
      <c r="A15" s="5" t="inlineStr">
        <is>
          <t>S1</t>
        </is>
      </c>
      <c r="B15" s="6" t="n">
        <v>124</v>
      </c>
      <c r="C15" s="5" t="inlineStr">
        <is>
          <t>3D wound models</t>
        </is>
      </c>
    </row>
    <row r="16">
      <c r="A16" s="5" t="inlineStr">
        <is>
          <t>S1</t>
        </is>
      </c>
      <c r="B16" s="6" t="n">
        <v>125</v>
      </c>
      <c r="C16" s="5" t="inlineStr">
        <is>
          <t>3D wound models</t>
        </is>
      </c>
    </row>
    <row r="17">
      <c r="A17" s="5" t="inlineStr">
        <is>
          <t>S1</t>
        </is>
      </c>
      <c r="B17" s="6" t="n">
        <v>126</v>
      </c>
      <c r="C17" s="5" t="inlineStr">
        <is>
          <t>3D wound models</t>
        </is>
      </c>
    </row>
    <row r="18">
      <c r="A18" s="5" t="inlineStr">
        <is>
          <t>S1</t>
        </is>
      </c>
      <c r="B18" s="6" t="n">
        <v>128</v>
      </c>
      <c r="C18" s="5" t="inlineStr">
        <is>
          <t>Bioprinted models</t>
        </is>
      </c>
    </row>
    <row r="19">
      <c r="A19" s="5" t="inlineStr">
        <is>
          <t>S1</t>
        </is>
      </c>
      <c r="B19" s="6" t="n">
        <v>129</v>
      </c>
      <c r="C19" s="5" t="inlineStr">
        <is>
          <t>Bioprinted models</t>
        </is>
      </c>
    </row>
    <row r="20">
      <c r="A20" s="5" t="inlineStr">
        <is>
          <t>S1</t>
        </is>
      </c>
      <c r="B20" s="6" t="n">
        <v>130</v>
      </c>
      <c r="C20" s="5" t="inlineStr">
        <is>
          <t>Bioprinted models</t>
        </is>
      </c>
    </row>
    <row r="21">
      <c r="A21" s="5" t="inlineStr">
        <is>
          <t>S1</t>
        </is>
      </c>
      <c r="B21" s="6" t="n">
        <v>131</v>
      </c>
      <c r="C21" s="5" t="inlineStr">
        <is>
          <t>3D wound models</t>
        </is>
      </c>
    </row>
    <row r="22">
      <c r="A22" s="5" t="inlineStr">
        <is>
          <t>S1</t>
        </is>
      </c>
      <c r="B22" s="6" t="n">
        <v>132</v>
      </c>
      <c r="C22" s="5" t="inlineStr">
        <is>
          <t>Bioprinted models</t>
        </is>
      </c>
    </row>
    <row r="23">
      <c r="A23" s="5" t="inlineStr">
        <is>
          <t>S1</t>
        </is>
      </c>
      <c r="B23" s="6" t="n">
        <v>133</v>
      </c>
      <c r="C23" s="5" t="inlineStr">
        <is>
          <t>Bioprinted models</t>
        </is>
      </c>
    </row>
    <row r="24">
      <c r="A24" s="5" t="inlineStr">
        <is>
          <t>S1</t>
        </is>
      </c>
      <c r="B24" s="6" t="n">
        <v>134</v>
      </c>
      <c r="C24" s="5" t="inlineStr">
        <is>
          <t>Bioprinted models</t>
        </is>
      </c>
    </row>
    <row r="25">
      <c r="A25" s="5" t="inlineStr">
        <is>
          <t>S1</t>
        </is>
      </c>
      <c r="B25" s="6" t="n">
        <v>136</v>
      </c>
      <c r="C25" s="5" t="inlineStr">
        <is>
          <t>Bioprinted models</t>
        </is>
      </c>
    </row>
    <row r="26">
      <c r="A26" s="5" t="inlineStr">
        <is>
          <t>S1</t>
        </is>
      </c>
      <c r="B26" s="6" t="n">
        <v>137</v>
      </c>
      <c r="C26" s="5" t="inlineStr">
        <is>
          <t>Bioprinted models</t>
        </is>
      </c>
    </row>
    <row r="27">
      <c r="A27" s="5" t="inlineStr">
        <is>
          <t>S1</t>
        </is>
      </c>
      <c r="B27" s="6" t="n">
        <v>138</v>
      </c>
      <c r="C27" s="5" t="inlineStr">
        <is>
          <t>Bioprinted models</t>
        </is>
      </c>
    </row>
    <row r="28">
      <c r="A28" s="5" t="inlineStr">
        <is>
          <t>S1</t>
        </is>
      </c>
      <c r="B28" s="6" t="n">
        <v>140</v>
      </c>
      <c r="C28" s="5" t="inlineStr">
        <is>
          <t>3D wound models</t>
        </is>
      </c>
    </row>
    <row r="29">
      <c r="A29" s="5" t="inlineStr">
        <is>
          <t>S1</t>
        </is>
      </c>
      <c r="B29" s="6" t="n">
        <v>142</v>
      </c>
      <c r="C29" s="5" t="inlineStr">
        <is>
          <t>Bioprinted models</t>
        </is>
      </c>
    </row>
    <row r="30">
      <c r="A30" s="5" t="inlineStr">
        <is>
          <t>S2</t>
        </is>
      </c>
      <c r="B30" s="6" t="n">
        <v>105</v>
      </c>
      <c r="C30" s="5" t="inlineStr">
        <is>
          <t>2D early screening models</t>
        </is>
      </c>
    </row>
    <row r="31">
      <c r="A31" s="5" t="inlineStr">
        <is>
          <t>S2</t>
        </is>
      </c>
      <c r="B31" s="6" t="n">
        <v>106</v>
      </c>
      <c r="C31" s="5" t="inlineStr">
        <is>
          <t>2D early screening models</t>
        </is>
      </c>
    </row>
    <row r="32">
      <c r="A32" s="5" t="inlineStr">
        <is>
          <t>S2</t>
        </is>
      </c>
      <c r="B32" s="6" t="n">
        <v>107</v>
      </c>
      <c r="C32" s="5" t="inlineStr">
        <is>
          <t>2D early screening models</t>
        </is>
      </c>
    </row>
    <row r="33">
      <c r="A33" s="5" t="inlineStr">
        <is>
          <t>S2</t>
        </is>
      </c>
      <c r="B33" s="6" t="n">
        <v>108</v>
      </c>
      <c r="C33" s="5" t="inlineStr">
        <is>
          <t>2D early screening models</t>
        </is>
      </c>
    </row>
    <row r="34">
      <c r="A34" s="5" t="inlineStr">
        <is>
          <t>S2</t>
        </is>
      </c>
      <c r="B34" s="6" t="n">
        <v>109</v>
      </c>
      <c r="C34" s="5" t="inlineStr">
        <is>
          <t>2D early screening models</t>
        </is>
      </c>
    </row>
    <row r="35">
      <c r="A35" s="5" t="inlineStr">
        <is>
          <t>S2</t>
        </is>
      </c>
      <c r="B35" s="6" t="n">
        <v>110</v>
      </c>
      <c r="C35" s="5" t="inlineStr">
        <is>
          <t>3D epidermal models</t>
        </is>
      </c>
    </row>
    <row r="36">
      <c r="A36" s="5" t="inlineStr">
        <is>
          <t>S2</t>
        </is>
      </c>
      <c r="B36" s="6" t="n">
        <v>111</v>
      </c>
      <c r="C36" s="5" t="inlineStr">
        <is>
          <t>3D epidermal models</t>
        </is>
      </c>
    </row>
    <row r="37">
      <c r="A37" s="5" t="inlineStr">
        <is>
          <t>S2</t>
        </is>
      </c>
      <c r="B37" s="6" t="n">
        <v>112</v>
      </c>
      <c r="C37" s="5" t="inlineStr">
        <is>
          <t>3D epidermal models</t>
        </is>
      </c>
    </row>
    <row r="38">
      <c r="A38" s="5" t="inlineStr">
        <is>
          <t>S2</t>
        </is>
      </c>
      <c r="B38" s="6" t="n">
        <v>115</v>
      </c>
      <c r="C38" s="5" t="inlineStr">
        <is>
          <t>3D epidermal models</t>
        </is>
      </c>
    </row>
    <row r="39">
      <c r="A39" s="5" t="inlineStr">
        <is>
          <t>S2</t>
        </is>
      </c>
      <c r="B39" s="6" t="n">
        <v>118</v>
      </c>
      <c r="C39" s="5" t="inlineStr">
        <is>
          <t>3D wound models</t>
        </is>
      </c>
    </row>
    <row r="40">
      <c r="A40" s="5" t="inlineStr">
        <is>
          <t>S2</t>
        </is>
      </c>
      <c r="B40" s="6" t="n">
        <v>119</v>
      </c>
      <c r="C40" s="5" t="inlineStr">
        <is>
          <t>3D epidermal models</t>
        </is>
      </c>
    </row>
    <row r="41">
      <c r="A41" s="5" t="inlineStr">
        <is>
          <t>S2</t>
        </is>
      </c>
      <c r="B41" s="6" t="n">
        <v>122</v>
      </c>
      <c r="C41" s="5" t="inlineStr">
        <is>
          <t>3D wound models</t>
        </is>
      </c>
    </row>
    <row r="42">
      <c r="A42" s="5" t="inlineStr">
        <is>
          <t>S2</t>
        </is>
      </c>
      <c r="B42" s="6" t="n">
        <v>123</v>
      </c>
      <c r="C42" s="5" t="inlineStr">
        <is>
          <t>3D wound models</t>
        </is>
      </c>
    </row>
    <row r="43">
      <c r="A43" s="5" t="inlineStr">
        <is>
          <t>S2</t>
        </is>
      </c>
      <c r="B43" s="6" t="n">
        <v>124</v>
      </c>
      <c r="C43" s="5" t="inlineStr">
        <is>
          <t>3D wound models</t>
        </is>
      </c>
    </row>
    <row r="44">
      <c r="A44" s="5" t="inlineStr">
        <is>
          <t>S2</t>
        </is>
      </c>
      <c r="B44" s="6" t="n">
        <v>125</v>
      </c>
      <c r="C44" s="5" t="inlineStr">
        <is>
          <t>3D wound models</t>
        </is>
      </c>
    </row>
    <row r="45">
      <c r="A45" s="5" t="inlineStr">
        <is>
          <t>S2</t>
        </is>
      </c>
      <c r="B45" s="6" t="n">
        <v>126</v>
      </c>
      <c r="C45" s="5" t="inlineStr">
        <is>
          <t>3D wound models</t>
        </is>
      </c>
    </row>
    <row r="46">
      <c r="A46" s="5" t="inlineStr">
        <is>
          <t>S2</t>
        </is>
      </c>
      <c r="B46" s="6" t="n">
        <v>128</v>
      </c>
      <c r="C46" s="5" t="inlineStr">
        <is>
          <t>Bioprinted models</t>
        </is>
      </c>
    </row>
    <row r="47">
      <c r="A47" s="5" t="inlineStr">
        <is>
          <t>S2</t>
        </is>
      </c>
      <c r="B47" s="6" t="n">
        <v>129</v>
      </c>
      <c r="C47" s="5" t="inlineStr">
        <is>
          <t>Bioprinted models</t>
        </is>
      </c>
    </row>
    <row r="48">
      <c r="A48" s="5" t="inlineStr">
        <is>
          <t>S2</t>
        </is>
      </c>
      <c r="B48" s="6" t="n">
        <v>130</v>
      </c>
      <c r="C48" s="5" t="inlineStr">
        <is>
          <t>Bioprinted models</t>
        </is>
      </c>
    </row>
    <row r="49">
      <c r="A49" s="5" t="inlineStr">
        <is>
          <t>S2</t>
        </is>
      </c>
      <c r="B49" s="6" t="n">
        <v>131</v>
      </c>
      <c r="C49" s="5" t="inlineStr">
        <is>
          <t>3D wound models</t>
        </is>
      </c>
    </row>
    <row r="50">
      <c r="A50" s="5" t="inlineStr">
        <is>
          <t>S2</t>
        </is>
      </c>
      <c r="B50" s="6" t="n">
        <v>132</v>
      </c>
      <c r="C50" s="5" t="inlineStr">
        <is>
          <t>Bioprinted models</t>
        </is>
      </c>
    </row>
    <row r="51">
      <c r="A51" s="5" t="inlineStr">
        <is>
          <t>S2</t>
        </is>
      </c>
      <c r="B51" s="6" t="n">
        <v>133</v>
      </c>
      <c r="C51" s="5" t="inlineStr">
        <is>
          <t>Bioprinted models</t>
        </is>
      </c>
    </row>
    <row r="52">
      <c r="A52" s="5" t="inlineStr">
        <is>
          <t>S2</t>
        </is>
      </c>
      <c r="B52" s="6" t="n">
        <v>134</v>
      </c>
      <c r="C52" s="5" t="inlineStr">
        <is>
          <t>Bioprinted models</t>
        </is>
      </c>
    </row>
    <row r="53">
      <c r="A53" s="5" t="inlineStr">
        <is>
          <t>S2</t>
        </is>
      </c>
      <c r="B53" s="6" t="n">
        <v>136</v>
      </c>
      <c r="C53" s="5" t="inlineStr">
        <is>
          <t>Bioprinted models</t>
        </is>
      </c>
    </row>
    <row r="54">
      <c r="A54" s="5" t="inlineStr">
        <is>
          <t>S2</t>
        </is>
      </c>
      <c r="B54" s="6" t="n">
        <v>137</v>
      </c>
      <c r="C54" s="5" t="inlineStr">
        <is>
          <t>Bioprinted models</t>
        </is>
      </c>
    </row>
    <row r="55">
      <c r="A55" s="5" t="inlineStr">
        <is>
          <t>S2</t>
        </is>
      </c>
      <c r="B55" s="6" t="n">
        <v>138</v>
      </c>
      <c r="C55" s="5" t="inlineStr">
        <is>
          <t>Bioprinted models</t>
        </is>
      </c>
    </row>
    <row r="56">
      <c r="A56" s="5" t="inlineStr">
        <is>
          <t>S2</t>
        </is>
      </c>
      <c r="B56" s="6" t="n">
        <v>140</v>
      </c>
      <c r="C56" s="5" t="inlineStr">
        <is>
          <t>3D wound models</t>
        </is>
      </c>
    </row>
    <row r="57">
      <c r="A57" s="5" t="inlineStr">
        <is>
          <t>S2</t>
        </is>
      </c>
      <c r="B57" s="6" t="n">
        <v>142</v>
      </c>
      <c r="C57" s="5" t="inlineStr">
        <is>
          <t>Bioprinted models</t>
        </is>
      </c>
    </row>
    <row r="58">
      <c r="A58" s="5" t="inlineStr">
        <is>
          <t>S3</t>
        </is>
      </c>
      <c r="B58" s="6" t="n">
        <v>58</v>
      </c>
      <c r="C58" s="5" t="inlineStr">
        <is>
          <t>Disease/immune programming</t>
        </is>
      </c>
    </row>
    <row r="59">
      <c r="A59" s="5" t="inlineStr">
        <is>
          <t>S3</t>
        </is>
      </c>
      <c r="B59" s="6" t="n">
        <v>101</v>
      </c>
      <c r="C59" s="5" t="inlineStr">
        <is>
          <t>Wound-state sensing</t>
        </is>
      </c>
    </row>
    <row r="60">
      <c r="A60" s="5" t="inlineStr">
        <is>
          <t>S3</t>
        </is>
      </c>
      <c r="B60" s="6" t="n">
        <v>155</v>
      </c>
      <c r="C60" s="5" t="inlineStr">
        <is>
          <t>Controlled microfluidic perturbation</t>
        </is>
      </c>
    </row>
    <row r="61">
      <c r="A61" s="5" t="inlineStr">
        <is>
          <t>S3</t>
        </is>
      </c>
      <c r="B61" s="6" t="n">
        <v>158</v>
      </c>
      <c r="C61" s="5" t="inlineStr">
        <is>
          <t>Controlled microfluidic perturbation</t>
        </is>
      </c>
    </row>
    <row r="62">
      <c r="A62" s="5" t="inlineStr">
        <is>
          <t>S3</t>
        </is>
      </c>
      <c r="B62" s="6" t="n">
        <v>159</v>
      </c>
      <c r="C62" s="5" t="inlineStr">
        <is>
          <t>Controlled microfluidic perturbation</t>
        </is>
      </c>
    </row>
    <row r="63">
      <c r="A63" s="5" t="inlineStr">
        <is>
          <t>S3</t>
        </is>
      </c>
      <c r="B63" s="6" t="n">
        <v>164</v>
      </c>
      <c r="C63" s="5" t="inlineStr">
        <is>
          <t>Controlled microfluidic perturbation</t>
        </is>
      </c>
    </row>
    <row r="64">
      <c r="A64" s="5" t="inlineStr">
        <is>
          <t>S3</t>
        </is>
      </c>
      <c r="B64" s="6" t="n">
        <v>166</v>
      </c>
      <c r="C64" s="5" t="inlineStr">
        <is>
          <t>Barrier/permeation exposure</t>
        </is>
      </c>
    </row>
    <row r="65">
      <c r="A65" s="5" t="inlineStr">
        <is>
          <t>S3</t>
        </is>
      </c>
      <c r="B65" s="6" t="n">
        <v>169</v>
      </c>
      <c r="C65" s="5" t="inlineStr">
        <is>
          <t>Disease/immune programming</t>
        </is>
      </c>
    </row>
    <row r="66">
      <c r="A66" s="5" t="inlineStr">
        <is>
          <t>S3</t>
        </is>
      </c>
      <c r="B66" s="6" t="n">
        <v>181</v>
      </c>
      <c r="C66" s="5" t="inlineStr">
        <is>
          <t>Barrier/permeation exposure</t>
        </is>
      </c>
    </row>
    <row r="67">
      <c r="A67" s="5" t="inlineStr">
        <is>
          <t>S3</t>
        </is>
      </c>
      <c r="B67" s="6" t="n">
        <v>182</v>
      </c>
      <c r="C67" s="5" t="inlineStr">
        <is>
          <t>Wound-state sensing</t>
        </is>
      </c>
    </row>
    <row r="68">
      <c r="A68" s="5" t="inlineStr">
        <is>
          <t>S3</t>
        </is>
      </c>
      <c r="B68" s="6" t="n">
        <v>183</v>
      </c>
      <c r="C68" s="5" t="inlineStr">
        <is>
          <t>Wound-state sensing</t>
        </is>
      </c>
    </row>
    <row r="69">
      <c r="A69" s="5" t="inlineStr">
        <is>
          <t>S3</t>
        </is>
      </c>
      <c r="B69" s="6" t="n">
        <v>187</v>
      </c>
      <c r="C69" s="5" t="inlineStr">
        <is>
          <t>Closed-loop therapy</t>
        </is>
      </c>
    </row>
    <row r="70">
      <c r="A70" s="5" t="inlineStr">
        <is>
          <t>S3</t>
        </is>
      </c>
      <c r="B70" s="6" t="n">
        <v>188</v>
      </c>
      <c r="C70" s="5" t="inlineStr">
        <is>
          <t>Closed-loop therapy</t>
        </is>
      </c>
    </row>
    <row r="71">
      <c r="A71" s="5" t="inlineStr">
        <is>
          <t>S3</t>
        </is>
      </c>
      <c r="B71" s="6" t="n">
        <v>192</v>
      </c>
      <c r="C71" s="5" t="inlineStr">
        <is>
          <t>Barrier/permeation exposure</t>
        </is>
      </c>
    </row>
    <row r="72">
      <c r="A72" s="5" t="inlineStr">
        <is>
          <t>S3</t>
        </is>
      </c>
      <c r="B72" s="6" t="n">
        <v>193</v>
      </c>
      <c r="C72" s="5" t="inlineStr">
        <is>
          <t>Barrier/permeation exposure</t>
        </is>
      </c>
    </row>
    <row r="73">
      <c r="A73" s="5" t="inlineStr">
        <is>
          <t>S3</t>
        </is>
      </c>
      <c r="B73" s="6" t="n">
        <v>194</v>
      </c>
      <c r="C73" s="5" t="inlineStr">
        <is>
          <t>Barrier/permeation exposure</t>
        </is>
      </c>
    </row>
    <row r="74">
      <c r="A74" s="5" t="inlineStr">
        <is>
          <t>S3</t>
        </is>
      </c>
      <c r="B74" s="6" t="n">
        <v>195</v>
      </c>
      <c r="C74" s="5" t="inlineStr">
        <is>
          <t>Barrier/permeation exposure</t>
        </is>
      </c>
    </row>
    <row r="75">
      <c r="A75" s="5" t="inlineStr">
        <is>
          <t>S3</t>
        </is>
      </c>
      <c r="B75" s="6" t="n">
        <v>196</v>
      </c>
      <c r="C75" s="5" t="inlineStr">
        <is>
          <t>Disease/immune programming</t>
        </is>
      </c>
    </row>
    <row r="76">
      <c r="A76" s="5" t="inlineStr">
        <is>
          <t>S3</t>
        </is>
      </c>
      <c r="B76" s="6" t="n">
        <v>197</v>
      </c>
      <c r="C76" s="5" t="inlineStr">
        <is>
          <t>Disease/immune programming</t>
        </is>
      </c>
    </row>
    <row r="77">
      <c r="A77" s="5" t="inlineStr">
        <is>
          <t>S3</t>
        </is>
      </c>
      <c r="B77" s="6" t="n">
        <v>198</v>
      </c>
      <c r="C77" s="5" t="inlineStr">
        <is>
          <t>Disease/immune programming</t>
        </is>
      </c>
    </row>
    <row r="78">
      <c r="A78" s="5" t="inlineStr">
        <is>
          <t>S4</t>
        </is>
      </c>
      <c r="B78" s="6" t="n">
        <v>58</v>
      </c>
      <c r="C78" s="5" t="inlineStr">
        <is>
          <t>Disease/immune programming</t>
        </is>
      </c>
    </row>
    <row r="79">
      <c r="A79" s="5" t="inlineStr">
        <is>
          <t>S4</t>
        </is>
      </c>
      <c r="B79" s="6" t="n">
        <v>101</v>
      </c>
      <c r="C79" s="5" t="inlineStr">
        <is>
          <t>Wound-state sensing</t>
        </is>
      </c>
    </row>
    <row r="80">
      <c r="A80" s="5" t="inlineStr">
        <is>
          <t>S4</t>
        </is>
      </c>
      <c r="B80" s="6" t="n">
        <v>155</v>
      </c>
      <c r="C80" s="5" t="inlineStr">
        <is>
          <t>Controlled microfluidic perturbation</t>
        </is>
      </c>
    </row>
    <row r="81">
      <c r="A81" s="5" t="inlineStr">
        <is>
          <t>S4</t>
        </is>
      </c>
      <c r="B81" s="6" t="n">
        <v>158</v>
      </c>
      <c r="C81" s="5" t="inlineStr">
        <is>
          <t>Controlled microfluidic perturbation</t>
        </is>
      </c>
    </row>
    <row r="82">
      <c r="A82" s="5" t="inlineStr">
        <is>
          <t>S4</t>
        </is>
      </c>
      <c r="B82" s="6" t="n">
        <v>159</v>
      </c>
      <c r="C82" s="5" t="inlineStr">
        <is>
          <t>Controlled microfluidic perturbation</t>
        </is>
      </c>
    </row>
    <row r="83">
      <c r="A83" s="5" t="inlineStr">
        <is>
          <t>S4</t>
        </is>
      </c>
      <c r="B83" s="6" t="n">
        <v>164</v>
      </c>
      <c r="C83" s="5" t="inlineStr">
        <is>
          <t>Controlled microfluidic perturbation</t>
        </is>
      </c>
    </row>
    <row r="84">
      <c r="A84" s="5" t="inlineStr">
        <is>
          <t>S4</t>
        </is>
      </c>
      <c r="B84" s="6" t="n">
        <v>166</v>
      </c>
      <c r="C84" s="5" t="inlineStr">
        <is>
          <t>Barrier/permeation exposure</t>
        </is>
      </c>
    </row>
    <row r="85">
      <c r="A85" s="5" t="inlineStr">
        <is>
          <t>S4</t>
        </is>
      </c>
      <c r="B85" s="6" t="n">
        <v>169</v>
      </c>
      <c r="C85" s="5" t="inlineStr">
        <is>
          <t>Disease/immune programming</t>
        </is>
      </c>
    </row>
    <row r="86">
      <c r="A86" s="5" t="inlineStr">
        <is>
          <t>S4</t>
        </is>
      </c>
      <c r="B86" s="6" t="n">
        <v>181</v>
      </c>
      <c r="C86" s="5" t="inlineStr">
        <is>
          <t>Barrier/permeation exposure</t>
        </is>
      </c>
    </row>
    <row r="87">
      <c r="A87" s="5" t="inlineStr">
        <is>
          <t>S4</t>
        </is>
      </c>
      <c r="B87" s="6" t="n">
        <v>182</v>
      </c>
      <c r="C87" s="5" t="inlineStr">
        <is>
          <t>Wound-state sensing</t>
        </is>
      </c>
    </row>
    <row r="88">
      <c r="A88" s="5" t="inlineStr">
        <is>
          <t>S4</t>
        </is>
      </c>
      <c r="B88" s="6" t="n">
        <v>183</v>
      </c>
      <c r="C88" s="5" t="inlineStr">
        <is>
          <t>Wound-state sensing</t>
        </is>
      </c>
    </row>
    <row r="89">
      <c r="A89" s="5" t="inlineStr">
        <is>
          <t>S4</t>
        </is>
      </c>
      <c r="B89" s="6" t="n">
        <v>187</v>
      </c>
      <c r="C89" s="5" t="inlineStr">
        <is>
          <t>Closed-loop therapy</t>
        </is>
      </c>
    </row>
    <row r="90">
      <c r="A90" s="5" t="inlineStr">
        <is>
          <t>S4</t>
        </is>
      </c>
      <c r="B90" s="6" t="n">
        <v>188</v>
      </c>
      <c r="C90" s="5" t="inlineStr">
        <is>
          <t>Closed-loop therapy</t>
        </is>
      </c>
    </row>
    <row r="91">
      <c r="A91" s="5" t="inlineStr">
        <is>
          <t>S4</t>
        </is>
      </c>
      <c r="B91" s="6" t="n">
        <v>192</v>
      </c>
      <c r="C91" s="5" t="inlineStr">
        <is>
          <t>Barrier/permeation exposure</t>
        </is>
      </c>
    </row>
    <row r="92">
      <c r="A92" s="5" t="inlineStr">
        <is>
          <t>S4</t>
        </is>
      </c>
      <c r="B92" s="6" t="n">
        <v>193</v>
      </c>
      <c r="C92" s="5" t="inlineStr">
        <is>
          <t>Barrier/permeation exposure</t>
        </is>
      </c>
    </row>
    <row r="93">
      <c r="A93" s="5" t="inlineStr">
        <is>
          <t>S4</t>
        </is>
      </c>
      <c r="B93" s="6" t="n">
        <v>194</v>
      </c>
      <c r="C93" s="5" t="inlineStr">
        <is>
          <t>Barrier/permeation exposure</t>
        </is>
      </c>
    </row>
    <row r="94">
      <c r="A94" s="5" t="inlineStr">
        <is>
          <t>S4</t>
        </is>
      </c>
      <c r="B94" s="6" t="n">
        <v>195</v>
      </c>
      <c r="C94" s="5" t="inlineStr">
        <is>
          <t>Barrier/permeation exposure</t>
        </is>
      </c>
    </row>
    <row r="95">
      <c r="A95" s="5" t="inlineStr">
        <is>
          <t>S4</t>
        </is>
      </c>
      <c r="B95" s="6" t="n">
        <v>196</v>
      </c>
      <c r="C95" s="5" t="inlineStr">
        <is>
          <t>Disease/immune programming</t>
        </is>
      </c>
    </row>
    <row r="96">
      <c r="A96" s="5" t="inlineStr">
        <is>
          <t>S4</t>
        </is>
      </c>
      <c r="B96" s="6" t="n">
        <v>197</v>
      </c>
      <c r="C96" s="5" t="inlineStr">
        <is>
          <t>Disease/immune programming</t>
        </is>
      </c>
    </row>
    <row r="97">
      <c r="A97" s="5" t="inlineStr">
        <is>
          <t>S4</t>
        </is>
      </c>
      <c r="B97" s="6" t="n">
        <v>198</v>
      </c>
      <c r="C97" s="5" t="inlineStr">
        <is>
          <t>Disease/immune programming</t>
        </is>
      </c>
    </row>
    <row r="98">
      <c r="A98" s="5" t="inlineStr">
        <is>
          <t>S5</t>
        </is>
      </c>
      <c r="B98" s="6" t="n">
        <v>58</v>
      </c>
      <c r="C98" s="5" t="inlineStr"/>
    </row>
    <row r="99">
      <c r="A99" s="5" t="inlineStr">
        <is>
          <t>S5</t>
        </is>
      </c>
      <c r="B99" s="6" t="n">
        <v>101</v>
      </c>
      <c r="C99" s="5" t="inlineStr"/>
    </row>
    <row r="100">
      <c r="A100" s="5" t="inlineStr">
        <is>
          <t>S5</t>
        </is>
      </c>
      <c r="B100" s="6" t="n">
        <v>155</v>
      </c>
      <c r="C100" s="5" t="inlineStr"/>
    </row>
    <row r="101">
      <c r="A101" s="5" t="inlineStr">
        <is>
          <t>S5</t>
        </is>
      </c>
      <c r="B101" s="6" t="n">
        <v>158</v>
      </c>
      <c r="C101" s="5" t="inlineStr"/>
    </row>
    <row r="102">
      <c r="A102" s="5" t="inlineStr">
        <is>
          <t>S5</t>
        </is>
      </c>
      <c r="B102" s="6" t="n">
        <v>159</v>
      </c>
      <c r="C102" s="5" t="inlineStr"/>
    </row>
    <row r="103">
      <c r="A103" s="5" t="inlineStr">
        <is>
          <t>S5</t>
        </is>
      </c>
      <c r="B103" s="6" t="n">
        <v>164</v>
      </c>
      <c r="C103" s="5" t="inlineStr"/>
    </row>
    <row r="104">
      <c r="A104" s="5" t="inlineStr">
        <is>
          <t>S5</t>
        </is>
      </c>
      <c r="B104" s="6" t="n">
        <v>166</v>
      </c>
      <c r="C104" s="5" t="inlineStr"/>
    </row>
    <row r="105">
      <c r="A105" s="5" t="inlineStr">
        <is>
          <t>S5</t>
        </is>
      </c>
      <c r="B105" s="6" t="n">
        <v>169</v>
      </c>
      <c r="C105" s="5" t="inlineStr"/>
    </row>
    <row r="106">
      <c r="A106" s="5" t="inlineStr">
        <is>
          <t>S5</t>
        </is>
      </c>
      <c r="B106" s="6" t="n">
        <v>181</v>
      </c>
      <c r="C106" s="5" t="inlineStr"/>
    </row>
    <row r="107">
      <c r="A107" s="5" t="inlineStr">
        <is>
          <t>S5</t>
        </is>
      </c>
      <c r="B107" s="6" t="n">
        <v>182</v>
      </c>
      <c r="C107" s="5" t="inlineStr"/>
    </row>
    <row r="108">
      <c r="A108" s="5" t="inlineStr">
        <is>
          <t>S5</t>
        </is>
      </c>
      <c r="B108" s="6" t="n">
        <v>183</v>
      </c>
      <c r="C108" s="5" t="inlineStr"/>
    </row>
    <row r="109">
      <c r="A109" s="5" t="inlineStr">
        <is>
          <t>S5</t>
        </is>
      </c>
      <c r="B109" s="6" t="n">
        <v>187</v>
      </c>
      <c r="C109" s="5" t="inlineStr"/>
    </row>
    <row r="110">
      <c r="A110" s="5" t="inlineStr">
        <is>
          <t>S5</t>
        </is>
      </c>
      <c r="B110" s="6" t="n">
        <v>188</v>
      </c>
      <c r="C110" s="5" t="inlineStr"/>
    </row>
    <row r="111">
      <c r="A111" s="5" t="inlineStr">
        <is>
          <t>S5</t>
        </is>
      </c>
      <c r="B111" s="6" t="n">
        <v>192</v>
      </c>
      <c r="C111" s="5" t="inlineStr"/>
    </row>
    <row r="112">
      <c r="A112" s="5" t="inlineStr">
        <is>
          <t>S5</t>
        </is>
      </c>
      <c r="B112" s="6" t="n">
        <v>193</v>
      </c>
      <c r="C112" s="5" t="inlineStr"/>
    </row>
    <row r="113">
      <c r="A113" s="5" t="inlineStr">
        <is>
          <t>S5</t>
        </is>
      </c>
      <c r="B113" s="6" t="n">
        <v>194</v>
      </c>
      <c r="C113" s="5" t="inlineStr"/>
    </row>
    <row r="114">
      <c r="A114" s="5" t="inlineStr">
        <is>
          <t>S5</t>
        </is>
      </c>
      <c r="B114" s="6" t="n">
        <v>195</v>
      </c>
      <c r="C114" s="5" t="inlineStr"/>
    </row>
    <row r="115">
      <c r="A115" s="5" t="inlineStr">
        <is>
          <t>S5</t>
        </is>
      </c>
      <c r="B115" s="6" t="n">
        <v>196</v>
      </c>
      <c r="C115" s="5" t="inlineStr"/>
    </row>
    <row r="116">
      <c r="A116" s="5" t="inlineStr">
        <is>
          <t>S5</t>
        </is>
      </c>
      <c r="B116" s="6" t="n">
        <v>197</v>
      </c>
      <c r="C116" s="5" t="inlineStr"/>
    </row>
    <row r="117">
      <c r="A117" s="5" t="inlineStr">
        <is>
          <t>S5</t>
        </is>
      </c>
      <c r="B117" s="6" t="n">
        <v>198</v>
      </c>
      <c r="C117" s="5" t="inlineStr"/>
    </row>
    <row r="118">
      <c r="A118" s="5" t="inlineStr">
        <is>
          <t>S6</t>
        </is>
      </c>
      <c r="B118" s="6" t="n">
        <v>200</v>
      </c>
      <c r="C118" s="5" t="inlineStr">
        <is>
          <t>ROS/redox-responsive</t>
        </is>
      </c>
    </row>
    <row r="119">
      <c r="A119" s="5" t="inlineStr">
        <is>
          <t>S6</t>
        </is>
      </c>
      <c r="B119" s="6" t="n">
        <v>200</v>
      </c>
      <c r="C119" s="5" t="inlineStr">
        <is>
          <t>pH-responsive</t>
        </is>
      </c>
    </row>
    <row r="120">
      <c r="A120" s="5" t="inlineStr">
        <is>
          <t>S6</t>
        </is>
      </c>
      <c r="B120" s="6" t="n">
        <v>201</v>
      </c>
      <c r="C120" s="5" t="inlineStr">
        <is>
          <t>ROS/redox-responsive</t>
        </is>
      </c>
    </row>
    <row r="121">
      <c r="A121" s="5" t="inlineStr">
        <is>
          <t>S6</t>
        </is>
      </c>
      <c r="B121" s="6" t="n">
        <v>201</v>
      </c>
      <c r="C121" s="5" t="inlineStr">
        <is>
          <t>Thermo/NIR or externally actuated</t>
        </is>
      </c>
    </row>
    <row r="122">
      <c r="A122" s="5" t="inlineStr">
        <is>
          <t>S6</t>
        </is>
      </c>
      <c r="B122" s="6" t="n">
        <v>201</v>
      </c>
      <c r="C122" s="5" t="inlineStr">
        <is>
          <t>pH-responsive</t>
        </is>
      </c>
    </row>
    <row r="123">
      <c r="A123" s="5" t="inlineStr">
        <is>
          <t>S6</t>
        </is>
      </c>
      <c r="B123" s="6" t="n">
        <v>202</v>
      </c>
      <c r="C123" s="5" t="inlineStr">
        <is>
          <t>Enzyme-responsive</t>
        </is>
      </c>
    </row>
    <row r="124">
      <c r="A124" s="5" t="inlineStr">
        <is>
          <t>S6</t>
        </is>
      </c>
      <c r="B124" s="6" t="n">
        <v>206</v>
      </c>
      <c r="C124" s="5" t="inlineStr">
        <is>
          <t>Sustained or staged delivery</t>
        </is>
      </c>
    </row>
    <row r="125">
      <c r="A125" s="5" t="inlineStr">
        <is>
          <t>S6</t>
        </is>
      </c>
      <c r="B125" s="6" t="n">
        <v>206</v>
      </c>
      <c r="C125" s="5" t="inlineStr">
        <is>
          <t>pH-responsive</t>
        </is>
      </c>
    </row>
    <row r="126">
      <c r="A126" s="5" t="inlineStr">
        <is>
          <t>S6</t>
        </is>
      </c>
      <c r="B126" s="6" t="n">
        <v>207</v>
      </c>
      <c r="C126" s="5" t="inlineStr">
        <is>
          <t>pH-responsive</t>
        </is>
      </c>
    </row>
    <row r="127">
      <c r="A127" s="5" t="inlineStr">
        <is>
          <t>S6</t>
        </is>
      </c>
      <c r="B127" s="6" t="n">
        <v>210</v>
      </c>
      <c r="C127" s="5" t="inlineStr">
        <is>
          <t>ROS/redox-responsive</t>
        </is>
      </c>
    </row>
    <row r="128">
      <c r="A128" s="5" t="inlineStr">
        <is>
          <t>S6</t>
        </is>
      </c>
      <c r="B128" s="6" t="n">
        <v>211</v>
      </c>
      <c r="C128" s="5" t="inlineStr">
        <is>
          <t>ROS/redox-responsive</t>
        </is>
      </c>
    </row>
    <row r="129">
      <c r="A129" s="5" t="inlineStr">
        <is>
          <t>S6</t>
        </is>
      </c>
      <c r="B129" s="6" t="n">
        <v>211</v>
      </c>
      <c r="C129" s="5" t="inlineStr">
        <is>
          <t>Thermo/NIR or externally actuated</t>
        </is>
      </c>
    </row>
    <row r="130">
      <c r="A130" s="5" t="inlineStr">
        <is>
          <t>S6</t>
        </is>
      </c>
      <c r="B130" s="6" t="n">
        <v>212</v>
      </c>
      <c r="C130" s="5" t="inlineStr">
        <is>
          <t>Immune-programming</t>
        </is>
      </c>
    </row>
    <row r="131">
      <c r="A131" s="5" t="inlineStr">
        <is>
          <t>S6</t>
        </is>
      </c>
      <c r="B131" s="6" t="n">
        <v>212</v>
      </c>
      <c r="C131" s="5" t="inlineStr">
        <is>
          <t>ROS/redox-responsive</t>
        </is>
      </c>
    </row>
    <row r="132">
      <c r="A132" s="5" t="inlineStr">
        <is>
          <t>S6</t>
        </is>
      </c>
      <c r="B132" s="6" t="n">
        <v>214</v>
      </c>
      <c r="C132" s="5" t="inlineStr">
        <is>
          <t>ROS/redox-responsive</t>
        </is>
      </c>
    </row>
    <row r="133">
      <c r="A133" s="5" t="inlineStr">
        <is>
          <t>S6</t>
        </is>
      </c>
      <c r="B133" s="6" t="n">
        <v>215</v>
      </c>
      <c r="C133" s="5" t="inlineStr">
        <is>
          <t>Glucose-responsive</t>
        </is>
      </c>
    </row>
    <row r="134">
      <c r="A134" s="5" t="inlineStr">
        <is>
          <t>S6</t>
        </is>
      </c>
      <c r="B134" s="6" t="n">
        <v>215</v>
      </c>
      <c r="C134" s="5" t="inlineStr">
        <is>
          <t>Immune-programming</t>
        </is>
      </c>
    </row>
    <row r="135">
      <c r="A135" s="5" t="inlineStr">
        <is>
          <t>S6</t>
        </is>
      </c>
      <c r="B135" s="6" t="n">
        <v>215</v>
      </c>
      <c r="C135" s="5" t="inlineStr">
        <is>
          <t>ROS/redox-responsive</t>
        </is>
      </c>
    </row>
    <row r="136">
      <c r="A136" s="5" t="inlineStr">
        <is>
          <t>S6</t>
        </is>
      </c>
      <c r="B136" s="6" t="n">
        <v>217</v>
      </c>
      <c r="C136" s="5" t="inlineStr">
        <is>
          <t>Enzyme-responsive</t>
        </is>
      </c>
    </row>
    <row r="137">
      <c r="A137" s="5" t="inlineStr">
        <is>
          <t>S6</t>
        </is>
      </c>
      <c r="B137" s="6" t="n">
        <v>219</v>
      </c>
      <c r="C137" s="5" t="inlineStr">
        <is>
          <t>Thermo/NIR or externally actuated</t>
        </is>
      </c>
    </row>
    <row r="138">
      <c r="A138" s="5" t="inlineStr">
        <is>
          <t>S6</t>
        </is>
      </c>
      <c r="B138" s="6" t="n">
        <v>219</v>
      </c>
      <c r="C138" s="5" t="inlineStr">
        <is>
          <t>pH-responsive</t>
        </is>
      </c>
    </row>
    <row r="139">
      <c r="A139" s="5" t="inlineStr">
        <is>
          <t>S6</t>
        </is>
      </c>
      <c r="B139" s="6" t="n">
        <v>221</v>
      </c>
      <c r="C139" s="5" t="inlineStr">
        <is>
          <t>Thermo/NIR or externally actuated</t>
        </is>
      </c>
    </row>
    <row r="140">
      <c r="A140" s="5" t="inlineStr">
        <is>
          <t>S6</t>
        </is>
      </c>
      <c r="B140" s="6" t="n">
        <v>224</v>
      </c>
      <c r="C140" s="5" t="inlineStr">
        <is>
          <t>Immune-programming</t>
        </is>
      </c>
    </row>
    <row r="141">
      <c r="A141" s="5" t="inlineStr">
        <is>
          <t>S6</t>
        </is>
      </c>
      <c r="B141" s="6" t="n">
        <v>225</v>
      </c>
      <c r="C141" s="5" t="inlineStr">
        <is>
          <t>Immune-programming</t>
        </is>
      </c>
    </row>
    <row r="142">
      <c r="A142" s="5" t="inlineStr">
        <is>
          <t>S6</t>
        </is>
      </c>
      <c r="B142" s="6" t="n">
        <v>226</v>
      </c>
      <c r="C142" s="5" t="inlineStr">
        <is>
          <t>Immune-programming</t>
        </is>
      </c>
    </row>
    <row r="143">
      <c r="A143" s="5" t="inlineStr">
        <is>
          <t>S6</t>
        </is>
      </c>
      <c r="B143" s="6" t="n">
        <v>227</v>
      </c>
      <c r="C143" s="5" t="inlineStr">
        <is>
          <t>Immune-programming</t>
        </is>
      </c>
    </row>
    <row r="144">
      <c r="A144" s="5" t="inlineStr">
        <is>
          <t>S6</t>
        </is>
      </c>
      <c r="B144" s="6" t="n">
        <v>230</v>
      </c>
      <c r="C144" s="5" t="inlineStr">
        <is>
          <t>Immune-programming</t>
        </is>
      </c>
    </row>
    <row r="145">
      <c r="A145" s="5" t="inlineStr">
        <is>
          <t>S6</t>
        </is>
      </c>
      <c r="B145" s="6" t="n">
        <v>231</v>
      </c>
      <c r="C145" s="5" t="inlineStr">
        <is>
          <t>Immune-programming</t>
        </is>
      </c>
    </row>
    <row r="146">
      <c r="A146" s="5" t="inlineStr">
        <is>
          <t>S6</t>
        </is>
      </c>
      <c r="B146" s="6" t="n">
        <v>232</v>
      </c>
      <c r="C146" s="5" t="inlineStr">
        <is>
          <t>Immune-programming</t>
        </is>
      </c>
    </row>
    <row r="147">
      <c r="A147" s="5" t="inlineStr">
        <is>
          <t>S6</t>
        </is>
      </c>
      <c r="B147" s="6" t="n">
        <v>238</v>
      </c>
      <c r="C147" s="5" t="inlineStr">
        <is>
          <t>sustained or staged delivery</t>
        </is>
      </c>
    </row>
    <row r="148">
      <c r="A148" s="5" t="inlineStr">
        <is>
          <t>S6</t>
        </is>
      </c>
      <c r="B148" s="6" t="n">
        <v>239</v>
      </c>
      <c r="C148" s="5" t="inlineStr">
        <is>
          <t>Thermo/NIR or externally actuated</t>
        </is>
      </c>
    </row>
    <row r="149">
      <c r="A149" s="5" t="inlineStr">
        <is>
          <t>S6</t>
        </is>
      </c>
      <c r="B149" s="6" t="n">
        <v>243</v>
      </c>
      <c r="C149" s="5" t="inlineStr">
        <is>
          <t>sustained or staged delivery</t>
        </is>
      </c>
    </row>
    <row r="150">
      <c r="A150" s="5" t="inlineStr">
        <is>
          <t>S6</t>
        </is>
      </c>
      <c r="B150" s="6" t="n">
        <v>245</v>
      </c>
      <c r="C150" s="5" t="inlineStr">
        <is>
          <t>Thermo/NIR or externally actuated</t>
        </is>
      </c>
    </row>
    <row r="151">
      <c r="A151" s="5" t="inlineStr">
        <is>
          <t>S6</t>
        </is>
      </c>
      <c r="B151" s="6" t="n">
        <v>248</v>
      </c>
      <c r="C151" s="5" t="inlineStr">
        <is>
          <t>Sustained or staged delivery</t>
        </is>
      </c>
    </row>
    <row r="152">
      <c r="A152" s="5" t="inlineStr">
        <is>
          <t>S6</t>
        </is>
      </c>
      <c r="B152" s="6" t="n">
        <v>249</v>
      </c>
      <c r="C152" s="5" t="inlineStr">
        <is>
          <t>Sustained or staged delivery</t>
        </is>
      </c>
    </row>
    <row r="153">
      <c r="A153" s="5" t="inlineStr">
        <is>
          <t>S6</t>
        </is>
      </c>
      <c r="B153" s="6" t="n">
        <v>250</v>
      </c>
      <c r="C153" s="5" t="inlineStr">
        <is>
          <t>Sustained or staged delivery</t>
        </is>
      </c>
    </row>
    <row r="154">
      <c r="A154" s="5" t="inlineStr">
        <is>
          <t>S6</t>
        </is>
      </c>
      <c r="B154" s="6" t="n">
        <v>252</v>
      </c>
      <c r="C154" s="5" t="inlineStr">
        <is>
          <t>Sustained or staged delivery</t>
        </is>
      </c>
    </row>
    <row r="155">
      <c r="A155" s="5" t="inlineStr">
        <is>
          <t>S6</t>
        </is>
      </c>
      <c r="B155" s="6" t="n">
        <v>253</v>
      </c>
      <c r="C155" s="5" t="inlineStr">
        <is>
          <t>Sustained or staged delivery</t>
        </is>
      </c>
    </row>
    <row r="156">
      <c r="A156" s="5" t="inlineStr">
        <is>
          <t>S6</t>
        </is>
      </c>
      <c r="B156" s="6" t="n">
        <v>254</v>
      </c>
      <c r="C156" s="5" t="inlineStr">
        <is>
          <t>Sustained or staged delivery</t>
        </is>
      </c>
    </row>
    <row r="157">
      <c r="A157" s="5" t="inlineStr">
        <is>
          <t>S6</t>
        </is>
      </c>
      <c r="B157" s="6" t="n">
        <v>255</v>
      </c>
      <c r="C157" s="5" t="inlineStr">
        <is>
          <t>Sustained or staged delivery</t>
        </is>
      </c>
    </row>
    <row r="158">
      <c r="A158" s="5" t="inlineStr">
        <is>
          <t>S6</t>
        </is>
      </c>
      <c r="B158" s="6" t="n">
        <v>256</v>
      </c>
      <c r="C158" s="5" t="inlineStr">
        <is>
          <t>Immune-programming</t>
        </is>
      </c>
    </row>
    <row r="159">
      <c r="A159" s="5" t="inlineStr">
        <is>
          <t>S6</t>
        </is>
      </c>
      <c r="B159" s="6" t="n">
        <v>256</v>
      </c>
      <c r="C159" s="5" t="inlineStr">
        <is>
          <t>Sustained or staged delivery</t>
        </is>
      </c>
    </row>
    <row r="160">
      <c r="A160" s="5" t="inlineStr">
        <is>
          <t>S6</t>
        </is>
      </c>
      <c r="B160" s="6" t="n">
        <v>257</v>
      </c>
      <c r="C160" s="5" t="inlineStr">
        <is>
          <t>Sustained or staged delivery</t>
        </is>
      </c>
    </row>
    <row r="161">
      <c r="A161" s="5" t="inlineStr">
        <is>
          <t>S6</t>
        </is>
      </c>
      <c r="B161" s="6" t="n">
        <v>257</v>
      </c>
      <c r="C161" s="5" t="inlineStr">
        <is>
          <t>Thermo/NIR or externally actuated</t>
        </is>
      </c>
    </row>
    <row r="162">
      <c r="A162" s="5" t="inlineStr">
        <is>
          <t>S6</t>
        </is>
      </c>
      <c r="B162" s="6" t="n">
        <v>258</v>
      </c>
      <c r="C162" s="5" t="inlineStr">
        <is>
          <t>Sustained or staged delivery</t>
        </is>
      </c>
    </row>
    <row r="163">
      <c r="A163" s="5" t="inlineStr">
        <is>
          <t>S6</t>
        </is>
      </c>
      <c r="B163" s="6" t="n">
        <v>259</v>
      </c>
      <c r="C163" s="5" t="inlineStr">
        <is>
          <t>Immune-programming</t>
        </is>
      </c>
    </row>
    <row r="164">
      <c r="A164" s="5" t="inlineStr">
        <is>
          <t>S6</t>
        </is>
      </c>
      <c r="B164" s="6" t="n">
        <v>259</v>
      </c>
      <c r="C164" s="5" t="inlineStr">
        <is>
          <t>Sustained or staged delivery</t>
        </is>
      </c>
    </row>
    <row r="165">
      <c r="A165" s="5" t="inlineStr">
        <is>
          <t>S6</t>
        </is>
      </c>
      <c r="B165" s="6" t="n">
        <v>261</v>
      </c>
      <c r="C165" s="5" t="inlineStr">
        <is>
          <t>Sustained or staged delivery</t>
        </is>
      </c>
    </row>
    <row r="166">
      <c r="A166" s="5" t="inlineStr">
        <is>
          <t>S6</t>
        </is>
      </c>
      <c r="B166" s="6" t="n">
        <v>262</v>
      </c>
      <c r="C166" s="5" t="inlineStr">
        <is>
          <t>Enzyme-responsive</t>
        </is>
      </c>
    </row>
    <row r="167">
      <c r="A167" s="5" t="inlineStr">
        <is>
          <t>S7</t>
        </is>
      </c>
      <c r="B167" s="6" t="n">
        <v>200</v>
      </c>
      <c r="C167" s="5" t="inlineStr">
        <is>
          <t>Mixed-stimulus adaptive hydrogels</t>
        </is>
      </c>
    </row>
    <row r="168">
      <c r="A168" s="5" t="inlineStr">
        <is>
          <t>S7</t>
        </is>
      </c>
      <c r="B168" s="6" t="n">
        <v>201</v>
      </c>
      <c r="C168" s="5" t="inlineStr">
        <is>
          <t>Mixed-stimulus adaptive hydrogels</t>
        </is>
      </c>
    </row>
    <row r="169">
      <c r="A169" s="5" t="inlineStr">
        <is>
          <t>S7</t>
        </is>
      </c>
      <c r="B169" s="6" t="n">
        <v>202</v>
      </c>
      <c r="C169" s="5" t="inlineStr">
        <is>
          <t>Enzyme-activated infection/remodeling depots</t>
        </is>
      </c>
    </row>
    <row r="170">
      <c r="A170" s="5" t="inlineStr">
        <is>
          <t>S7</t>
        </is>
      </c>
      <c r="B170" s="6" t="n">
        <v>206</v>
      </c>
      <c r="C170" s="5" t="inlineStr">
        <is>
          <t>Acidic pH-switching release matrices</t>
        </is>
      </c>
    </row>
    <row r="171">
      <c r="A171" s="5" t="inlineStr">
        <is>
          <t>S7</t>
        </is>
      </c>
      <c r="B171" s="6" t="n">
        <v>207</v>
      </c>
      <c r="C171" s="5" t="inlineStr">
        <is>
          <t>Acidic pH-switching release matrices</t>
        </is>
      </c>
    </row>
    <row r="172">
      <c r="A172" s="5" t="inlineStr">
        <is>
          <t>S7</t>
        </is>
      </c>
      <c r="B172" s="6" t="n">
        <v>210</v>
      </c>
      <c r="C172" s="5" t="inlineStr">
        <is>
          <t>Mixed-stimulus adaptive hydrogels</t>
        </is>
      </c>
    </row>
    <row r="173">
      <c r="A173" s="5" t="inlineStr">
        <is>
          <t>S7</t>
        </is>
      </c>
      <c r="B173" s="6" t="n">
        <v>211</v>
      </c>
      <c r="C173" s="5" t="inlineStr">
        <is>
          <t>Mixed-stimulus adaptive hydrogels</t>
        </is>
      </c>
    </row>
    <row r="174">
      <c r="A174" s="5" t="inlineStr">
        <is>
          <t>S7</t>
        </is>
      </c>
      <c r="B174" s="6" t="n">
        <v>212</v>
      </c>
      <c r="C174" s="5" t="inlineStr">
        <is>
          <t>Mixed-stimulus adaptive hydrogels</t>
        </is>
      </c>
    </row>
    <row r="175">
      <c r="A175" s="5" t="inlineStr">
        <is>
          <t>S7</t>
        </is>
      </c>
      <c r="B175" s="6" t="n">
        <v>214</v>
      </c>
      <c r="C175" s="5" t="inlineStr">
        <is>
          <t>Mixed-stimulus adaptive hydrogels</t>
        </is>
      </c>
    </row>
    <row r="176">
      <c r="A176" s="5" t="inlineStr">
        <is>
          <t>S7</t>
        </is>
      </c>
      <c r="B176" s="6" t="n">
        <v>215</v>
      </c>
      <c r="C176" s="5" t="inlineStr">
        <is>
          <t>Mixed-stimulus adaptive hydrogels</t>
        </is>
      </c>
    </row>
    <row r="177">
      <c r="A177" s="5" t="inlineStr">
        <is>
          <t>S7</t>
        </is>
      </c>
      <c r="B177" s="6" t="n">
        <v>217</v>
      </c>
      <c r="C177" s="5" t="inlineStr">
        <is>
          <t>Enzyme-activated infection/remodeling depots</t>
        </is>
      </c>
    </row>
    <row r="178">
      <c r="A178" s="5" t="inlineStr">
        <is>
          <t>S7</t>
        </is>
      </c>
      <c r="B178" s="6" t="n">
        <v>219</v>
      </c>
      <c r="C178" s="5" t="inlineStr">
        <is>
          <t>Acidic pH-switching release matrices</t>
        </is>
      </c>
    </row>
    <row r="179">
      <c r="A179" s="5" t="inlineStr">
        <is>
          <t>S7</t>
        </is>
      </c>
      <c r="B179" s="6" t="n">
        <v>221</v>
      </c>
      <c r="C179" s="5" t="inlineStr">
        <is>
          <t>Thermogelling or externally actuated systems</t>
        </is>
      </c>
    </row>
    <row r="180">
      <c r="A180" s="5" t="inlineStr">
        <is>
          <t>S7</t>
        </is>
      </c>
      <c r="B180" s="6" t="n">
        <v>224</v>
      </c>
      <c r="C180" s="5" t="inlineStr">
        <is>
          <t>Macrophage/cytokine-balancing matrices</t>
        </is>
      </c>
    </row>
    <row r="181">
      <c r="A181" s="5" t="inlineStr">
        <is>
          <t>S7</t>
        </is>
      </c>
      <c r="B181" s="6" t="n">
        <v>225</v>
      </c>
      <c r="C181" s="5" t="inlineStr">
        <is>
          <t>Macrophage/cytokine-balancing matrices</t>
        </is>
      </c>
    </row>
    <row r="182">
      <c r="A182" s="5" t="inlineStr">
        <is>
          <t>S7</t>
        </is>
      </c>
      <c r="B182" s="6" t="n">
        <v>226</v>
      </c>
      <c r="C182" s="5" t="inlineStr">
        <is>
          <t>Macrophage/cytokine-balancing matrices</t>
        </is>
      </c>
    </row>
    <row r="183">
      <c r="A183" s="5" t="inlineStr">
        <is>
          <t>S7</t>
        </is>
      </c>
      <c r="B183" s="6" t="n">
        <v>227</v>
      </c>
      <c r="C183" s="5" t="inlineStr">
        <is>
          <t>Macrophage/cytokine-balancing matrices</t>
        </is>
      </c>
    </row>
    <row r="184">
      <c r="A184" s="5" t="inlineStr">
        <is>
          <t>S7</t>
        </is>
      </c>
      <c r="B184" s="6" t="n">
        <v>230</v>
      </c>
      <c r="C184" s="5" t="inlineStr">
        <is>
          <t>Acidic pH-switching release matrices</t>
        </is>
      </c>
    </row>
    <row r="185">
      <c r="A185" s="5" t="inlineStr">
        <is>
          <t>S7</t>
        </is>
      </c>
      <c r="B185" s="6" t="n">
        <v>231</v>
      </c>
      <c r="C185" s="5" t="inlineStr">
        <is>
          <t>Macrophage/cytokine-balancing matrices</t>
        </is>
      </c>
    </row>
    <row r="186">
      <c r="A186" s="5" t="inlineStr">
        <is>
          <t>S7</t>
        </is>
      </c>
      <c r="B186" s="6" t="n">
        <v>232</v>
      </c>
      <c r="C186" s="5" t="inlineStr">
        <is>
          <t>Macrophage/cytokine-balancing matrices</t>
        </is>
      </c>
    </row>
    <row r="187">
      <c r="A187" s="5" t="inlineStr">
        <is>
          <t>S7</t>
        </is>
      </c>
      <c r="B187" s="6" t="n">
        <v>234</v>
      </c>
      <c r="C187" s="5" t="inlineStr">
        <is>
          <t>Antimicrobial/antibiofilm depots</t>
        </is>
      </c>
    </row>
    <row r="188">
      <c r="A188" s="5" t="inlineStr">
        <is>
          <t>S7</t>
        </is>
      </c>
      <c r="B188" s="6" t="n">
        <v>235</v>
      </c>
      <c r="C188" s="5" t="inlineStr">
        <is>
          <t>Antimicrobial/antibiofilm depots</t>
        </is>
      </c>
    </row>
    <row r="189">
      <c r="A189" s="5" t="inlineStr">
        <is>
          <t>S7</t>
        </is>
      </c>
      <c r="B189" s="6" t="n">
        <v>238</v>
      </c>
      <c r="C189" s="5" t="inlineStr">
        <is>
          <t>Antimicrobial/antibiofilm depots</t>
        </is>
      </c>
    </row>
    <row r="190">
      <c r="A190" s="5" t="inlineStr">
        <is>
          <t>S7</t>
        </is>
      </c>
      <c r="B190" s="6" t="n">
        <v>239</v>
      </c>
      <c r="C190" s="5" t="inlineStr">
        <is>
          <t>Thermogelling or externally actuated systems</t>
        </is>
      </c>
    </row>
    <row r="191">
      <c r="A191" s="5" t="inlineStr">
        <is>
          <t>S7</t>
        </is>
      </c>
      <c r="B191" s="6" t="n">
        <v>241</v>
      </c>
      <c r="C191" s="5" t="inlineStr">
        <is>
          <t>Antimicrobial/antibiofilm depots</t>
        </is>
      </c>
    </row>
    <row r="192">
      <c r="A192" s="5" t="inlineStr">
        <is>
          <t>S7</t>
        </is>
      </c>
      <c r="B192" s="6" t="n">
        <v>243</v>
      </c>
      <c r="C192" s="5" t="inlineStr">
        <is>
          <t>Antimicrobial/antibiofilm depots</t>
        </is>
      </c>
    </row>
    <row r="193">
      <c r="A193" s="5" t="inlineStr">
        <is>
          <t>S7</t>
        </is>
      </c>
      <c r="B193" s="6" t="n">
        <v>244</v>
      </c>
      <c r="C193" s="5" t="inlineStr">
        <is>
          <t>Antimicrobial/antibiofilm depots</t>
        </is>
      </c>
    </row>
    <row r="194">
      <c r="A194" s="5" t="inlineStr">
        <is>
          <t>S7</t>
        </is>
      </c>
      <c r="B194" s="6" t="n">
        <v>245</v>
      </c>
      <c r="C194" s="5" t="inlineStr">
        <is>
          <t>Thermogelling or externally actuated systems</t>
        </is>
      </c>
    </row>
    <row r="195">
      <c r="A195" s="5" t="inlineStr">
        <is>
          <t>S7</t>
        </is>
      </c>
      <c r="B195" s="6" t="n">
        <v>248</v>
      </c>
      <c r="C195" s="5" t="inlineStr">
        <is>
          <t>Growth-factor/protein delivery depots</t>
        </is>
      </c>
    </row>
    <row r="196">
      <c r="A196" s="5" t="inlineStr">
        <is>
          <t>S7</t>
        </is>
      </c>
      <c r="B196" s="6" t="n">
        <v>249</v>
      </c>
      <c r="C196" s="5" t="inlineStr">
        <is>
          <t>Growth-factor/protein delivery depots</t>
        </is>
      </c>
    </row>
    <row r="197">
      <c r="A197" s="5" t="inlineStr">
        <is>
          <t>S7</t>
        </is>
      </c>
      <c r="B197" s="6" t="n">
        <v>250</v>
      </c>
      <c r="C197" s="5" t="inlineStr">
        <is>
          <t>Growth-factor/protein delivery depots</t>
        </is>
      </c>
    </row>
    <row r="198">
      <c r="A198" s="5" t="inlineStr">
        <is>
          <t>S7</t>
        </is>
      </c>
      <c r="B198" s="6" t="n">
        <v>252</v>
      </c>
      <c r="C198" s="5" t="inlineStr">
        <is>
          <t>Growth-factor/protein delivery depots</t>
        </is>
      </c>
    </row>
    <row r="199">
      <c r="A199" s="5" t="inlineStr">
        <is>
          <t>S7</t>
        </is>
      </c>
      <c r="B199" s="6" t="n">
        <v>253</v>
      </c>
      <c r="C199" s="5" t="inlineStr">
        <is>
          <t>Growth-factor/protein delivery depots</t>
        </is>
      </c>
    </row>
    <row r="200">
      <c r="A200" s="5" t="inlineStr">
        <is>
          <t>S7</t>
        </is>
      </c>
      <c r="B200" s="6" t="n">
        <v>254</v>
      </c>
      <c r="C200" s="5" t="inlineStr">
        <is>
          <t>Growth-factor/protein delivery depots</t>
        </is>
      </c>
    </row>
    <row r="201">
      <c r="A201" s="5" t="inlineStr">
        <is>
          <t>S7</t>
        </is>
      </c>
      <c r="B201" s="6" t="n">
        <v>255</v>
      </c>
      <c r="C201" s="5" t="inlineStr">
        <is>
          <t>Multicargo sequence-delivery formulations</t>
        </is>
      </c>
    </row>
    <row r="202">
      <c r="A202" s="5" t="inlineStr">
        <is>
          <t>S7</t>
        </is>
      </c>
      <c r="B202" s="6" t="n">
        <v>256</v>
      </c>
      <c r="C202" s="5" t="inlineStr">
        <is>
          <t>Exosome/EV release systems</t>
        </is>
      </c>
    </row>
    <row r="203">
      <c r="A203" s="5" t="inlineStr">
        <is>
          <t>S7</t>
        </is>
      </c>
      <c r="B203" s="6" t="n">
        <v>257</v>
      </c>
      <c r="C203" s="5" t="inlineStr">
        <is>
          <t>Exosome/EV release systems</t>
        </is>
      </c>
    </row>
    <row r="204">
      <c r="A204" s="5" t="inlineStr">
        <is>
          <t>S7</t>
        </is>
      </c>
      <c r="B204" s="6" t="n">
        <v>258</v>
      </c>
      <c r="C204" s="5" t="inlineStr">
        <is>
          <t>Exosome/EV release systems</t>
        </is>
      </c>
    </row>
    <row r="205">
      <c r="A205" s="5" t="inlineStr">
        <is>
          <t>S7</t>
        </is>
      </c>
      <c r="B205" s="6" t="n">
        <v>259</v>
      </c>
      <c r="C205" s="5" t="inlineStr">
        <is>
          <t>Exosome/EV release systems</t>
        </is>
      </c>
    </row>
    <row r="206">
      <c r="A206" s="5" t="inlineStr">
        <is>
          <t>S7</t>
        </is>
      </c>
      <c r="B206" s="6" t="n">
        <v>261</v>
      </c>
      <c r="C206" s="5" t="inlineStr">
        <is>
          <t>Multicargo sequence-delivery formulations</t>
        </is>
      </c>
    </row>
    <row r="207">
      <c r="A207" s="5" t="inlineStr">
        <is>
          <t>S7</t>
        </is>
      </c>
      <c r="B207" s="6" t="n">
        <v>262</v>
      </c>
      <c r="C207" s="5" t="inlineStr">
        <is>
          <t>Enzyme-activated infection/remodeling depots</t>
        </is>
      </c>
    </row>
    <row r="208">
      <c r="A208" s="5" t="inlineStr">
        <is>
          <t>S8</t>
        </is>
      </c>
      <c r="B208" s="6" t="n">
        <v>91</v>
      </c>
      <c r="C208" s="5" t="inlineStr">
        <is>
          <t>Healing prediction, prognosis, and trajectory modeling</t>
        </is>
      </c>
    </row>
    <row r="209">
      <c r="A209" s="5" t="inlineStr">
        <is>
          <t>S8</t>
        </is>
      </c>
      <c r="B209" s="6" t="n">
        <v>102</v>
      </c>
      <c r="C209" s="5" t="inlineStr">
        <is>
          <t>AI-enabled wound-status sensing and classification</t>
        </is>
      </c>
    </row>
    <row r="210">
      <c r="A210" s="5" t="inlineStr">
        <is>
          <t>S8</t>
        </is>
      </c>
      <c r="B210" s="6" t="n">
        <v>271</v>
      </c>
      <c r="C210" s="5" t="inlineStr">
        <is>
          <t>Automated image segmentation and quantitative wound-image analysis</t>
        </is>
      </c>
    </row>
    <row r="211">
      <c r="A211" s="5" t="inlineStr">
        <is>
          <t>S8</t>
        </is>
      </c>
      <c r="B211" s="6" t="n">
        <v>272</v>
      </c>
      <c r="C211" s="5" t="inlineStr">
        <is>
          <t>Automated image segmentation and quantitative wound-image analysis</t>
        </is>
      </c>
    </row>
    <row r="212">
      <c r="A212" s="5" t="inlineStr">
        <is>
          <t>S8</t>
        </is>
      </c>
      <c r="B212" s="6" t="n">
        <v>275</v>
      </c>
      <c r="C212" s="5" t="inlineStr">
        <is>
          <t>Automated image segmentation and quantitative wound-image analysis</t>
        </is>
      </c>
    </row>
    <row r="213">
      <c r="A213" s="5" t="inlineStr">
        <is>
          <t>S8</t>
        </is>
      </c>
      <c r="B213" s="6" t="n">
        <v>276</v>
      </c>
      <c r="C213" s="5" t="inlineStr">
        <is>
          <t>Automated image segmentation and quantitative wound-image analysis</t>
        </is>
      </c>
    </row>
    <row r="214">
      <c r="A214" s="5" t="inlineStr">
        <is>
          <t>S8</t>
        </is>
      </c>
      <c r="B214" s="6" t="n">
        <v>277</v>
      </c>
      <c r="C214" s="5" t="inlineStr">
        <is>
          <t>Automated image segmentation and quantitative wound-image analysis</t>
        </is>
      </c>
    </row>
    <row r="215">
      <c r="A215" s="5" t="inlineStr">
        <is>
          <t>S8</t>
        </is>
      </c>
      <c r="B215" s="6" t="n">
        <v>281</v>
      </c>
      <c r="C215" s="5" t="inlineStr">
        <is>
          <t>Automated image segmentation and quantitative wound-image analysis</t>
        </is>
      </c>
    </row>
    <row r="216">
      <c r="A216" s="5" t="inlineStr">
        <is>
          <t>S8</t>
        </is>
      </c>
      <c r="B216" s="6" t="n">
        <v>282</v>
      </c>
      <c r="C216" s="5" t="inlineStr">
        <is>
          <t>Image-based classification and detection</t>
        </is>
      </c>
    </row>
    <row r="217">
      <c r="A217" s="5" t="inlineStr">
        <is>
          <t>S8</t>
        </is>
      </c>
      <c r="B217" s="6" t="n">
        <v>283</v>
      </c>
      <c r="C217" s="5" t="inlineStr">
        <is>
          <t>Image-based classification and detection</t>
        </is>
      </c>
    </row>
    <row r="218">
      <c r="A218" s="5" t="inlineStr">
        <is>
          <t>S8</t>
        </is>
      </c>
      <c r="B218" s="6" t="n">
        <v>284</v>
      </c>
      <c r="C218" s="5" t="inlineStr">
        <is>
          <t>Automated image segmentation and quantitative wound-image analysis</t>
        </is>
      </c>
    </row>
    <row r="219">
      <c r="A219" s="5" t="inlineStr">
        <is>
          <t>S8</t>
        </is>
      </c>
      <c r="B219" s="6" t="n">
        <v>286</v>
      </c>
      <c r="C219" s="5" t="inlineStr">
        <is>
          <t>Automated image segmentation and quantitative wound-image analysis</t>
        </is>
      </c>
    </row>
    <row r="220">
      <c r="A220" s="5" t="inlineStr">
        <is>
          <t>S8</t>
        </is>
      </c>
      <c r="B220" s="6" t="n">
        <v>287</v>
      </c>
      <c r="C220" s="5" t="inlineStr">
        <is>
          <t>Automated image segmentation and quantitative wound-image analysis</t>
        </is>
      </c>
    </row>
    <row r="221">
      <c r="A221" s="5" t="inlineStr">
        <is>
          <t>S8</t>
        </is>
      </c>
      <c r="B221" s="6" t="n">
        <v>288</v>
      </c>
      <c r="C221" s="5" t="inlineStr">
        <is>
          <t>Automated image segmentation and quantitative wound-image analysis</t>
        </is>
      </c>
    </row>
    <row r="222">
      <c r="A222" s="5" t="inlineStr">
        <is>
          <t>S8</t>
        </is>
      </c>
      <c r="B222" s="6" t="n">
        <v>293</v>
      </c>
      <c r="C222" s="5" t="inlineStr">
        <is>
          <t>Healing prediction, prognosis, and trajectory modeling</t>
        </is>
      </c>
    </row>
    <row r="223">
      <c r="A223" s="5" t="inlineStr">
        <is>
          <t>S8</t>
        </is>
      </c>
      <c r="B223" s="6" t="n">
        <v>295</v>
      </c>
      <c r="C223" s="5" t="inlineStr">
        <is>
          <t>Healing prediction, prognosis, and trajectory modeling</t>
        </is>
      </c>
    </row>
    <row r="224">
      <c r="A224" s="5" t="inlineStr">
        <is>
          <t>S8</t>
        </is>
      </c>
      <c r="B224" s="6" t="n">
        <v>296</v>
      </c>
      <c r="C224" s="5" t="inlineStr">
        <is>
          <t>Healing prediction, prognosis, and trajectory modeling</t>
        </is>
      </c>
    </row>
    <row r="225">
      <c r="A225" s="5" t="inlineStr">
        <is>
          <t>S8</t>
        </is>
      </c>
      <c r="B225" s="6" t="n">
        <v>297</v>
      </c>
      <c r="C225" s="5" t="inlineStr">
        <is>
          <t>Healing prediction, prognosis, and trajectory modeling</t>
        </is>
      </c>
    </row>
    <row r="226">
      <c r="A226" s="5" t="inlineStr">
        <is>
          <t>S8</t>
        </is>
      </c>
      <c r="B226" s="6" t="n">
        <v>298</v>
      </c>
      <c r="C226" s="5" t="inlineStr">
        <is>
          <t>Healing prediction, prognosis, and trajectory modeling</t>
        </is>
      </c>
    </row>
    <row r="227">
      <c r="A227" s="5" t="inlineStr">
        <is>
          <t>S8</t>
        </is>
      </c>
      <c r="B227" s="6" t="n">
        <v>299</v>
      </c>
      <c r="C227" s="5" t="inlineStr">
        <is>
          <t>Healing prediction, prognosis, and trajectory modeling</t>
        </is>
      </c>
    </row>
    <row r="228">
      <c r="A228" s="5" t="inlineStr">
        <is>
          <t>S8</t>
        </is>
      </c>
      <c r="B228" s="6" t="n">
        <v>300</v>
      </c>
      <c r="C228" s="5" t="inlineStr">
        <is>
          <t>Healing prediction, prognosis, and trajectory modeling</t>
        </is>
      </c>
    </row>
    <row r="229">
      <c r="A229" s="5" t="inlineStr">
        <is>
          <t>S8</t>
        </is>
      </c>
      <c r="B229" s="6" t="n">
        <v>302</v>
      </c>
      <c r="C229" s="5" t="inlineStr">
        <is>
          <t>Healing prediction, prognosis, and trajectory modeling</t>
        </is>
      </c>
    </row>
    <row r="230">
      <c r="A230" s="5" t="inlineStr">
        <is>
          <t>S8</t>
        </is>
      </c>
      <c r="B230" s="6" t="n">
        <v>305</v>
      </c>
      <c r="C230" s="5" t="inlineStr">
        <is>
          <t>Risk stratification for recurrence, amputation, or mortality</t>
        </is>
      </c>
    </row>
    <row r="231">
      <c r="A231" s="5" t="inlineStr">
        <is>
          <t>S8</t>
        </is>
      </c>
      <c r="B231" s="6" t="n">
        <v>306</v>
      </c>
      <c r="C231" s="5" t="inlineStr">
        <is>
          <t>Healing prediction, prognosis, and trajectory modeling</t>
        </is>
      </c>
    </row>
    <row r="232">
      <c r="A232" s="5" t="inlineStr">
        <is>
          <t>S8</t>
        </is>
      </c>
      <c r="B232" s="6" t="n">
        <v>307</v>
      </c>
      <c r="C232" s="5" t="inlineStr">
        <is>
          <t>Risk stratification for recurrence, amputation, or mortality</t>
        </is>
      </c>
    </row>
    <row r="233">
      <c r="A233" s="5" t="inlineStr">
        <is>
          <t>S8</t>
        </is>
      </c>
      <c r="B233" s="6" t="n">
        <v>308</v>
      </c>
      <c r="C233" s="5" t="inlineStr">
        <is>
          <t>Risk stratification for recurrence, amputation, or mortality</t>
        </is>
      </c>
    </row>
    <row r="234">
      <c r="A234" s="5" t="inlineStr">
        <is>
          <t>S8</t>
        </is>
      </c>
      <c r="B234" s="6" t="n">
        <v>310</v>
      </c>
      <c r="C234" s="5" t="inlineStr">
        <is>
          <t>Risk stratification for recurrence, amputation, or mortality</t>
        </is>
      </c>
    </row>
    <row r="235">
      <c r="A235" s="5" t="inlineStr">
        <is>
          <t>S8</t>
        </is>
      </c>
      <c r="B235" s="6" t="n">
        <v>311</v>
      </c>
      <c r="C235" s="5" t="inlineStr">
        <is>
          <t>Risk stratification for recurrence, amputation, or mortality</t>
        </is>
      </c>
    </row>
    <row r="236">
      <c r="A236" s="5" t="inlineStr">
        <is>
          <t>S8</t>
        </is>
      </c>
      <c r="B236" s="6" t="n">
        <v>312</v>
      </c>
      <c r="C236" s="5" t="inlineStr">
        <is>
          <t>Risk stratification for recurrence, amputation, or mortality</t>
        </is>
      </c>
    </row>
    <row r="237">
      <c r="A237" s="5" t="inlineStr">
        <is>
          <t>S8</t>
        </is>
      </c>
      <c r="B237" s="6" t="n">
        <v>321</v>
      </c>
      <c r="C237" s="5" t="inlineStr">
        <is>
          <t>Biomaterial design and formulation optimization</t>
        </is>
      </c>
    </row>
    <row r="238">
      <c r="A238" s="5" t="inlineStr">
        <is>
          <t>S8</t>
        </is>
      </c>
      <c r="B238" s="6" t="n">
        <v>330</v>
      </c>
      <c r="C238" s="5" t="inlineStr">
        <is>
          <t>Biomaterial design and formulation optimization</t>
        </is>
      </c>
    </row>
    <row r="239">
      <c r="A239" s="5" t="inlineStr">
        <is>
          <t>S8</t>
        </is>
      </c>
      <c r="B239" s="6" t="n">
        <v>331</v>
      </c>
      <c r="C239" s="5" t="inlineStr">
        <is>
          <t>Biomaterial design and formulation optimization</t>
        </is>
      </c>
    </row>
    <row r="240">
      <c r="A240" s="5" t="inlineStr">
        <is>
          <t>S8</t>
        </is>
      </c>
      <c r="B240" s="6" t="n">
        <v>340</v>
      </c>
      <c r="C240" s="5" t="inlineStr">
        <is>
          <t>AI-ready smart sensing and closed-loop therapeutic platforms</t>
        </is>
      </c>
    </row>
    <row r="241">
      <c r="A241" s="5" t="inlineStr">
        <is>
          <t>S8</t>
        </is>
      </c>
      <c r="B241" s="6" t="n">
        <v>341</v>
      </c>
      <c r="C241" s="5" t="inlineStr">
        <is>
          <t>AI-ready smart sensing and closed-loop therapeutic platforms</t>
        </is>
      </c>
    </row>
    <row r="242">
      <c r="A242" s="5" t="inlineStr">
        <is>
          <t>S8</t>
        </is>
      </c>
      <c r="B242" s="6" t="n">
        <v>342</v>
      </c>
      <c r="C242" s="5" t="inlineStr">
        <is>
          <t>AI-enabled wound-status sensing and classification</t>
        </is>
      </c>
    </row>
    <row r="243">
      <c r="A243" s="5" t="inlineStr">
        <is>
          <t>S8</t>
        </is>
      </c>
      <c r="B243" s="6" t="n">
        <v>343</v>
      </c>
      <c r="C243" s="5" t="inlineStr">
        <is>
          <t>AI-ready smart sensing and closed-loop therapeutic platforms</t>
        </is>
      </c>
    </row>
    <row r="244">
      <c r="A244" s="5" t="inlineStr">
        <is>
          <t>S8</t>
        </is>
      </c>
      <c r="B244" s="6" t="n">
        <v>344</v>
      </c>
      <c r="C244" s="5" t="inlineStr">
        <is>
          <t>AI-ready smart sensing and closed-loop therapeutic platforms</t>
        </is>
      </c>
    </row>
    <row r="245">
      <c r="A245" s="5" t="inlineStr">
        <is>
          <t>S8</t>
        </is>
      </c>
      <c r="B245" s="6" t="n">
        <v>345</v>
      </c>
      <c r="C245" s="5" t="inlineStr">
        <is>
          <t>AI-ready smart sensing and closed-loop therapeutic platforms</t>
        </is>
      </c>
    </row>
    <row r="246">
      <c r="A246" s="5" t="inlineStr">
        <is>
          <t>S8</t>
        </is>
      </c>
      <c r="B246" s="6" t="n">
        <v>346</v>
      </c>
      <c r="C246" s="5" t="inlineStr">
        <is>
          <t>AI-ready smart sensing and closed-loop therapeutic platforms</t>
        </is>
      </c>
    </row>
    <row r="247">
      <c r="A247" s="5" t="inlineStr">
        <is>
          <t>S8</t>
        </is>
      </c>
      <c r="B247" s="6" t="n">
        <v>347</v>
      </c>
      <c r="C247" s="5" t="inlineStr">
        <is>
          <t>AI-ready smart sensing and closed-loop therapeutic platforms</t>
        </is>
      </c>
    </row>
    <row r="248">
      <c r="A248" s="5" t="inlineStr">
        <is>
          <t>S8</t>
        </is>
      </c>
      <c r="B248" s="6" t="n">
        <v>348</v>
      </c>
      <c r="C248" s="5" t="inlineStr">
        <is>
          <t>AI-ready smart sensing and closed-loop therapeutic platforms</t>
        </is>
      </c>
    </row>
    <row r="249">
      <c r="A249" s="5" t="inlineStr">
        <is>
          <t>S8</t>
        </is>
      </c>
      <c r="B249" s="6" t="n">
        <v>349</v>
      </c>
      <c r="C249" s="5" t="inlineStr">
        <is>
          <t>AI-ready smart sensing and closed-loop therapeutic platforms</t>
        </is>
      </c>
    </row>
    <row r="250">
      <c r="A250" s="5" t="inlineStr">
        <is>
          <t>S8</t>
        </is>
      </c>
      <c r="B250" s="6" t="n">
        <v>351</v>
      </c>
      <c r="C250" s="5" t="inlineStr">
        <is>
          <t>AI-ready smart sensing and closed-loop therapeutic platforms</t>
        </is>
      </c>
    </row>
    <row r="251">
      <c r="A251" s="5" t="inlineStr">
        <is>
          <t>S8</t>
        </is>
      </c>
      <c r="B251" s="6" t="n">
        <v>352</v>
      </c>
      <c r="C251" s="5" t="inlineStr">
        <is>
          <t>AI-ready smart sensing and closed-loop therapeutic platforms</t>
        </is>
      </c>
    </row>
    <row r="252">
      <c r="A252" s="5" t="inlineStr">
        <is>
          <t>S8</t>
        </is>
      </c>
      <c r="B252" s="6" t="n">
        <v>353</v>
      </c>
      <c r="C252" s="5" t="inlineStr">
        <is>
          <t>AI-ready smart sensing and closed-loop therapeutic platforms</t>
        </is>
      </c>
    </row>
    <row r="253">
      <c r="A253" s="5" t="inlineStr">
        <is>
          <t>S9</t>
        </is>
      </c>
      <c r="B253" s="6" t="n">
        <v>91</v>
      </c>
      <c r="C253" s="5" t="inlineStr">
        <is>
          <t>Healing prediction, prognosis, and trajectory modeling</t>
        </is>
      </c>
    </row>
    <row r="254">
      <c r="A254" s="5" t="inlineStr">
        <is>
          <t>S9</t>
        </is>
      </c>
      <c r="B254" s="6" t="n">
        <v>102</v>
      </c>
      <c r="C254" s="5" t="inlineStr">
        <is>
          <t>AI-enabled wound-status sensing and classification</t>
        </is>
      </c>
    </row>
    <row r="255">
      <c r="A255" s="5" t="inlineStr">
        <is>
          <t>S9</t>
        </is>
      </c>
      <c r="B255" s="6" t="n">
        <v>271</v>
      </c>
      <c r="C255" s="5" t="inlineStr">
        <is>
          <t>Automated image segmentation and quantitative wound-image analysis</t>
        </is>
      </c>
    </row>
    <row r="256">
      <c r="A256" s="5" t="inlineStr">
        <is>
          <t>S9</t>
        </is>
      </c>
      <c r="B256" s="6" t="n">
        <v>272</v>
      </c>
      <c r="C256" s="5" t="inlineStr">
        <is>
          <t>Automated image segmentation and quantitative wound-image analysis</t>
        </is>
      </c>
    </row>
    <row r="257">
      <c r="A257" s="5" t="inlineStr">
        <is>
          <t>S9</t>
        </is>
      </c>
      <c r="B257" s="6" t="n">
        <v>275</v>
      </c>
      <c r="C257" s="5" t="inlineStr">
        <is>
          <t>Automated image segmentation and quantitative wound-image analysis</t>
        </is>
      </c>
    </row>
    <row r="258">
      <c r="A258" s="5" t="inlineStr">
        <is>
          <t>S9</t>
        </is>
      </c>
      <c r="B258" s="6" t="n">
        <v>276</v>
      </c>
      <c r="C258" s="5" t="inlineStr">
        <is>
          <t>Automated image segmentation and quantitative wound-image analysis</t>
        </is>
      </c>
    </row>
    <row r="259">
      <c r="A259" s="5" t="inlineStr">
        <is>
          <t>S9</t>
        </is>
      </c>
      <c r="B259" s="6" t="n">
        <v>277</v>
      </c>
      <c r="C259" s="5" t="inlineStr">
        <is>
          <t>Automated image segmentation and quantitative wound-image analysis</t>
        </is>
      </c>
    </row>
    <row r="260">
      <c r="A260" s="5" t="inlineStr">
        <is>
          <t>S9</t>
        </is>
      </c>
      <c r="B260" s="6" t="n">
        <v>281</v>
      </c>
      <c r="C260" s="5" t="inlineStr">
        <is>
          <t>Automated image segmentation and quantitative wound-image analysis</t>
        </is>
      </c>
    </row>
    <row r="261">
      <c r="A261" s="5" t="inlineStr">
        <is>
          <t>S9</t>
        </is>
      </c>
      <c r="B261" s="6" t="n">
        <v>282</v>
      </c>
      <c r="C261" s="5" t="inlineStr">
        <is>
          <t>Image-based classification and detection</t>
        </is>
      </c>
    </row>
    <row r="262">
      <c r="A262" s="5" t="inlineStr">
        <is>
          <t>S9</t>
        </is>
      </c>
      <c r="B262" s="6" t="n">
        <v>283</v>
      </c>
      <c r="C262" s="5" t="inlineStr">
        <is>
          <t>Image-based classification and detection</t>
        </is>
      </c>
    </row>
    <row r="263">
      <c r="A263" s="5" t="inlineStr">
        <is>
          <t>S9</t>
        </is>
      </c>
      <c r="B263" s="6" t="n">
        <v>284</v>
      </c>
      <c r="C263" s="5" t="inlineStr">
        <is>
          <t>Automated image segmentation and quantitative wound-image analysis</t>
        </is>
      </c>
    </row>
    <row r="264">
      <c r="A264" s="5" t="inlineStr">
        <is>
          <t>S9</t>
        </is>
      </c>
      <c r="B264" s="6" t="n">
        <v>286</v>
      </c>
      <c r="C264" s="5" t="inlineStr">
        <is>
          <t>Automated image segmentation and quantitative wound-image analysis</t>
        </is>
      </c>
    </row>
    <row r="265">
      <c r="A265" s="5" t="inlineStr">
        <is>
          <t>S9</t>
        </is>
      </c>
      <c r="B265" s="6" t="n">
        <v>287</v>
      </c>
      <c r="C265" s="5" t="inlineStr">
        <is>
          <t>Automated image segmentation and quantitative wound-image analysis</t>
        </is>
      </c>
    </row>
    <row r="266">
      <c r="A266" s="5" t="inlineStr">
        <is>
          <t>S9</t>
        </is>
      </c>
      <c r="B266" s="6" t="n">
        <v>288</v>
      </c>
      <c r="C266" s="5" t="inlineStr">
        <is>
          <t>Automated image segmentation and quantitative wound-image analysis</t>
        </is>
      </c>
    </row>
    <row r="267">
      <c r="A267" s="5" t="inlineStr">
        <is>
          <t>S9</t>
        </is>
      </c>
      <c r="B267" s="6" t="n">
        <v>293</v>
      </c>
      <c r="C267" s="5" t="inlineStr">
        <is>
          <t>Healing prediction, prognosis, and trajectory modeling</t>
        </is>
      </c>
    </row>
    <row r="268">
      <c r="A268" s="5" t="inlineStr">
        <is>
          <t>S9</t>
        </is>
      </c>
      <c r="B268" s="6" t="n">
        <v>295</v>
      </c>
      <c r="C268" s="5" t="inlineStr">
        <is>
          <t>Healing prediction, prognosis, and trajectory modeling</t>
        </is>
      </c>
    </row>
    <row r="269">
      <c r="A269" s="5" t="inlineStr">
        <is>
          <t>S9</t>
        </is>
      </c>
      <c r="B269" s="6" t="n">
        <v>296</v>
      </c>
      <c r="C269" s="5" t="inlineStr">
        <is>
          <t>Healing prediction, prognosis, and trajectory modeling</t>
        </is>
      </c>
    </row>
    <row r="270">
      <c r="A270" s="5" t="inlineStr">
        <is>
          <t>S9</t>
        </is>
      </c>
      <c r="B270" s="6" t="n">
        <v>297</v>
      </c>
      <c r="C270" s="5" t="inlineStr">
        <is>
          <t>Healing prediction, prognosis, and trajectory modeling</t>
        </is>
      </c>
    </row>
    <row r="271">
      <c r="A271" s="5" t="inlineStr">
        <is>
          <t>S9</t>
        </is>
      </c>
      <c r="B271" s="6" t="n">
        <v>298</v>
      </c>
      <c r="C271" s="5" t="inlineStr">
        <is>
          <t>Healing prediction, prognosis, and trajectory modeling</t>
        </is>
      </c>
    </row>
    <row r="272">
      <c r="A272" s="5" t="inlineStr">
        <is>
          <t>S9</t>
        </is>
      </c>
      <c r="B272" s="6" t="n">
        <v>299</v>
      </c>
      <c r="C272" s="5" t="inlineStr">
        <is>
          <t>Healing prediction, prognosis, and trajectory modeling</t>
        </is>
      </c>
    </row>
    <row r="273">
      <c r="A273" s="5" t="inlineStr">
        <is>
          <t>S9</t>
        </is>
      </c>
      <c r="B273" s="6" t="n">
        <v>300</v>
      </c>
      <c r="C273" s="5" t="inlineStr">
        <is>
          <t>Healing prediction, prognosis, and trajectory modeling</t>
        </is>
      </c>
    </row>
    <row r="274">
      <c r="A274" s="5" t="inlineStr">
        <is>
          <t>S9</t>
        </is>
      </c>
      <c r="B274" s="6" t="n">
        <v>302</v>
      </c>
      <c r="C274" s="5" t="inlineStr">
        <is>
          <t>Healing prediction, prognosis, and trajectory modeling</t>
        </is>
      </c>
    </row>
    <row r="275">
      <c r="A275" s="5" t="inlineStr">
        <is>
          <t>S9</t>
        </is>
      </c>
      <c r="B275" s="6" t="n">
        <v>305</v>
      </c>
      <c r="C275" s="5" t="inlineStr">
        <is>
          <t>Risk stratification for recurrence, amputation, or mortality</t>
        </is>
      </c>
    </row>
    <row r="276">
      <c r="A276" s="5" t="inlineStr">
        <is>
          <t>S9</t>
        </is>
      </c>
      <c r="B276" s="6" t="n">
        <v>306</v>
      </c>
      <c r="C276" s="5" t="inlineStr">
        <is>
          <t>Healing prediction, prognosis, and trajectory modeling</t>
        </is>
      </c>
    </row>
    <row r="277">
      <c r="A277" s="5" t="inlineStr">
        <is>
          <t>S9</t>
        </is>
      </c>
      <c r="B277" s="6" t="n">
        <v>307</v>
      </c>
      <c r="C277" s="5" t="inlineStr">
        <is>
          <t>Risk stratification for recurrence, amputation, or mortality</t>
        </is>
      </c>
    </row>
    <row r="278">
      <c r="A278" s="5" t="inlineStr">
        <is>
          <t>S9</t>
        </is>
      </c>
      <c r="B278" s="6" t="n">
        <v>308</v>
      </c>
      <c r="C278" s="5" t="inlineStr">
        <is>
          <t>Risk stratification for recurrence, amputation, or mortality</t>
        </is>
      </c>
    </row>
    <row r="279">
      <c r="A279" s="5" t="inlineStr">
        <is>
          <t>S9</t>
        </is>
      </c>
      <c r="B279" s="6" t="n">
        <v>310</v>
      </c>
      <c r="C279" s="5" t="inlineStr">
        <is>
          <t>Risk stratification for recurrence, amputation, or mortality</t>
        </is>
      </c>
    </row>
    <row r="280">
      <c r="A280" s="5" t="inlineStr">
        <is>
          <t>S9</t>
        </is>
      </c>
      <c r="B280" s="6" t="n">
        <v>311</v>
      </c>
      <c r="C280" s="5" t="inlineStr">
        <is>
          <t>Risk stratification for recurrence, amputation, or mortality</t>
        </is>
      </c>
    </row>
    <row r="281">
      <c r="A281" s="5" t="inlineStr">
        <is>
          <t>S9</t>
        </is>
      </c>
      <c r="B281" s="6" t="n">
        <v>312</v>
      </c>
      <c r="C281" s="5" t="inlineStr">
        <is>
          <t>Risk stratification for recurrence, amputation, or mortality</t>
        </is>
      </c>
    </row>
    <row r="282">
      <c r="A282" s="5" t="inlineStr">
        <is>
          <t>S9</t>
        </is>
      </c>
      <c r="B282" s="6" t="n">
        <v>321</v>
      </c>
      <c r="C282" s="5" t="inlineStr">
        <is>
          <t>Biomaterial design and formulation optimization</t>
        </is>
      </c>
    </row>
    <row r="283">
      <c r="A283" s="5" t="inlineStr">
        <is>
          <t>S9</t>
        </is>
      </c>
      <c r="B283" s="6" t="n">
        <v>330</v>
      </c>
      <c r="C283" s="5" t="inlineStr">
        <is>
          <t>Biomaterial design and formulation optimization</t>
        </is>
      </c>
    </row>
    <row r="284">
      <c r="A284" s="5" t="inlineStr">
        <is>
          <t>S9</t>
        </is>
      </c>
      <c r="B284" s="6" t="n">
        <v>331</v>
      </c>
      <c r="C284" s="5" t="inlineStr">
        <is>
          <t>Biomaterial design and formulation optimization</t>
        </is>
      </c>
    </row>
    <row r="285">
      <c r="A285" s="5" t="inlineStr">
        <is>
          <t>S9</t>
        </is>
      </c>
      <c r="B285" s="6" t="n">
        <v>340</v>
      </c>
      <c r="C285" s="5" t="inlineStr">
        <is>
          <t>AI-ready smart sensing and closed-loop therapeutic platforms</t>
        </is>
      </c>
    </row>
    <row r="286">
      <c r="A286" s="5" t="inlineStr">
        <is>
          <t>S9</t>
        </is>
      </c>
      <c r="B286" s="6" t="n">
        <v>341</v>
      </c>
      <c r="C286" s="5" t="inlineStr">
        <is>
          <t>AI-ready smart sensing and closed-loop therapeutic platforms</t>
        </is>
      </c>
    </row>
    <row r="287">
      <c r="A287" s="5" t="inlineStr">
        <is>
          <t>S9</t>
        </is>
      </c>
      <c r="B287" s="6" t="n">
        <v>342</v>
      </c>
      <c r="C287" s="5" t="inlineStr">
        <is>
          <t>AI-enabled wound-status sensing and classification</t>
        </is>
      </c>
    </row>
    <row r="288">
      <c r="A288" s="5" t="inlineStr">
        <is>
          <t>S9</t>
        </is>
      </c>
      <c r="B288" s="6" t="n">
        <v>343</v>
      </c>
      <c r="C288" s="5" t="inlineStr">
        <is>
          <t>AI-ready smart sensing and closed-loop therapeutic platforms</t>
        </is>
      </c>
    </row>
    <row r="289">
      <c r="A289" s="5" t="inlineStr">
        <is>
          <t>S9</t>
        </is>
      </c>
      <c r="B289" s="6" t="n">
        <v>344</v>
      </c>
      <c r="C289" s="5" t="inlineStr">
        <is>
          <t>AI-ready smart sensing and closed-loop therapeutic platforms</t>
        </is>
      </c>
    </row>
    <row r="290">
      <c r="A290" s="5" t="inlineStr">
        <is>
          <t>S9</t>
        </is>
      </c>
      <c r="B290" s="6" t="n">
        <v>345</v>
      </c>
      <c r="C290" s="5" t="inlineStr">
        <is>
          <t>AI-ready smart sensing and closed-loop therapeutic platforms</t>
        </is>
      </c>
    </row>
    <row r="291">
      <c r="A291" s="5" t="inlineStr">
        <is>
          <t>S9</t>
        </is>
      </c>
      <c r="B291" s="6" t="n">
        <v>346</v>
      </c>
      <c r="C291" s="5" t="inlineStr">
        <is>
          <t>AI-ready smart sensing and closed-loop therapeutic platforms</t>
        </is>
      </c>
    </row>
    <row r="292">
      <c r="A292" s="5" t="inlineStr">
        <is>
          <t>S9</t>
        </is>
      </c>
      <c r="B292" s="6" t="n">
        <v>347</v>
      </c>
      <c r="C292" s="5" t="inlineStr">
        <is>
          <t>AI-ready smart sensing and closed-loop therapeutic platforms</t>
        </is>
      </c>
    </row>
    <row r="293">
      <c r="A293" s="5" t="inlineStr">
        <is>
          <t>S9</t>
        </is>
      </c>
      <c r="B293" s="6" t="n">
        <v>348</v>
      </c>
      <c r="C293" s="5" t="inlineStr">
        <is>
          <t>AI-ready smart sensing and closed-loop therapeutic platforms</t>
        </is>
      </c>
    </row>
    <row r="294">
      <c r="A294" s="5" t="inlineStr">
        <is>
          <t>S9</t>
        </is>
      </c>
      <c r="B294" s="6" t="n">
        <v>349</v>
      </c>
      <c r="C294" s="5" t="inlineStr">
        <is>
          <t>AI-ready smart sensing and closed-loop therapeutic platforms</t>
        </is>
      </c>
    </row>
    <row r="295">
      <c r="A295" s="5" t="inlineStr">
        <is>
          <t>S9</t>
        </is>
      </c>
      <c r="B295" s="6" t="n">
        <v>351</v>
      </c>
      <c r="C295" s="5" t="inlineStr">
        <is>
          <t>AI-ready smart sensing and closed-loop therapeutic platforms</t>
        </is>
      </c>
    </row>
    <row r="296">
      <c r="A296" s="5" t="inlineStr">
        <is>
          <t>S9</t>
        </is>
      </c>
      <c r="B296" s="6" t="n">
        <v>352</v>
      </c>
      <c r="C296" s="5" t="inlineStr">
        <is>
          <t>AI-ready smart sensing and closed-loop therapeutic platforms</t>
        </is>
      </c>
    </row>
    <row r="297">
      <c r="A297" s="5" t="inlineStr">
        <is>
          <t>S9</t>
        </is>
      </c>
      <c r="B297" s="6" t="n">
        <v>353</v>
      </c>
      <c r="C297" s="5" t="inlineStr">
        <is>
          <t>AI-ready smart sensing and closed-loop therapeutic platforms</t>
        </is>
      </c>
    </row>
    <row r="298">
      <c r="A298" s="5" t="inlineStr">
        <is>
          <t>S10</t>
        </is>
      </c>
      <c r="B298" s="6" t="n">
        <v>356</v>
      </c>
      <c r="C298" s="5" t="inlineStr"/>
    </row>
    <row r="299">
      <c r="A299" s="5" t="inlineStr">
        <is>
          <t>S10</t>
        </is>
      </c>
      <c r="B299" s="6" t="n">
        <v>357</v>
      </c>
      <c r="C299" s="5" t="inlineStr"/>
    </row>
    <row r="300">
      <c r="A300" s="5" t="inlineStr">
        <is>
          <t>S10</t>
        </is>
      </c>
      <c r="B300" s="6" t="n">
        <v>358</v>
      </c>
      <c r="C300" s="5" t="inlineStr"/>
    </row>
    <row r="301">
      <c r="A301" s="5" t="inlineStr">
        <is>
          <t>S10</t>
        </is>
      </c>
      <c r="B301" s="6" t="n">
        <v>359</v>
      </c>
      <c r="C301" s="5" t="inlineStr"/>
    </row>
    <row r="302">
      <c r="A302" s="5" t="inlineStr">
        <is>
          <t>S10</t>
        </is>
      </c>
      <c r="B302" s="6" t="n">
        <v>360</v>
      </c>
      <c r="C302" s="5" t="inlineStr"/>
    </row>
    <row r="303">
      <c r="A303" s="5" t="inlineStr">
        <is>
          <t>S10</t>
        </is>
      </c>
      <c r="B303" s="6" t="n">
        <v>361</v>
      </c>
      <c r="C303" s="5" t="inlineStr"/>
    </row>
    <row r="304">
      <c r="A304" s="5" t="inlineStr">
        <is>
          <t>S10</t>
        </is>
      </c>
      <c r="B304" s="6" t="n">
        <v>365</v>
      </c>
      <c r="C304" s="5" t="inlineStr"/>
    </row>
    <row r="305">
      <c r="A305" s="5" t="inlineStr">
        <is>
          <t>S10</t>
        </is>
      </c>
      <c r="B305" s="6" t="n">
        <v>366</v>
      </c>
      <c r="C305" s="5" t="inlineStr"/>
    </row>
    <row r="306">
      <c r="A306" s="5" t="inlineStr">
        <is>
          <t>S10</t>
        </is>
      </c>
      <c r="B306" s="6" t="n">
        <v>367</v>
      </c>
      <c r="C306" s="5" t="inlineStr"/>
    </row>
    <row r="307">
      <c r="A307" s="5" t="inlineStr">
        <is>
          <t>S10</t>
        </is>
      </c>
      <c r="B307" s="6" t="n">
        <v>369</v>
      </c>
      <c r="C307" s="5" t="inlineStr"/>
    </row>
    <row r="308">
      <c r="A308" s="5" t="inlineStr">
        <is>
          <t>S10</t>
        </is>
      </c>
      <c r="B308" s="6" t="n">
        <v>384</v>
      </c>
      <c r="C308" s="5" t="inlineStr"/>
    </row>
    <row r="309">
      <c r="A309" s="5" t="inlineStr">
        <is>
          <t>S10</t>
        </is>
      </c>
      <c r="B309" s="6" t="n">
        <v>385</v>
      </c>
      <c r="C309" s="5" t="inlineStr"/>
    </row>
    <row r="310">
      <c r="A310" s="5" t="inlineStr">
        <is>
          <t>S10</t>
        </is>
      </c>
      <c r="B310" s="6" t="n">
        <v>394</v>
      </c>
      <c r="C310" s="5" t="inlineStr"/>
    </row>
    <row r="311">
      <c r="A311" s="5" t="inlineStr">
        <is>
          <t>S10</t>
        </is>
      </c>
      <c r="B311" s="6" t="n">
        <v>400</v>
      </c>
      <c r="C311" s="5" t="inlineStr"/>
    </row>
    <row r="312">
      <c r="A312" s="5" t="inlineStr">
        <is>
          <t>S10</t>
        </is>
      </c>
      <c r="B312" s="6" t="n">
        <v>401</v>
      </c>
      <c r="C312" s="5" t="inlineStr"/>
    </row>
    <row r="313">
      <c r="A313" s="5" t="inlineStr">
        <is>
          <t>S10</t>
        </is>
      </c>
      <c r="B313" s="6" t="n">
        <v>403</v>
      </c>
      <c r="C313" s="5" t="inlineStr"/>
    </row>
    <row r="314">
      <c r="A314" s="5" t="inlineStr">
        <is>
          <t>S10</t>
        </is>
      </c>
      <c r="B314" s="6" t="n">
        <v>404</v>
      </c>
      <c r="C314" s="5" t="inlineStr"/>
    </row>
    <row r="315">
      <c r="A315" s="5" t="inlineStr">
        <is>
          <t>S10</t>
        </is>
      </c>
      <c r="B315" s="6" t="n">
        <v>405</v>
      </c>
      <c r="C315" s="5" t="inlineStr"/>
    </row>
    <row r="316">
      <c r="A316" s="5" t="inlineStr">
        <is>
          <t>S10</t>
        </is>
      </c>
      <c r="B316" s="6" t="n">
        <v>413</v>
      </c>
      <c r="C316" s="5" t="inlineStr"/>
    </row>
    <row r="317">
      <c r="A317" s="5" t="inlineStr">
        <is>
          <t>S10</t>
        </is>
      </c>
      <c r="B317" s="6" t="n">
        <v>414</v>
      </c>
      <c r="C317" s="5" t="inlineStr"/>
    </row>
    <row r="318">
      <c r="A318" s="5" t="inlineStr">
        <is>
          <t>S10</t>
        </is>
      </c>
      <c r="B318" s="6" t="n">
        <v>423</v>
      </c>
      <c r="C318" s="5" t="inlineStr"/>
    </row>
    <row r="319">
      <c r="A319" s="5" t="inlineStr">
        <is>
          <t>S10</t>
        </is>
      </c>
      <c r="B319" s="6" t="n">
        <v>427</v>
      </c>
      <c r="C319" s="5" t="inlineStr"/>
    </row>
    <row r="320">
      <c r="A320" s="5" t="inlineStr">
        <is>
          <t>S10</t>
        </is>
      </c>
      <c r="B320" s="6" t="n">
        <v>428</v>
      </c>
      <c r="C320" s="5" t="inlineStr"/>
    </row>
    <row r="321">
      <c r="A321" s="5" t="inlineStr">
        <is>
          <t>S10</t>
        </is>
      </c>
      <c r="B321" s="6" t="n">
        <v>430</v>
      </c>
      <c r="C321" s="5" t="inlineStr"/>
    </row>
    <row r="322">
      <c r="A322" s="5" t="inlineStr">
        <is>
          <t>S10</t>
        </is>
      </c>
      <c r="B322" s="6" t="n">
        <v>432</v>
      </c>
      <c r="C322" s="5" t="inlineStr"/>
    </row>
    <row r="323">
      <c r="A323" s="5" t="inlineStr">
        <is>
          <t>S10</t>
        </is>
      </c>
      <c r="B323" s="6" t="n">
        <v>451</v>
      </c>
      <c r="C323" s="5" t="inlineStr"/>
    </row>
    <row r="324">
      <c r="A324" s="5" t="inlineStr">
        <is>
          <t>S10</t>
        </is>
      </c>
      <c r="B324" s="6" t="n">
        <v>452</v>
      </c>
      <c r="C324" s="5" t="inlineStr"/>
    </row>
    <row r="325">
      <c r="A325" s="5" t="inlineStr">
        <is>
          <t>S10</t>
        </is>
      </c>
      <c r="B325" s="6" t="n">
        <v>453</v>
      </c>
      <c r="C325" s="5" t="inlineStr"/>
    </row>
    <row r="326">
      <c r="A326" s="5" t="inlineStr">
        <is>
          <t>S10</t>
        </is>
      </c>
      <c r="B326" s="6" t="n">
        <v>454</v>
      </c>
      <c r="C326" s="5" t="inlineStr"/>
    </row>
    <row r="327">
      <c r="A327" s="5" t="inlineStr">
        <is>
          <t>S10</t>
        </is>
      </c>
      <c r="B327" s="6" t="n">
        <v>460</v>
      </c>
      <c r="C327" s="5" t="inlineStr"/>
    </row>
    <row r="328">
      <c r="A328" s="5" t="inlineStr">
        <is>
          <t>S10</t>
        </is>
      </c>
      <c r="B328" s="6" t="n">
        <v>468</v>
      </c>
      <c r="C328" s="5" t="inlineStr"/>
    </row>
    <row r="329">
      <c r="A329" s="5" t="inlineStr">
        <is>
          <t>S10</t>
        </is>
      </c>
      <c r="B329" s="6" t="n">
        <v>469</v>
      </c>
      <c r="C329" s="5" t="inlineStr"/>
    </row>
    <row r="330">
      <c r="A330" s="5" t="inlineStr">
        <is>
          <t>S10</t>
        </is>
      </c>
      <c r="B330" s="6" t="n">
        <v>470</v>
      </c>
      <c r="C330" s="5" t="inlineStr"/>
    </row>
    <row r="331">
      <c r="A331" s="5" t="inlineStr">
        <is>
          <t>S10</t>
        </is>
      </c>
      <c r="B331" s="6" t="n">
        <v>474</v>
      </c>
      <c r="C331" s="5" t="inlineStr"/>
    </row>
    <row r="332">
      <c r="A332" s="5" t="inlineStr">
        <is>
          <t>S11</t>
        </is>
      </c>
      <c r="B332" s="6" t="n">
        <v>356</v>
      </c>
      <c r="C332" s="5" t="inlineStr"/>
    </row>
    <row r="333">
      <c r="A333" s="5" t="inlineStr">
        <is>
          <t>S11</t>
        </is>
      </c>
      <c r="B333" s="6" t="n">
        <v>357</v>
      </c>
      <c r="C333" s="5" t="inlineStr"/>
    </row>
    <row r="334">
      <c r="A334" s="5" t="inlineStr">
        <is>
          <t>S11</t>
        </is>
      </c>
      <c r="B334" s="6" t="n">
        <v>358</v>
      </c>
      <c r="C334" s="5" t="inlineStr"/>
    </row>
    <row r="335">
      <c r="A335" s="5" t="inlineStr">
        <is>
          <t>S11</t>
        </is>
      </c>
      <c r="B335" s="6" t="n">
        <v>359</v>
      </c>
      <c r="C335" s="5" t="inlineStr"/>
    </row>
    <row r="336">
      <c r="A336" s="5" t="inlineStr">
        <is>
          <t>S11</t>
        </is>
      </c>
      <c r="B336" s="6" t="n">
        <v>360</v>
      </c>
      <c r="C336" s="5" t="inlineStr"/>
    </row>
    <row r="337">
      <c r="A337" s="5" t="inlineStr">
        <is>
          <t>S11</t>
        </is>
      </c>
      <c r="B337" s="6" t="n">
        <v>361</v>
      </c>
      <c r="C337" s="5" t="inlineStr"/>
    </row>
    <row r="338">
      <c r="A338" s="5" t="inlineStr">
        <is>
          <t>S11</t>
        </is>
      </c>
      <c r="B338" s="6" t="n">
        <v>365</v>
      </c>
      <c r="C338" s="5" t="inlineStr"/>
    </row>
    <row r="339">
      <c r="A339" s="5" t="inlineStr">
        <is>
          <t>S11</t>
        </is>
      </c>
      <c r="B339" s="6" t="n">
        <v>366</v>
      </c>
      <c r="C339" s="5" t="inlineStr"/>
    </row>
    <row r="340">
      <c r="A340" s="5" t="inlineStr">
        <is>
          <t>S11</t>
        </is>
      </c>
      <c r="B340" s="6" t="n">
        <v>367</v>
      </c>
      <c r="C340" s="5" t="inlineStr"/>
    </row>
    <row r="341">
      <c r="A341" s="5" t="inlineStr">
        <is>
          <t>S11</t>
        </is>
      </c>
      <c r="B341" s="6" t="n">
        <v>369</v>
      </c>
      <c r="C341" s="5" t="inlineStr"/>
    </row>
    <row r="342">
      <c r="A342" s="5" t="inlineStr">
        <is>
          <t>S11</t>
        </is>
      </c>
      <c r="B342" s="6" t="n">
        <v>384</v>
      </c>
      <c r="C342" s="5" t="inlineStr"/>
    </row>
    <row r="343">
      <c r="A343" s="5" t="inlineStr">
        <is>
          <t>S11</t>
        </is>
      </c>
      <c r="B343" s="6" t="n">
        <v>385</v>
      </c>
      <c r="C343" s="5" t="inlineStr"/>
    </row>
    <row r="344">
      <c r="A344" s="5" t="inlineStr">
        <is>
          <t>S11</t>
        </is>
      </c>
      <c r="B344" s="6" t="n">
        <v>394</v>
      </c>
      <c r="C344" s="5" t="inlineStr"/>
    </row>
    <row r="345">
      <c r="A345" s="5" t="inlineStr">
        <is>
          <t>S11</t>
        </is>
      </c>
      <c r="B345" s="6" t="n">
        <v>400</v>
      </c>
      <c r="C345" s="5" t="inlineStr"/>
    </row>
    <row r="346">
      <c r="A346" s="5" t="inlineStr">
        <is>
          <t>S11</t>
        </is>
      </c>
      <c r="B346" s="6" t="n">
        <v>401</v>
      </c>
      <c r="C346" s="5" t="inlineStr"/>
    </row>
    <row r="347">
      <c r="A347" s="5" t="inlineStr">
        <is>
          <t>S11</t>
        </is>
      </c>
      <c r="B347" s="6" t="n">
        <v>403</v>
      </c>
      <c r="C347" s="5" t="inlineStr"/>
    </row>
    <row r="348">
      <c r="A348" s="5" t="inlineStr">
        <is>
          <t>S11</t>
        </is>
      </c>
      <c r="B348" s="6" t="n">
        <v>404</v>
      </c>
      <c r="C348" s="5" t="inlineStr"/>
    </row>
    <row r="349">
      <c r="A349" s="5" t="inlineStr">
        <is>
          <t>S11</t>
        </is>
      </c>
      <c r="B349" s="6" t="n">
        <v>405</v>
      </c>
      <c r="C349" s="5" t="inlineStr"/>
    </row>
    <row r="350">
      <c r="A350" s="5" t="inlineStr">
        <is>
          <t>S11</t>
        </is>
      </c>
      <c r="B350" s="6" t="n">
        <v>413</v>
      </c>
      <c r="C350" s="5" t="inlineStr"/>
    </row>
    <row r="351">
      <c r="A351" s="5" t="inlineStr">
        <is>
          <t>S11</t>
        </is>
      </c>
      <c r="B351" s="6" t="n">
        <v>414</v>
      </c>
      <c r="C351" s="5" t="inlineStr"/>
    </row>
    <row r="352">
      <c r="A352" s="5" t="inlineStr">
        <is>
          <t>S11</t>
        </is>
      </c>
      <c r="B352" s="6" t="n">
        <v>423</v>
      </c>
      <c r="C352" s="5" t="inlineStr"/>
    </row>
    <row r="353">
      <c r="A353" s="5" t="inlineStr">
        <is>
          <t>S11</t>
        </is>
      </c>
      <c r="B353" s="6" t="n">
        <v>427</v>
      </c>
      <c r="C353" s="5" t="inlineStr"/>
    </row>
    <row r="354">
      <c r="A354" s="5" t="inlineStr">
        <is>
          <t>S11</t>
        </is>
      </c>
      <c r="B354" s="6" t="n">
        <v>428</v>
      </c>
      <c r="C354" s="5" t="inlineStr"/>
    </row>
    <row r="355">
      <c r="A355" s="5" t="inlineStr">
        <is>
          <t>S11</t>
        </is>
      </c>
      <c r="B355" s="6" t="n">
        <v>430</v>
      </c>
      <c r="C355" s="5" t="inlineStr"/>
    </row>
    <row r="356">
      <c r="A356" s="5" t="inlineStr">
        <is>
          <t>S11</t>
        </is>
      </c>
      <c r="B356" s="6" t="n">
        <v>432</v>
      </c>
      <c r="C356" s="5" t="inlineStr"/>
    </row>
    <row r="357">
      <c r="A357" s="5" t="inlineStr">
        <is>
          <t>S11</t>
        </is>
      </c>
      <c r="B357" s="6" t="n">
        <v>451</v>
      </c>
      <c r="C357" s="5" t="inlineStr"/>
    </row>
    <row r="358">
      <c r="A358" s="5" t="inlineStr">
        <is>
          <t>S11</t>
        </is>
      </c>
      <c r="B358" s="6" t="n">
        <v>452</v>
      </c>
      <c r="C358" s="5" t="inlineStr"/>
    </row>
    <row r="359">
      <c r="A359" s="5" t="inlineStr">
        <is>
          <t>S11</t>
        </is>
      </c>
      <c r="B359" s="6" t="n">
        <v>453</v>
      </c>
      <c r="C359" s="5" t="inlineStr"/>
    </row>
    <row r="360">
      <c r="A360" s="5" t="inlineStr">
        <is>
          <t>S11</t>
        </is>
      </c>
      <c r="B360" s="6" t="n">
        <v>454</v>
      </c>
      <c r="C360" s="5" t="inlineStr"/>
    </row>
    <row r="361">
      <c r="A361" s="5" t="inlineStr">
        <is>
          <t>S11</t>
        </is>
      </c>
      <c r="B361" s="6" t="n">
        <v>460</v>
      </c>
      <c r="C361" s="5" t="inlineStr"/>
    </row>
    <row r="362">
      <c r="A362" s="5" t="inlineStr">
        <is>
          <t>S11</t>
        </is>
      </c>
      <c r="B362" s="6" t="n">
        <v>468</v>
      </c>
      <c r="C362" s="5" t="inlineStr"/>
    </row>
    <row r="363">
      <c r="A363" s="5" t="inlineStr">
        <is>
          <t>S11</t>
        </is>
      </c>
      <c r="B363" s="6" t="n">
        <v>469</v>
      </c>
      <c r="C363" s="5" t="inlineStr"/>
    </row>
    <row r="364">
      <c r="A364" s="5" t="inlineStr">
        <is>
          <t>S11</t>
        </is>
      </c>
      <c r="B364" s="6" t="n">
        <v>470</v>
      </c>
      <c r="C364" s="5" t="inlineStr"/>
    </row>
    <row r="365">
      <c r="A365" s="5" t="inlineStr">
        <is>
          <t>S11</t>
        </is>
      </c>
      <c r="B365" s="6" t="n">
        <v>474</v>
      </c>
      <c r="C365" s="5" t="inlineStr"/>
    </row>
  </sheetData>
  <pageMargins left="0.7" right="0.7" top="0.75" bottom="0.75" header="0.3" footer="0.3"/>
</worksheet>
</file>

<file path=xl/worksheets/sheet6.xml><?xml version="1.0" encoding="utf-8"?>
<worksheet xmlns="http://schemas.openxmlformats.org/spreadsheetml/2006/main">
  <sheetPr>
    <tabColor rgb="FF2B8C83"/>
    <outlinePr summaryBelow="1" summaryRight="1"/>
    <pageSetUpPr/>
  </sheetPr>
  <dimension ref="A1:N197"/>
  <sheetViews>
    <sheetView showGridLines="0" workbookViewId="0">
      <pane xSplit="3" ySplit="1" topLeftCell="D2" activePane="bottomRight" state="frozen"/>
      <selection pane="topRight" activeCell="D1" sqref="D1"/>
      <selection pane="bottomLeft" activeCell="A2" sqref="A2"/>
      <selection pane="bottomRight" activeCell="A1" sqref="A1"/>
    </sheetView>
  </sheetViews>
  <sheetFormatPr baseColWidth="8" defaultRowHeight="15"/>
  <cols>
    <col width="14.7109375" customWidth="1" min="1" max="1"/>
    <col width="15.7109375" customWidth="1" min="2" max="2"/>
    <col width="50.7109375" customWidth="1" min="3" max="3"/>
    <col width="65.7109375" customWidth="1" min="4" max="4"/>
    <col width="25.7109375" customWidth="1" min="5" max="5"/>
    <col width="60.7109375" customWidth="1" min="6" max="6"/>
    <col width="43.7109375" customWidth="1" min="7" max="7"/>
    <col width="15.7109375" customWidth="1" min="8" max="8"/>
    <col width="17.7109375" customWidth="1" min="9" max="10"/>
    <col width="58.7109375" customWidth="1" min="11" max="11"/>
    <col width="57.7109375" customWidth="1" min="12" max="12"/>
    <col width="22.7109375" customWidth="1" min="13" max="13"/>
    <col width="20.7109375" customWidth="1" min="14" max="14"/>
  </cols>
  <sheetData>
    <row r="1" ht="51" customHeight="1">
      <c r="A1" s="2" t="inlineStr">
        <is>
          <t>Main_ref</t>
        </is>
      </c>
      <c r="B1" s="2" t="inlineStr">
        <is>
          <t>SI_source_table</t>
        </is>
      </c>
      <c r="C1" s="2" t="inlineStr">
        <is>
          <t>SI_table_row</t>
        </is>
      </c>
      <c r="D1" s="2" t="inlineStr">
        <is>
          <t>Main_article_title</t>
        </is>
      </c>
      <c r="E1" s="2" t="inlineStr">
        <is>
          <t>DOI_in_main_register</t>
        </is>
      </c>
      <c r="F1" s="2" t="inlineStr">
        <is>
          <t>Group</t>
        </is>
      </c>
      <c r="G1" s="2" t="inlineStr">
        <is>
          <t>Domain</t>
        </is>
      </c>
      <c r="H1" s="2" t="inlineStr">
        <is>
          <t>Code_0_1</t>
        </is>
      </c>
      <c r="I1" s="2" t="inlineStr">
        <is>
          <t>Proposed_structural_score</t>
        </is>
      </c>
      <c r="J1" s="2" t="inlineStr">
        <is>
          <t>Proposed_disease_score</t>
        </is>
      </c>
      <c r="K1" s="2" t="inlineStr">
        <is>
          <t>Provenance_note</t>
        </is>
      </c>
      <c r="L1" s="2" t="inlineStr">
        <is>
          <t>Source_URL</t>
        </is>
      </c>
      <c r="M1" s="2" t="inlineStr">
        <is>
          <t>Bibliography_title_match_pct</t>
        </is>
      </c>
      <c r="N1" s="2" t="inlineStr">
        <is>
          <t>Citation_present_in_main</t>
        </is>
      </c>
    </row>
    <row r="2">
      <c r="A2" s="6" t="n">
        <v>105</v>
      </c>
      <c r="B2" s="5" t="inlineStr">
        <is>
          <t>S1</t>
        </is>
      </c>
      <c r="C2" s="5" t="inlineStr">
        <is>
          <t>2: Migration assay standardization</t>
        </is>
      </c>
      <c r="D2" s="5" t="inlineStr">
        <is>
          <t>Comparison of in vitro scratch wound assay experimental procedures</t>
        </is>
      </c>
      <c r="E2" s="5" t="inlineStr">
        <is>
          <t>10.1016/j.bbrep.2023.101423</t>
        </is>
      </c>
      <c r="F2" s="5" t="inlineStr">
        <is>
          <t>2D early screening models</t>
        </is>
      </c>
      <c r="G2" s="5" t="inlineStr">
        <is>
          <t>Longitudinal/time-resolved</t>
        </is>
      </c>
      <c r="H2" s="6" t="inlineStr">
        <is>
          <t>1</t>
        </is>
      </c>
      <c r="K2" s="5" t="inlineStr">
        <is>
          <t>From 28-study Table S1 source extraction; zero means not evidenced in extracted record</t>
        </is>
      </c>
      <c r="L2" s="5" t="inlineStr">
        <is>
          <t>https://pmc.ncbi.nlm.nih.gov/articles/PMC9840221/</t>
        </is>
      </c>
      <c r="M2" s="5" t="inlineStr">
        <is>
          <t>100.0</t>
        </is>
      </c>
      <c r="N2" s="5" t="inlineStr">
        <is>
          <t>YES</t>
        </is>
      </c>
    </row>
    <row r="3">
      <c r="A3" s="6" t="n">
        <v>105</v>
      </c>
      <c r="B3" s="5" t="inlineStr">
        <is>
          <t>S1</t>
        </is>
      </c>
      <c r="C3" s="5" t="inlineStr">
        <is>
          <t>2: Migration assay standardization</t>
        </is>
      </c>
      <c r="D3" s="5" t="inlineStr">
        <is>
          <t>Comparison of in vitro scratch wound assay experimental procedures</t>
        </is>
      </c>
      <c r="E3" s="5" t="inlineStr">
        <is>
          <t>10.1016/j.bbrep.2023.101423</t>
        </is>
      </c>
      <c r="F3" s="5" t="inlineStr">
        <is>
          <t>2D early screening models</t>
        </is>
      </c>
      <c r="G3" s="5" t="inlineStr">
        <is>
          <t>Image/segmentation</t>
        </is>
      </c>
      <c r="H3" s="6" t="inlineStr">
        <is>
          <t>1</t>
        </is>
      </c>
      <c r="K3" s="5" t="inlineStr">
        <is>
          <t>From 28-study Table S1 source extraction; zero means not evidenced in extracted record</t>
        </is>
      </c>
      <c r="L3" s="5" t="inlineStr">
        <is>
          <t>https://pmc.ncbi.nlm.nih.gov/articles/PMC9840221/</t>
        </is>
      </c>
      <c r="M3" s="5" t="inlineStr">
        <is>
          <t>100.0</t>
        </is>
      </c>
      <c r="N3" s="5" t="inlineStr">
        <is>
          <t>YES</t>
        </is>
      </c>
    </row>
    <row r="4">
      <c r="A4" s="6" t="n">
        <v>105</v>
      </c>
      <c r="B4" s="5" t="inlineStr">
        <is>
          <t>S1</t>
        </is>
      </c>
      <c r="C4" s="5" t="inlineStr">
        <is>
          <t>2: Migration assay standardization</t>
        </is>
      </c>
      <c r="D4" s="5" t="inlineStr">
        <is>
          <t>Comparison of in vitro scratch wound assay experimental procedures</t>
        </is>
      </c>
      <c r="E4" s="5" t="inlineStr">
        <is>
          <t>10.1016/j.bbrep.2023.101423</t>
        </is>
      </c>
      <c r="F4" s="5" t="inlineStr">
        <is>
          <t>2D early screening models</t>
        </is>
      </c>
      <c r="G4" s="5" t="inlineStr">
        <is>
          <t>Barrier/permeability</t>
        </is>
      </c>
      <c r="H4" s="6" t="inlineStr">
        <is>
          <t>0</t>
        </is>
      </c>
      <c r="K4" s="5" t="inlineStr">
        <is>
          <t>From 28-study Table S1 source extraction; zero means not evidenced in extracted record</t>
        </is>
      </c>
      <c r="L4" s="5" t="inlineStr">
        <is>
          <t>https://pmc.ncbi.nlm.nih.gov/articles/PMC9840221/</t>
        </is>
      </c>
      <c r="M4" s="5" t="inlineStr">
        <is>
          <t>100.0</t>
        </is>
      </c>
      <c r="N4" s="5" t="inlineStr">
        <is>
          <t>YES</t>
        </is>
      </c>
    </row>
    <row r="5">
      <c r="A5" s="6" t="n">
        <v>105</v>
      </c>
      <c r="B5" s="5" t="inlineStr">
        <is>
          <t>S1</t>
        </is>
      </c>
      <c r="C5" s="5" t="inlineStr">
        <is>
          <t>2: Migration assay standardization</t>
        </is>
      </c>
      <c r="D5" s="5" t="inlineStr">
        <is>
          <t>Comparison of in vitro scratch wound assay experimental procedures</t>
        </is>
      </c>
      <c r="E5" s="5" t="inlineStr">
        <is>
          <t>10.1016/j.bbrep.2023.101423</t>
        </is>
      </c>
      <c r="F5" s="5" t="inlineStr">
        <is>
          <t>2D early screening models</t>
        </is>
      </c>
      <c r="G5" s="5" t="inlineStr">
        <is>
          <t>Molecular/inflammatory</t>
        </is>
      </c>
      <c r="H5" s="6" t="inlineStr">
        <is>
          <t>0</t>
        </is>
      </c>
      <c r="K5" s="5" t="inlineStr">
        <is>
          <t>From 28-study Table S1 source extraction; zero means not evidenced in extracted record</t>
        </is>
      </c>
      <c r="L5" s="5" t="inlineStr">
        <is>
          <t>https://pmc.ncbi.nlm.nih.gov/articles/PMC9840221/</t>
        </is>
      </c>
      <c r="M5" s="5" t="inlineStr">
        <is>
          <t>100.0</t>
        </is>
      </c>
      <c r="N5" s="5" t="inlineStr">
        <is>
          <t>YES</t>
        </is>
      </c>
    </row>
    <row r="6">
      <c r="A6" s="6" t="n">
        <v>105</v>
      </c>
      <c r="B6" s="5" t="inlineStr">
        <is>
          <t>S1</t>
        </is>
      </c>
      <c r="C6" s="5" t="inlineStr">
        <is>
          <t>2: Migration assay standardization</t>
        </is>
      </c>
      <c r="D6" s="5" t="inlineStr">
        <is>
          <t>Comparison of in vitro scratch wound assay experimental procedures</t>
        </is>
      </c>
      <c r="E6" s="5" t="inlineStr">
        <is>
          <t>10.1016/j.bbrep.2023.101423</t>
        </is>
      </c>
      <c r="F6" s="5" t="inlineStr">
        <is>
          <t>2D early screening models</t>
        </is>
      </c>
      <c r="G6" s="5" t="inlineStr">
        <is>
          <t>Histology/IHC</t>
        </is>
      </c>
      <c r="H6" s="6" t="inlineStr">
        <is>
          <t>0</t>
        </is>
      </c>
      <c r="K6" s="5" t="inlineStr">
        <is>
          <t>From 28-study Table S1 source extraction; zero means not evidenced in extracted record</t>
        </is>
      </c>
      <c r="L6" s="5" t="inlineStr">
        <is>
          <t>https://pmc.ncbi.nlm.nih.gov/articles/PMC9840221/</t>
        </is>
      </c>
      <c r="M6" s="5" t="inlineStr">
        <is>
          <t>100.0</t>
        </is>
      </c>
      <c r="N6" s="5" t="inlineStr">
        <is>
          <t>YES</t>
        </is>
      </c>
    </row>
    <row r="7">
      <c r="A7" s="6" t="n">
        <v>105</v>
      </c>
      <c r="B7" s="5" t="inlineStr">
        <is>
          <t>S1</t>
        </is>
      </c>
      <c r="C7" s="5" t="inlineStr">
        <is>
          <t>2: Migration assay standardization</t>
        </is>
      </c>
      <c r="D7" s="5" t="inlineStr">
        <is>
          <t>Comparison of in vitro scratch wound assay experimental procedures</t>
        </is>
      </c>
      <c r="E7" s="5" t="inlineStr">
        <is>
          <t>10.1016/j.bbrep.2023.101423</t>
        </is>
      </c>
      <c r="F7" s="5" t="inlineStr">
        <is>
          <t>2D early screening models</t>
        </is>
      </c>
      <c r="G7" s="5" t="inlineStr">
        <is>
          <t>Mechanical/material</t>
        </is>
      </c>
      <c r="H7" s="6" t="inlineStr">
        <is>
          <t>0</t>
        </is>
      </c>
      <c r="K7" s="5" t="inlineStr">
        <is>
          <t>From 28-study Table S1 source extraction; zero means not evidenced in extracted record</t>
        </is>
      </c>
      <c r="L7" s="5" t="inlineStr">
        <is>
          <t>https://pmc.ncbi.nlm.nih.gov/articles/PMC9840221/</t>
        </is>
      </c>
      <c r="M7" s="5" t="inlineStr">
        <is>
          <t>100.0</t>
        </is>
      </c>
      <c r="N7" s="5" t="inlineStr">
        <is>
          <t>YES</t>
        </is>
      </c>
    </row>
    <row r="8">
      <c r="A8" s="6" t="n">
        <v>105</v>
      </c>
      <c r="B8" s="5" t="inlineStr">
        <is>
          <t>S1</t>
        </is>
      </c>
      <c r="C8" s="5" t="inlineStr">
        <is>
          <t>2: Migration assay standardization</t>
        </is>
      </c>
      <c r="D8" s="5" t="inlineStr">
        <is>
          <t>Comparison of in vitro scratch wound assay experimental procedures</t>
        </is>
      </c>
      <c r="E8" s="5" t="inlineStr">
        <is>
          <t>10.1016/j.bbrep.2023.101423</t>
        </is>
      </c>
      <c r="F8" s="5" t="inlineStr">
        <is>
          <t>2D early screening models</t>
        </is>
      </c>
      <c r="G8" s="5" t="inlineStr">
        <is>
          <t>Vascular/perfusion</t>
        </is>
      </c>
      <c r="H8" s="6" t="inlineStr">
        <is>
          <t>0</t>
        </is>
      </c>
      <c r="K8" s="5" t="inlineStr">
        <is>
          <t>From 28-study Table S1 source extraction; zero means not evidenced in extracted record</t>
        </is>
      </c>
      <c r="L8" s="5" t="inlineStr">
        <is>
          <t>https://pmc.ncbi.nlm.nih.gov/articles/PMC9840221/</t>
        </is>
      </c>
      <c r="M8" s="5" t="inlineStr">
        <is>
          <t>100.0</t>
        </is>
      </c>
      <c r="N8" s="5" t="inlineStr">
        <is>
          <t>YES</t>
        </is>
      </c>
    </row>
    <row r="9">
      <c r="A9" s="6" t="n">
        <v>106</v>
      </c>
      <c r="B9" s="5" t="inlineStr">
        <is>
          <t>S1</t>
        </is>
      </c>
      <c r="C9" s="5" t="inlineStr">
        <is>
          <t>4: 2D assays with acute in vivo validation</t>
        </is>
      </c>
      <c r="D9" s="5" t="inlineStr">
        <is>
          <t>ERK activating peptide, AES16-2M promotes wound healing through accelerating migration of keratinocytes</t>
        </is>
      </c>
      <c r="E9" s="5" t="inlineStr">
        <is>
          <t>10.1038/s41598-018-32851-y</t>
        </is>
      </c>
      <c r="F9" s="5" t="inlineStr">
        <is>
          <t>2D early screening models</t>
        </is>
      </c>
      <c r="G9" s="5" t="inlineStr">
        <is>
          <t>Longitudinal/time-resolved</t>
        </is>
      </c>
      <c r="H9" s="6" t="inlineStr">
        <is>
          <t>1</t>
        </is>
      </c>
      <c r="K9" s="5" t="inlineStr">
        <is>
          <t>From 28-study Table S1 source extraction; zero means not evidenced in extracted record</t>
        </is>
      </c>
      <c r="L9" s="5" t="inlineStr">
        <is>
          <t>https://www.nature.com/articles/s41598-018-32851-y</t>
        </is>
      </c>
      <c r="M9" s="5" t="inlineStr">
        <is>
          <t>100.0</t>
        </is>
      </c>
      <c r="N9" s="5" t="inlineStr">
        <is>
          <t>YES</t>
        </is>
      </c>
    </row>
    <row r="10">
      <c r="A10" s="6" t="n">
        <v>106</v>
      </c>
      <c r="B10" s="5" t="inlineStr">
        <is>
          <t>S1</t>
        </is>
      </c>
      <c r="C10" s="5" t="inlineStr">
        <is>
          <t>4: 2D assays with acute in vivo validation</t>
        </is>
      </c>
      <c r="D10" s="5" t="inlineStr">
        <is>
          <t>ERK activating peptide, AES16-2M promotes wound healing through accelerating migration of keratinocytes</t>
        </is>
      </c>
      <c r="E10" s="5" t="inlineStr">
        <is>
          <t>10.1038/s41598-018-32851-y</t>
        </is>
      </c>
      <c r="F10" s="5" t="inlineStr">
        <is>
          <t>2D early screening models</t>
        </is>
      </c>
      <c r="G10" s="5" t="inlineStr">
        <is>
          <t>Image/segmentation</t>
        </is>
      </c>
      <c r="H10" s="6" t="inlineStr">
        <is>
          <t>1</t>
        </is>
      </c>
      <c r="K10" s="5" t="inlineStr">
        <is>
          <t>From 28-study Table S1 source extraction; zero means not evidenced in extracted record</t>
        </is>
      </c>
      <c r="L10" s="5" t="inlineStr">
        <is>
          <t>https://www.nature.com/articles/s41598-018-32851-y</t>
        </is>
      </c>
      <c r="M10" s="5" t="inlineStr">
        <is>
          <t>100.0</t>
        </is>
      </c>
      <c r="N10" s="5" t="inlineStr">
        <is>
          <t>YES</t>
        </is>
      </c>
    </row>
    <row r="11">
      <c r="A11" s="6" t="n">
        <v>106</v>
      </c>
      <c r="B11" s="5" t="inlineStr">
        <is>
          <t>S1</t>
        </is>
      </c>
      <c r="C11" s="5" t="inlineStr">
        <is>
          <t>4: 2D assays with acute in vivo validation</t>
        </is>
      </c>
      <c r="D11" s="5" t="inlineStr">
        <is>
          <t>ERK activating peptide, AES16-2M promotes wound healing through accelerating migration of keratinocytes</t>
        </is>
      </c>
      <c r="E11" s="5" t="inlineStr">
        <is>
          <t>10.1038/s41598-018-32851-y</t>
        </is>
      </c>
      <c r="F11" s="5" t="inlineStr">
        <is>
          <t>2D early screening models</t>
        </is>
      </c>
      <c r="G11" s="5" t="inlineStr">
        <is>
          <t>Barrier/permeability</t>
        </is>
      </c>
      <c r="H11" s="6" t="inlineStr">
        <is>
          <t>0</t>
        </is>
      </c>
      <c r="K11" s="5" t="inlineStr">
        <is>
          <t>From 28-study Table S1 source extraction; zero means not evidenced in extracted record</t>
        </is>
      </c>
      <c r="L11" s="5" t="inlineStr">
        <is>
          <t>https://www.nature.com/articles/s41598-018-32851-y</t>
        </is>
      </c>
      <c r="M11" s="5" t="inlineStr">
        <is>
          <t>100.0</t>
        </is>
      </c>
      <c r="N11" s="5" t="inlineStr">
        <is>
          <t>YES</t>
        </is>
      </c>
    </row>
    <row r="12">
      <c r="A12" s="6" t="n">
        <v>106</v>
      </c>
      <c r="B12" s="5" t="inlineStr">
        <is>
          <t>S1</t>
        </is>
      </c>
      <c r="C12" s="5" t="inlineStr">
        <is>
          <t>4: 2D assays with acute in vivo validation</t>
        </is>
      </c>
      <c r="D12" s="5" t="inlineStr">
        <is>
          <t>ERK activating peptide, AES16-2M promotes wound healing through accelerating migration of keratinocytes</t>
        </is>
      </c>
      <c r="E12" s="5" t="inlineStr">
        <is>
          <t>10.1038/s41598-018-32851-y</t>
        </is>
      </c>
      <c r="F12" s="5" t="inlineStr">
        <is>
          <t>2D early screening models</t>
        </is>
      </c>
      <c r="G12" s="5" t="inlineStr">
        <is>
          <t>Molecular/inflammatory</t>
        </is>
      </c>
      <c r="H12" s="6" t="inlineStr">
        <is>
          <t>1</t>
        </is>
      </c>
      <c r="K12" s="5" t="inlineStr">
        <is>
          <t>From 28-study Table S1 source extraction; zero means not evidenced in extracted record</t>
        </is>
      </c>
      <c r="L12" s="5" t="inlineStr">
        <is>
          <t>https://www.nature.com/articles/s41598-018-32851-y</t>
        </is>
      </c>
      <c r="M12" s="5" t="inlineStr">
        <is>
          <t>100.0</t>
        </is>
      </c>
      <c r="N12" s="5" t="inlineStr">
        <is>
          <t>YES</t>
        </is>
      </c>
    </row>
    <row r="13">
      <c r="A13" s="6" t="n">
        <v>106</v>
      </c>
      <c r="B13" s="5" t="inlineStr">
        <is>
          <t>S1</t>
        </is>
      </c>
      <c r="C13" s="5" t="inlineStr">
        <is>
          <t>4: 2D assays with acute in vivo validation</t>
        </is>
      </c>
      <c r="D13" s="5" t="inlineStr">
        <is>
          <t>ERK activating peptide, AES16-2M promotes wound healing through accelerating migration of keratinocytes</t>
        </is>
      </c>
      <c r="E13" s="5" t="inlineStr">
        <is>
          <t>10.1038/s41598-018-32851-y</t>
        </is>
      </c>
      <c r="F13" s="5" t="inlineStr">
        <is>
          <t>2D early screening models</t>
        </is>
      </c>
      <c r="G13" s="5" t="inlineStr">
        <is>
          <t>Histology/IHC</t>
        </is>
      </c>
      <c r="H13" s="6" t="inlineStr">
        <is>
          <t>1</t>
        </is>
      </c>
      <c r="K13" s="5" t="inlineStr">
        <is>
          <t>From 28-study Table S1 source extraction; zero means not evidenced in extracted record</t>
        </is>
      </c>
      <c r="L13" s="5" t="inlineStr">
        <is>
          <t>https://www.nature.com/articles/s41598-018-32851-y</t>
        </is>
      </c>
      <c r="M13" s="5" t="inlineStr">
        <is>
          <t>100.0</t>
        </is>
      </c>
      <c r="N13" s="5" t="inlineStr">
        <is>
          <t>YES</t>
        </is>
      </c>
    </row>
    <row r="14">
      <c r="A14" s="6" t="n">
        <v>106</v>
      </c>
      <c r="B14" s="5" t="inlineStr">
        <is>
          <t>S1</t>
        </is>
      </c>
      <c r="C14" s="5" t="inlineStr">
        <is>
          <t>4: 2D assays with acute in vivo validation</t>
        </is>
      </c>
      <c r="D14" s="5" t="inlineStr">
        <is>
          <t>ERK activating peptide, AES16-2M promotes wound healing through accelerating migration of keratinocytes</t>
        </is>
      </c>
      <c r="E14" s="5" t="inlineStr">
        <is>
          <t>10.1038/s41598-018-32851-y</t>
        </is>
      </c>
      <c r="F14" s="5" t="inlineStr">
        <is>
          <t>2D early screening models</t>
        </is>
      </c>
      <c r="G14" s="5" t="inlineStr">
        <is>
          <t>Mechanical/material</t>
        </is>
      </c>
      <c r="H14" s="6" t="inlineStr">
        <is>
          <t>0</t>
        </is>
      </c>
      <c r="K14" s="5" t="inlineStr">
        <is>
          <t>From 28-study Table S1 source extraction; zero means not evidenced in extracted record</t>
        </is>
      </c>
      <c r="L14" s="5" t="inlineStr">
        <is>
          <t>https://www.nature.com/articles/s41598-018-32851-y</t>
        </is>
      </c>
      <c r="M14" s="5" t="inlineStr">
        <is>
          <t>100.0</t>
        </is>
      </c>
      <c r="N14" s="5" t="inlineStr">
        <is>
          <t>YES</t>
        </is>
      </c>
    </row>
    <row r="15">
      <c r="A15" s="6" t="n">
        <v>106</v>
      </c>
      <c r="B15" s="5" t="inlineStr">
        <is>
          <t>S1</t>
        </is>
      </c>
      <c r="C15" s="5" t="inlineStr">
        <is>
          <t>4: 2D assays with acute in vivo validation</t>
        </is>
      </c>
      <c r="D15" s="5" t="inlineStr">
        <is>
          <t>ERK activating peptide, AES16-2M promotes wound healing through accelerating migration of keratinocytes</t>
        </is>
      </c>
      <c r="E15" s="5" t="inlineStr">
        <is>
          <t>10.1038/s41598-018-32851-y</t>
        </is>
      </c>
      <c r="F15" s="5" t="inlineStr">
        <is>
          <t>2D early screening models</t>
        </is>
      </c>
      <c r="G15" s="5" t="inlineStr">
        <is>
          <t>Vascular/perfusion</t>
        </is>
      </c>
      <c r="H15" s="6" t="inlineStr">
        <is>
          <t>1</t>
        </is>
      </c>
      <c r="K15" s="5" t="inlineStr">
        <is>
          <t>From 28-study Table S1 source extraction; zero means not evidenced in extracted record</t>
        </is>
      </c>
      <c r="L15" s="5" t="inlineStr">
        <is>
          <t>https://www.nature.com/articles/s41598-018-32851-y</t>
        </is>
      </c>
      <c r="M15" s="5" t="inlineStr">
        <is>
          <t>100.0</t>
        </is>
      </c>
      <c r="N15" s="5" t="inlineStr">
        <is>
          <t>YES</t>
        </is>
      </c>
    </row>
    <row r="16">
      <c r="A16" s="6" t="n">
        <v>107</v>
      </c>
      <c r="B16" s="5" t="inlineStr">
        <is>
          <t>S1</t>
        </is>
      </c>
      <c r="C16" s="5" t="inlineStr">
        <is>
          <t>3: 2D therapeutic-response assays</t>
        </is>
      </c>
      <c r="D16" s="5" t="inlineStr">
        <is>
          <t>Effects of Periploca forrestii Schltr on wound healing by Src meditated Mek/Erk and PI3K/Akt signals</t>
        </is>
      </c>
      <c r="E16" s="5" t="inlineStr">
        <is>
          <t>10.1016/j.jep.2019.03.046</t>
        </is>
      </c>
      <c r="F16" s="5" t="inlineStr">
        <is>
          <t>2D early screening models</t>
        </is>
      </c>
      <c r="G16" s="5" t="inlineStr">
        <is>
          <t>Longitudinal/time-resolved</t>
        </is>
      </c>
      <c r="H16" s="6" t="inlineStr">
        <is>
          <t>1</t>
        </is>
      </c>
      <c r="K16" s="5" t="inlineStr">
        <is>
          <t>From 28-study Table S1 source extraction; zero means not evidenced in extracted record</t>
        </is>
      </c>
      <c r="L16" s="5" t="inlineStr">
        <is>
          <t>https://pubmed.ncbi.nlm.nih.gov/30905787/</t>
        </is>
      </c>
      <c r="M16" s="5" t="inlineStr">
        <is>
          <t>100.0</t>
        </is>
      </c>
      <c r="N16" s="5" t="inlineStr">
        <is>
          <t>YES</t>
        </is>
      </c>
    </row>
    <row r="17">
      <c r="A17" s="6" t="n">
        <v>107</v>
      </c>
      <c r="B17" s="5" t="inlineStr">
        <is>
          <t>S1</t>
        </is>
      </c>
      <c r="C17" s="5" t="inlineStr">
        <is>
          <t>3: 2D therapeutic-response assays</t>
        </is>
      </c>
      <c r="D17" s="5" t="inlineStr">
        <is>
          <t>Effects of Periploca forrestii Schltr on wound healing by Src meditated Mek/Erk and PI3K/Akt signals</t>
        </is>
      </c>
      <c r="E17" s="5" t="inlineStr">
        <is>
          <t>10.1016/j.jep.2019.03.046</t>
        </is>
      </c>
      <c r="F17" s="5" t="inlineStr">
        <is>
          <t>2D early screening models</t>
        </is>
      </c>
      <c r="G17" s="5" t="inlineStr">
        <is>
          <t>Image/segmentation</t>
        </is>
      </c>
      <c r="H17" s="6" t="inlineStr">
        <is>
          <t>1</t>
        </is>
      </c>
      <c r="K17" s="5" t="inlineStr">
        <is>
          <t>From 28-study Table S1 source extraction; zero means not evidenced in extracted record</t>
        </is>
      </c>
      <c r="L17" s="5" t="inlineStr">
        <is>
          <t>https://pubmed.ncbi.nlm.nih.gov/30905787/</t>
        </is>
      </c>
      <c r="M17" s="5" t="inlineStr">
        <is>
          <t>100.0</t>
        </is>
      </c>
      <c r="N17" s="5" t="inlineStr">
        <is>
          <t>YES</t>
        </is>
      </c>
    </row>
    <row r="18">
      <c r="A18" s="6" t="n">
        <v>107</v>
      </c>
      <c r="B18" s="5" t="inlineStr">
        <is>
          <t>S1</t>
        </is>
      </c>
      <c r="C18" s="5" t="inlineStr">
        <is>
          <t>3: 2D therapeutic-response assays</t>
        </is>
      </c>
      <c r="D18" s="5" t="inlineStr">
        <is>
          <t>Effects of Periploca forrestii Schltr on wound healing by Src meditated Mek/Erk and PI3K/Akt signals</t>
        </is>
      </c>
      <c r="E18" s="5" t="inlineStr">
        <is>
          <t>10.1016/j.jep.2019.03.046</t>
        </is>
      </c>
      <c r="F18" s="5" t="inlineStr">
        <is>
          <t>2D early screening models</t>
        </is>
      </c>
      <c r="G18" s="5" t="inlineStr">
        <is>
          <t>Barrier/permeability</t>
        </is>
      </c>
      <c r="H18" s="6" t="inlineStr">
        <is>
          <t>0</t>
        </is>
      </c>
      <c r="K18" s="5" t="inlineStr">
        <is>
          <t>From 28-study Table S1 source extraction; zero means not evidenced in extracted record</t>
        </is>
      </c>
      <c r="L18" s="5" t="inlineStr">
        <is>
          <t>https://pubmed.ncbi.nlm.nih.gov/30905787/</t>
        </is>
      </c>
      <c r="M18" s="5" t="inlineStr">
        <is>
          <t>100.0</t>
        </is>
      </c>
      <c r="N18" s="5" t="inlineStr">
        <is>
          <t>YES</t>
        </is>
      </c>
    </row>
    <row r="19">
      <c r="A19" s="6" t="n">
        <v>107</v>
      </c>
      <c r="B19" s="5" t="inlineStr">
        <is>
          <t>S1</t>
        </is>
      </c>
      <c r="C19" s="5" t="inlineStr">
        <is>
          <t>3: 2D therapeutic-response assays</t>
        </is>
      </c>
      <c r="D19" s="5" t="inlineStr">
        <is>
          <t>Effects of Periploca forrestii Schltr on wound healing by Src meditated Mek/Erk and PI3K/Akt signals</t>
        </is>
      </c>
      <c r="E19" s="5" t="inlineStr">
        <is>
          <t>10.1016/j.jep.2019.03.046</t>
        </is>
      </c>
      <c r="F19" s="5" t="inlineStr">
        <is>
          <t>2D early screening models</t>
        </is>
      </c>
      <c r="G19" s="5" t="inlineStr">
        <is>
          <t>Molecular/inflammatory</t>
        </is>
      </c>
      <c r="H19" s="6" t="inlineStr">
        <is>
          <t>1</t>
        </is>
      </c>
      <c r="K19" s="5" t="inlineStr">
        <is>
          <t>From 28-study Table S1 source extraction; zero means not evidenced in extracted record</t>
        </is>
      </c>
      <c r="L19" s="5" t="inlineStr">
        <is>
          <t>https://pubmed.ncbi.nlm.nih.gov/30905787/</t>
        </is>
      </c>
      <c r="M19" s="5" t="inlineStr">
        <is>
          <t>100.0</t>
        </is>
      </c>
      <c r="N19" s="5" t="inlineStr">
        <is>
          <t>YES</t>
        </is>
      </c>
    </row>
    <row r="20">
      <c r="A20" s="6" t="n">
        <v>107</v>
      </c>
      <c r="B20" s="5" t="inlineStr">
        <is>
          <t>S1</t>
        </is>
      </c>
      <c r="C20" s="5" t="inlineStr">
        <is>
          <t>3: 2D therapeutic-response assays</t>
        </is>
      </c>
      <c r="D20" s="5" t="inlineStr">
        <is>
          <t>Effects of Periploca forrestii Schltr on wound healing by Src meditated Mek/Erk and PI3K/Akt signals</t>
        </is>
      </c>
      <c r="E20" s="5" t="inlineStr">
        <is>
          <t>10.1016/j.jep.2019.03.046</t>
        </is>
      </c>
      <c r="F20" s="5" t="inlineStr">
        <is>
          <t>2D early screening models</t>
        </is>
      </c>
      <c r="G20" s="5" t="inlineStr">
        <is>
          <t>Histology/IHC</t>
        </is>
      </c>
      <c r="H20" s="6" t="inlineStr">
        <is>
          <t>1</t>
        </is>
      </c>
      <c r="K20" s="5" t="inlineStr">
        <is>
          <t>From 28-study Table S1 source extraction; zero means not evidenced in extracted record</t>
        </is>
      </c>
      <c r="L20" s="5" t="inlineStr">
        <is>
          <t>https://pubmed.ncbi.nlm.nih.gov/30905787/</t>
        </is>
      </c>
      <c r="M20" s="5" t="inlineStr">
        <is>
          <t>100.0</t>
        </is>
      </c>
      <c r="N20" s="5" t="inlineStr">
        <is>
          <t>YES</t>
        </is>
      </c>
    </row>
    <row r="21">
      <c r="A21" s="6" t="n">
        <v>107</v>
      </c>
      <c r="B21" s="5" t="inlineStr">
        <is>
          <t>S1</t>
        </is>
      </c>
      <c r="C21" s="5" t="inlineStr">
        <is>
          <t>3: 2D therapeutic-response assays</t>
        </is>
      </c>
      <c r="D21" s="5" t="inlineStr">
        <is>
          <t>Effects of Periploca forrestii Schltr on wound healing by Src meditated Mek/Erk and PI3K/Akt signals</t>
        </is>
      </c>
      <c r="E21" s="5" t="inlineStr">
        <is>
          <t>10.1016/j.jep.2019.03.046</t>
        </is>
      </c>
      <c r="F21" s="5" t="inlineStr">
        <is>
          <t>2D early screening models</t>
        </is>
      </c>
      <c r="G21" s="5" t="inlineStr">
        <is>
          <t>Mechanical/material</t>
        </is>
      </c>
      <c r="H21" s="6" t="inlineStr">
        <is>
          <t>0</t>
        </is>
      </c>
      <c r="K21" s="5" t="inlineStr">
        <is>
          <t>From 28-study Table S1 source extraction; zero means not evidenced in extracted record</t>
        </is>
      </c>
      <c r="L21" s="5" t="inlineStr">
        <is>
          <t>https://pubmed.ncbi.nlm.nih.gov/30905787/</t>
        </is>
      </c>
      <c r="M21" s="5" t="inlineStr">
        <is>
          <t>100.0</t>
        </is>
      </c>
      <c r="N21" s="5" t="inlineStr">
        <is>
          <t>YES</t>
        </is>
      </c>
    </row>
    <row r="22">
      <c r="A22" s="6" t="n">
        <v>107</v>
      </c>
      <c r="B22" s="5" t="inlineStr">
        <is>
          <t>S1</t>
        </is>
      </c>
      <c r="C22" s="5" t="inlineStr">
        <is>
          <t>3: 2D therapeutic-response assays</t>
        </is>
      </c>
      <c r="D22" s="5" t="inlineStr">
        <is>
          <t>Effects of Periploca forrestii Schltr on wound healing by Src meditated Mek/Erk and PI3K/Akt signals</t>
        </is>
      </c>
      <c r="E22" s="5" t="inlineStr">
        <is>
          <t>10.1016/j.jep.2019.03.046</t>
        </is>
      </c>
      <c r="F22" s="5" t="inlineStr">
        <is>
          <t>2D early screening models</t>
        </is>
      </c>
      <c r="G22" s="5" t="inlineStr">
        <is>
          <t>Vascular/perfusion</t>
        </is>
      </c>
      <c r="H22" s="6" t="inlineStr">
        <is>
          <t>0</t>
        </is>
      </c>
      <c r="K22" s="5" t="inlineStr">
        <is>
          <t>From 28-study Table S1 source extraction; zero means not evidenced in extracted record</t>
        </is>
      </c>
      <c r="L22" s="5" t="inlineStr">
        <is>
          <t>https://pubmed.ncbi.nlm.nih.gov/30905787/</t>
        </is>
      </c>
      <c r="M22" s="5" t="inlineStr">
        <is>
          <t>100.0</t>
        </is>
      </c>
      <c r="N22" s="5" t="inlineStr">
        <is>
          <t>YES</t>
        </is>
      </c>
    </row>
    <row r="23">
      <c r="A23" s="6" t="n">
        <v>108</v>
      </c>
      <c r="B23" s="5" t="inlineStr">
        <is>
          <t>S1</t>
        </is>
      </c>
      <c r="C23" s="5" t="inlineStr">
        <is>
          <t>2: Migration assay standardization</t>
        </is>
      </c>
      <c r="D23" s="5" t="inlineStr">
        <is>
          <t>Microscopy based methods for the assessment of epithelial cell migration during in vitro wound healing</t>
        </is>
      </c>
      <c r="E23" s="5" t="inlineStr">
        <is>
          <t>10.3791/56799</t>
        </is>
      </c>
      <c r="F23" s="5" t="inlineStr">
        <is>
          <t>2D early screening models</t>
        </is>
      </c>
      <c r="G23" s="5" t="inlineStr">
        <is>
          <t>Longitudinal/time-resolved</t>
        </is>
      </c>
      <c r="H23" s="6" t="inlineStr">
        <is>
          <t>0</t>
        </is>
      </c>
      <c r="K23" s="5" t="inlineStr">
        <is>
          <t>From 28-study Table S1 source extraction; zero means not evidenced in extracted record</t>
        </is>
      </c>
      <c r="L23" s="5" t="inlineStr">
        <is>
          <t>https://pmc.ncbi.nlm.nih.gov/articles/PMC5908412/</t>
        </is>
      </c>
      <c r="M23" s="5" t="inlineStr">
        <is>
          <t>100.0</t>
        </is>
      </c>
      <c r="N23" s="5" t="inlineStr">
        <is>
          <t>YES</t>
        </is>
      </c>
    </row>
    <row r="24">
      <c r="A24" s="6" t="n">
        <v>108</v>
      </c>
      <c r="B24" s="5" t="inlineStr">
        <is>
          <t>S1</t>
        </is>
      </c>
      <c r="C24" s="5" t="inlineStr">
        <is>
          <t>2: Migration assay standardization</t>
        </is>
      </c>
      <c r="D24" s="5" t="inlineStr">
        <is>
          <t>Microscopy based methods for the assessment of epithelial cell migration during in vitro wound healing</t>
        </is>
      </c>
      <c r="E24" s="5" t="inlineStr">
        <is>
          <t>10.3791/56799</t>
        </is>
      </c>
      <c r="F24" s="5" t="inlineStr">
        <is>
          <t>2D early screening models</t>
        </is>
      </c>
      <c r="G24" s="5" t="inlineStr">
        <is>
          <t>Image/segmentation</t>
        </is>
      </c>
      <c r="H24" s="6" t="inlineStr">
        <is>
          <t>1</t>
        </is>
      </c>
      <c r="K24" s="5" t="inlineStr">
        <is>
          <t>From 28-study Table S1 source extraction; zero means not evidenced in extracted record</t>
        </is>
      </c>
      <c r="L24" s="5" t="inlineStr">
        <is>
          <t>https://pmc.ncbi.nlm.nih.gov/articles/PMC5908412/</t>
        </is>
      </c>
      <c r="M24" s="5" t="inlineStr">
        <is>
          <t>100.0</t>
        </is>
      </c>
      <c r="N24" s="5" t="inlineStr">
        <is>
          <t>YES</t>
        </is>
      </c>
    </row>
    <row r="25">
      <c r="A25" s="6" t="n">
        <v>108</v>
      </c>
      <c r="B25" s="5" t="inlineStr">
        <is>
          <t>S1</t>
        </is>
      </c>
      <c r="C25" s="5" t="inlineStr">
        <is>
          <t>2: Migration assay standardization</t>
        </is>
      </c>
      <c r="D25" s="5" t="inlineStr">
        <is>
          <t>Microscopy based methods for the assessment of epithelial cell migration during in vitro wound healing</t>
        </is>
      </c>
      <c r="E25" s="5" t="inlineStr">
        <is>
          <t>10.3791/56799</t>
        </is>
      </c>
      <c r="F25" s="5" t="inlineStr">
        <is>
          <t>2D early screening models</t>
        </is>
      </c>
      <c r="G25" s="5" t="inlineStr">
        <is>
          <t>Barrier/permeability</t>
        </is>
      </c>
      <c r="H25" s="6" t="inlineStr">
        <is>
          <t>0</t>
        </is>
      </c>
      <c r="K25" s="5" t="inlineStr">
        <is>
          <t>From 28-study Table S1 source extraction; zero means not evidenced in extracted record</t>
        </is>
      </c>
      <c r="L25" s="5" t="inlineStr">
        <is>
          <t>https://pmc.ncbi.nlm.nih.gov/articles/PMC5908412/</t>
        </is>
      </c>
      <c r="M25" s="5" t="inlineStr">
        <is>
          <t>100.0</t>
        </is>
      </c>
      <c r="N25" s="5" t="inlineStr">
        <is>
          <t>YES</t>
        </is>
      </c>
    </row>
    <row r="26">
      <c r="A26" s="6" t="n">
        <v>108</v>
      </c>
      <c r="B26" s="5" t="inlineStr">
        <is>
          <t>S1</t>
        </is>
      </c>
      <c r="C26" s="5" t="inlineStr">
        <is>
          <t>2: Migration assay standardization</t>
        </is>
      </c>
      <c r="D26" s="5" t="inlineStr">
        <is>
          <t>Microscopy based methods for the assessment of epithelial cell migration during in vitro wound healing</t>
        </is>
      </c>
      <c r="E26" s="5" t="inlineStr">
        <is>
          <t>10.3791/56799</t>
        </is>
      </c>
      <c r="F26" s="5" t="inlineStr">
        <is>
          <t>2D early screening models</t>
        </is>
      </c>
      <c r="G26" s="5" t="inlineStr">
        <is>
          <t>Molecular/inflammatory</t>
        </is>
      </c>
      <c r="H26" s="6" t="inlineStr">
        <is>
          <t>1</t>
        </is>
      </c>
      <c r="K26" s="5" t="inlineStr">
        <is>
          <t>From 28-study Table S1 source extraction; zero means not evidenced in extracted record</t>
        </is>
      </c>
      <c r="L26" s="5" t="inlineStr">
        <is>
          <t>https://pmc.ncbi.nlm.nih.gov/articles/PMC5908412/</t>
        </is>
      </c>
      <c r="M26" s="5" t="inlineStr">
        <is>
          <t>100.0</t>
        </is>
      </c>
      <c r="N26" s="5" t="inlineStr">
        <is>
          <t>YES</t>
        </is>
      </c>
    </row>
    <row r="27">
      <c r="A27" s="6" t="n">
        <v>108</v>
      </c>
      <c r="B27" s="5" t="inlineStr">
        <is>
          <t>S1</t>
        </is>
      </c>
      <c r="C27" s="5" t="inlineStr">
        <is>
          <t>2: Migration assay standardization</t>
        </is>
      </c>
      <c r="D27" s="5" t="inlineStr">
        <is>
          <t>Microscopy based methods for the assessment of epithelial cell migration during in vitro wound healing</t>
        </is>
      </c>
      <c r="E27" s="5" t="inlineStr">
        <is>
          <t>10.3791/56799</t>
        </is>
      </c>
      <c r="F27" s="5" t="inlineStr">
        <is>
          <t>2D early screening models</t>
        </is>
      </c>
      <c r="G27" s="5" t="inlineStr">
        <is>
          <t>Histology/IHC</t>
        </is>
      </c>
      <c r="H27" s="6" t="inlineStr">
        <is>
          <t>1</t>
        </is>
      </c>
      <c r="K27" s="5" t="inlineStr">
        <is>
          <t>From 28-study Table S1 source extraction; zero means not evidenced in extracted record</t>
        </is>
      </c>
      <c r="L27" s="5" t="inlineStr">
        <is>
          <t>https://pmc.ncbi.nlm.nih.gov/articles/PMC5908412/</t>
        </is>
      </c>
      <c r="M27" s="5" t="inlineStr">
        <is>
          <t>100.0</t>
        </is>
      </c>
      <c r="N27" s="5" t="inlineStr">
        <is>
          <t>YES</t>
        </is>
      </c>
    </row>
    <row r="28">
      <c r="A28" s="6" t="n">
        <v>108</v>
      </c>
      <c r="B28" s="5" t="inlineStr">
        <is>
          <t>S1</t>
        </is>
      </c>
      <c r="C28" s="5" t="inlineStr">
        <is>
          <t>2: Migration assay standardization</t>
        </is>
      </c>
      <c r="D28" s="5" t="inlineStr">
        <is>
          <t>Microscopy based methods for the assessment of epithelial cell migration during in vitro wound healing</t>
        </is>
      </c>
      <c r="E28" s="5" t="inlineStr">
        <is>
          <t>10.3791/56799</t>
        </is>
      </c>
      <c r="F28" s="5" t="inlineStr">
        <is>
          <t>2D early screening models</t>
        </is>
      </c>
      <c r="G28" s="5" t="inlineStr">
        <is>
          <t>Mechanical/material</t>
        </is>
      </c>
      <c r="H28" s="6" t="inlineStr">
        <is>
          <t>0</t>
        </is>
      </c>
      <c r="K28" s="5" t="inlineStr">
        <is>
          <t>From 28-study Table S1 source extraction; zero means not evidenced in extracted record</t>
        </is>
      </c>
      <c r="L28" s="5" t="inlineStr">
        <is>
          <t>https://pmc.ncbi.nlm.nih.gov/articles/PMC5908412/</t>
        </is>
      </c>
      <c r="M28" s="5" t="inlineStr">
        <is>
          <t>100.0</t>
        </is>
      </c>
      <c r="N28" s="5" t="inlineStr">
        <is>
          <t>YES</t>
        </is>
      </c>
    </row>
    <row r="29">
      <c r="A29" s="6" t="n">
        <v>108</v>
      </c>
      <c r="B29" s="5" t="inlineStr">
        <is>
          <t>S1</t>
        </is>
      </c>
      <c r="C29" s="5" t="inlineStr">
        <is>
          <t>2: Migration assay standardization</t>
        </is>
      </c>
      <c r="D29" s="5" t="inlineStr">
        <is>
          <t>Microscopy based methods for the assessment of epithelial cell migration during in vitro wound healing</t>
        </is>
      </c>
      <c r="E29" s="5" t="inlineStr">
        <is>
          <t>10.3791/56799</t>
        </is>
      </c>
      <c r="F29" s="5" t="inlineStr">
        <is>
          <t>2D early screening models</t>
        </is>
      </c>
      <c r="G29" s="5" t="inlineStr">
        <is>
          <t>Vascular/perfusion</t>
        </is>
      </c>
      <c r="H29" s="6" t="inlineStr">
        <is>
          <t>0</t>
        </is>
      </c>
      <c r="K29" s="5" t="inlineStr">
        <is>
          <t>From 28-study Table S1 source extraction; zero means not evidenced in extracted record</t>
        </is>
      </c>
      <c r="L29" s="5" t="inlineStr">
        <is>
          <t>https://pmc.ncbi.nlm.nih.gov/articles/PMC5908412/</t>
        </is>
      </c>
      <c r="M29" s="5" t="inlineStr">
        <is>
          <t>100.0</t>
        </is>
      </c>
      <c r="N29" s="5" t="inlineStr">
        <is>
          <t>YES</t>
        </is>
      </c>
    </row>
    <row r="30">
      <c r="A30" s="6" t="n">
        <v>109</v>
      </c>
      <c r="B30" s="5" t="inlineStr">
        <is>
          <t>S1</t>
        </is>
      </c>
      <c r="C30" s="5" t="inlineStr">
        <is>
          <t>3: 2D therapeutic-response assays</t>
        </is>
      </c>
      <c r="D30" s="5" t="inlineStr">
        <is>
          <t>Establishment of a cell-based wound healing assay for bio-relevant testing of wound therapeutics</t>
        </is>
      </c>
      <c r="E30" s="5" t="inlineStr">
        <is>
          <t>10.1016/j.vascn.2017.10.003</t>
        </is>
      </c>
      <c r="F30" s="5" t="inlineStr">
        <is>
          <t>2D early screening models</t>
        </is>
      </c>
      <c r="G30" s="5" t="inlineStr">
        <is>
          <t>Longitudinal/time-resolved</t>
        </is>
      </c>
      <c r="H30" s="6" t="inlineStr">
        <is>
          <t>1</t>
        </is>
      </c>
      <c r="K30" s="5" t="inlineStr">
        <is>
          <t>From 28-study Table S1 source extraction; zero means not evidenced in extracted record</t>
        </is>
      </c>
      <c r="L30" s="5" t="inlineStr">
        <is>
          <t>https://www.sciencedirect.com/science/article/abs/pii/S1056871917301363</t>
        </is>
      </c>
      <c r="M30" s="5" t="inlineStr">
        <is>
          <t>100.0</t>
        </is>
      </c>
      <c r="N30" s="5" t="inlineStr">
        <is>
          <t>YES</t>
        </is>
      </c>
    </row>
    <row r="31">
      <c r="A31" s="6" t="n">
        <v>109</v>
      </c>
      <c r="B31" s="5" t="inlineStr">
        <is>
          <t>S1</t>
        </is>
      </c>
      <c r="C31" s="5" t="inlineStr">
        <is>
          <t>3: 2D therapeutic-response assays</t>
        </is>
      </c>
      <c r="D31" s="5" t="inlineStr">
        <is>
          <t>Establishment of a cell-based wound healing assay for bio-relevant testing of wound therapeutics</t>
        </is>
      </c>
      <c r="E31" s="5" t="inlineStr">
        <is>
          <t>10.1016/j.vascn.2017.10.003</t>
        </is>
      </c>
      <c r="F31" s="5" t="inlineStr">
        <is>
          <t>2D early screening models</t>
        </is>
      </c>
      <c r="G31" s="5" t="inlineStr">
        <is>
          <t>Image/segmentation</t>
        </is>
      </c>
      <c r="H31" s="6" t="inlineStr">
        <is>
          <t>1</t>
        </is>
      </c>
      <c r="K31" s="5" t="inlineStr">
        <is>
          <t>From 28-study Table S1 source extraction; zero means not evidenced in extracted record</t>
        </is>
      </c>
      <c r="L31" s="5" t="inlineStr">
        <is>
          <t>https://www.sciencedirect.com/science/article/abs/pii/S1056871917301363</t>
        </is>
      </c>
      <c r="M31" s="5" t="inlineStr">
        <is>
          <t>100.0</t>
        </is>
      </c>
      <c r="N31" s="5" t="inlineStr">
        <is>
          <t>YES</t>
        </is>
      </c>
    </row>
    <row r="32">
      <c r="A32" s="6" t="n">
        <v>109</v>
      </c>
      <c r="B32" s="5" t="inlineStr">
        <is>
          <t>S1</t>
        </is>
      </c>
      <c r="C32" s="5" t="inlineStr">
        <is>
          <t>3: 2D therapeutic-response assays</t>
        </is>
      </c>
      <c r="D32" s="5" t="inlineStr">
        <is>
          <t>Establishment of a cell-based wound healing assay for bio-relevant testing of wound therapeutics</t>
        </is>
      </c>
      <c r="E32" s="5" t="inlineStr">
        <is>
          <t>10.1016/j.vascn.2017.10.003</t>
        </is>
      </c>
      <c r="F32" s="5" t="inlineStr">
        <is>
          <t>2D early screening models</t>
        </is>
      </c>
      <c r="G32" s="5" t="inlineStr">
        <is>
          <t>Barrier/permeability</t>
        </is>
      </c>
      <c r="H32" s="6" t="inlineStr">
        <is>
          <t>0</t>
        </is>
      </c>
      <c r="K32" s="5" t="inlineStr">
        <is>
          <t>From 28-study Table S1 source extraction; zero means not evidenced in extracted record</t>
        </is>
      </c>
      <c r="L32" s="5" t="inlineStr">
        <is>
          <t>https://www.sciencedirect.com/science/article/abs/pii/S1056871917301363</t>
        </is>
      </c>
      <c r="M32" s="5" t="inlineStr">
        <is>
          <t>100.0</t>
        </is>
      </c>
      <c r="N32" s="5" t="inlineStr">
        <is>
          <t>YES</t>
        </is>
      </c>
    </row>
    <row r="33">
      <c r="A33" s="6" t="n">
        <v>109</v>
      </c>
      <c r="B33" s="5" t="inlineStr">
        <is>
          <t>S1</t>
        </is>
      </c>
      <c r="C33" s="5" t="inlineStr">
        <is>
          <t>3: 2D therapeutic-response assays</t>
        </is>
      </c>
      <c r="D33" s="5" t="inlineStr">
        <is>
          <t>Establishment of a cell-based wound healing assay for bio-relevant testing of wound therapeutics</t>
        </is>
      </c>
      <c r="E33" s="5" t="inlineStr">
        <is>
          <t>10.1016/j.vascn.2017.10.003</t>
        </is>
      </c>
      <c r="F33" s="5" t="inlineStr">
        <is>
          <t>2D early screening models</t>
        </is>
      </c>
      <c r="G33" s="5" t="inlineStr">
        <is>
          <t>Molecular/inflammatory</t>
        </is>
      </c>
      <c r="H33" s="6" t="inlineStr">
        <is>
          <t>1</t>
        </is>
      </c>
      <c r="K33" s="5" t="inlineStr">
        <is>
          <t>From 28-study Table S1 source extraction; zero means not evidenced in extracted record</t>
        </is>
      </c>
      <c r="L33" s="5" t="inlineStr">
        <is>
          <t>https://www.sciencedirect.com/science/article/abs/pii/S1056871917301363</t>
        </is>
      </c>
      <c r="M33" s="5" t="inlineStr">
        <is>
          <t>100.0</t>
        </is>
      </c>
      <c r="N33" s="5" t="inlineStr">
        <is>
          <t>YES</t>
        </is>
      </c>
    </row>
    <row r="34">
      <c r="A34" s="6" t="n">
        <v>109</v>
      </c>
      <c r="B34" s="5" t="inlineStr">
        <is>
          <t>S1</t>
        </is>
      </c>
      <c r="C34" s="5" t="inlineStr">
        <is>
          <t>3: 2D therapeutic-response assays</t>
        </is>
      </c>
      <c r="D34" s="5" t="inlineStr">
        <is>
          <t>Establishment of a cell-based wound healing assay for bio-relevant testing of wound therapeutics</t>
        </is>
      </c>
      <c r="E34" s="5" t="inlineStr">
        <is>
          <t>10.1016/j.vascn.2017.10.003</t>
        </is>
      </c>
      <c r="F34" s="5" t="inlineStr">
        <is>
          <t>2D early screening models</t>
        </is>
      </c>
      <c r="G34" s="5" t="inlineStr">
        <is>
          <t>Histology/IHC</t>
        </is>
      </c>
      <c r="H34" s="6" t="inlineStr">
        <is>
          <t>0</t>
        </is>
      </c>
      <c r="K34" s="5" t="inlineStr">
        <is>
          <t>From 28-study Table S1 source extraction; zero means not evidenced in extracted record</t>
        </is>
      </c>
      <c r="L34" s="5" t="inlineStr">
        <is>
          <t>https://www.sciencedirect.com/science/article/abs/pii/S1056871917301363</t>
        </is>
      </c>
      <c r="M34" s="5" t="inlineStr">
        <is>
          <t>100.0</t>
        </is>
      </c>
      <c r="N34" s="5" t="inlineStr">
        <is>
          <t>YES</t>
        </is>
      </c>
    </row>
    <row r="35">
      <c r="A35" s="6" t="n">
        <v>109</v>
      </c>
      <c r="B35" s="5" t="inlineStr">
        <is>
          <t>S1</t>
        </is>
      </c>
      <c r="C35" s="5" t="inlineStr">
        <is>
          <t>3: 2D therapeutic-response assays</t>
        </is>
      </c>
      <c r="D35" s="5" t="inlineStr">
        <is>
          <t>Establishment of a cell-based wound healing assay for bio-relevant testing of wound therapeutics</t>
        </is>
      </c>
      <c r="E35" s="5" t="inlineStr">
        <is>
          <t>10.1016/j.vascn.2017.10.003</t>
        </is>
      </c>
      <c r="F35" s="5" t="inlineStr">
        <is>
          <t>2D early screening models</t>
        </is>
      </c>
      <c r="G35" s="5" t="inlineStr">
        <is>
          <t>Mechanical/material</t>
        </is>
      </c>
      <c r="H35" s="6" t="inlineStr">
        <is>
          <t>0</t>
        </is>
      </c>
      <c r="K35" s="5" t="inlineStr">
        <is>
          <t>From 28-study Table S1 source extraction; zero means not evidenced in extracted record</t>
        </is>
      </c>
      <c r="L35" s="5" t="inlineStr">
        <is>
          <t>https://www.sciencedirect.com/science/article/abs/pii/S1056871917301363</t>
        </is>
      </c>
      <c r="M35" s="5" t="inlineStr">
        <is>
          <t>100.0</t>
        </is>
      </c>
      <c r="N35" s="5" t="inlineStr">
        <is>
          <t>YES</t>
        </is>
      </c>
    </row>
    <row r="36">
      <c r="A36" s="6" t="n">
        <v>109</v>
      </c>
      <c r="B36" s="5" t="inlineStr">
        <is>
          <t>S1</t>
        </is>
      </c>
      <c r="C36" s="5" t="inlineStr">
        <is>
          <t>3: 2D therapeutic-response assays</t>
        </is>
      </c>
      <c r="D36" s="5" t="inlineStr">
        <is>
          <t>Establishment of a cell-based wound healing assay for bio-relevant testing of wound therapeutics</t>
        </is>
      </c>
      <c r="E36" s="5" t="inlineStr">
        <is>
          <t>10.1016/j.vascn.2017.10.003</t>
        </is>
      </c>
      <c r="F36" s="5" t="inlineStr">
        <is>
          <t>2D early screening models</t>
        </is>
      </c>
      <c r="G36" s="5" t="inlineStr">
        <is>
          <t>Vascular/perfusion</t>
        </is>
      </c>
      <c r="H36" s="6" t="inlineStr">
        <is>
          <t>0</t>
        </is>
      </c>
      <c r="K36" s="5" t="inlineStr">
        <is>
          <t>From 28-study Table S1 source extraction; zero means not evidenced in extracted record</t>
        </is>
      </c>
      <c r="L36" s="5" t="inlineStr">
        <is>
          <t>https://www.sciencedirect.com/science/article/abs/pii/S1056871917301363</t>
        </is>
      </c>
      <c r="M36" s="5" t="inlineStr">
        <is>
          <t>100.0</t>
        </is>
      </c>
      <c r="N36" s="5" t="inlineStr">
        <is>
          <t>YES</t>
        </is>
      </c>
    </row>
    <row r="37">
      <c r="A37" s="6" t="n">
        <v>110</v>
      </c>
      <c r="B37" s="5" t="inlineStr">
        <is>
          <t>S1</t>
        </is>
      </c>
      <c r="C37" s="5" t="inlineStr">
        <is>
          <t>6: Reconstructed epidermis for barrier and irritation testing</t>
        </is>
      </c>
      <c r="D37" s="5" t="inlineStr">
        <is>
          <t>Property characterization of reconstructed human epidermis equivalents, and performance as a skin irritation model</t>
        </is>
      </c>
      <c r="E37" s="5" t="inlineStr">
        <is>
          <t>10.1016/j.tiv.2018.07.005</t>
        </is>
      </c>
      <c r="F37" s="5" t="inlineStr">
        <is>
          <t>3D epidermal models</t>
        </is>
      </c>
      <c r="G37" s="5" t="inlineStr">
        <is>
          <t>Longitudinal/time-resolved</t>
        </is>
      </c>
      <c r="H37" s="6" t="inlineStr">
        <is>
          <t>0</t>
        </is>
      </c>
      <c r="K37" s="5" t="inlineStr">
        <is>
          <t>From 28-study Table S1 source extraction; zero means not evidenced in extracted record</t>
        </is>
      </c>
      <c r="L37" s="5" t="inlineStr">
        <is>
          <t>https://pubmed.ncbi.nlm.nih.gov/30053440/</t>
        </is>
      </c>
      <c r="M37" s="5" t="inlineStr">
        <is>
          <t>100.0</t>
        </is>
      </c>
      <c r="N37" s="5" t="inlineStr">
        <is>
          <t>YES</t>
        </is>
      </c>
    </row>
    <row r="38">
      <c r="A38" s="6" t="n">
        <v>110</v>
      </c>
      <c r="B38" s="5" t="inlineStr">
        <is>
          <t>S1</t>
        </is>
      </c>
      <c r="C38" s="5" t="inlineStr">
        <is>
          <t>6: Reconstructed epidermis for barrier and irritation testing</t>
        </is>
      </c>
      <c r="D38" s="5" t="inlineStr">
        <is>
          <t>Property characterization of reconstructed human epidermis equivalents, and performance as a skin irritation model</t>
        </is>
      </c>
      <c r="E38" s="5" t="inlineStr">
        <is>
          <t>10.1016/j.tiv.2018.07.005</t>
        </is>
      </c>
      <c r="F38" s="5" t="inlineStr">
        <is>
          <t>3D epidermal models</t>
        </is>
      </c>
      <c r="G38" s="5" t="inlineStr">
        <is>
          <t>Image/segmentation</t>
        </is>
      </c>
      <c r="H38" s="6" t="inlineStr">
        <is>
          <t>1</t>
        </is>
      </c>
      <c r="K38" s="5" t="inlineStr">
        <is>
          <t>From 28-study Table S1 source extraction; zero means not evidenced in extracted record</t>
        </is>
      </c>
      <c r="L38" s="5" t="inlineStr">
        <is>
          <t>https://pubmed.ncbi.nlm.nih.gov/30053440/</t>
        </is>
      </c>
      <c r="M38" s="5" t="inlineStr">
        <is>
          <t>100.0</t>
        </is>
      </c>
      <c r="N38" s="5" t="inlineStr">
        <is>
          <t>YES</t>
        </is>
      </c>
    </row>
    <row r="39">
      <c r="A39" s="6" t="n">
        <v>110</v>
      </c>
      <c r="B39" s="5" t="inlineStr">
        <is>
          <t>S1</t>
        </is>
      </c>
      <c r="C39" s="5" t="inlineStr">
        <is>
          <t>6: Reconstructed epidermis for barrier and irritation testing</t>
        </is>
      </c>
      <c r="D39" s="5" t="inlineStr">
        <is>
          <t>Property characterization of reconstructed human epidermis equivalents, and performance as a skin irritation model</t>
        </is>
      </c>
      <c r="E39" s="5" t="inlineStr">
        <is>
          <t>10.1016/j.tiv.2018.07.005</t>
        </is>
      </c>
      <c r="F39" s="5" t="inlineStr">
        <is>
          <t>3D epidermal models</t>
        </is>
      </c>
      <c r="G39" s="5" t="inlineStr">
        <is>
          <t>Barrier/permeability</t>
        </is>
      </c>
      <c r="H39" s="6" t="inlineStr">
        <is>
          <t>1</t>
        </is>
      </c>
      <c r="K39" s="5" t="inlineStr">
        <is>
          <t>From 28-study Table S1 source extraction; zero means not evidenced in extracted record</t>
        </is>
      </c>
      <c r="L39" s="5" t="inlineStr">
        <is>
          <t>https://pubmed.ncbi.nlm.nih.gov/30053440/</t>
        </is>
      </c>
      <c r="M39" s="5" t="inlineStr">
        <is>
          <t>100.0</t>
        </is>
      </c>
      <c r="N39" s="5" t="inlineStr">
        <is>
          <t>YES</t>
        </is>
      </c>
    </row>
    <row r="40">
      <c r="A40" s="6" t="n">
        <v>110</v>
      </c>
      <c r="B40" s="5" t="inlineStr">
        <is>
          <t>S1</t>
        </is>
      </c>
      <c r="C40" s="5" t="inlineStr">
        <is>
          <t>6: Reconstructed epidermis for barrier and irritation testing</t>
        </is>
      </c>
      <c r="D40" s="5" t="inlineStr">
        <is>
          <t>Property characterization of reconstructed human epidermis equivalents, and performance as a skin irritation model</t>
        </is>
      </c>
      <c r="E40" s="5" t="inlineStr">
        <is>
          <t>10.1016/j.tiv.2018.07.005</t>
        </is>
      </c>
      <c r="F40" s="5" t="inlineStr">
        <is>
          <t>3D epidermal models</t>
        </is>
      </c>
      <c r="G40" s="5" t="inlineStr">
        <is>
          <t>Molecular/inflammatory</t>
        </is>
      </c>
      <c r="H40" s="6" t="inlineStr">
        <is>
          <t>0</t>
        </is>
      </c>
      <c r="K40" s="5" t="inlineStr">
        <is>
          <t>From 28-study Table S1 source extraction; zero means not evidenced in extracted record</t>
        </is>
      </c>
      <c r="L40" s="5" t="inlineStr">
        <is>
          <t>https://pubmed.ncbi.nlm.nih.gov/30053440/</t>
        </is>
      </c>
      <c r="M40" s="5" t="inlineStr">
        <is>
          <t>100.0</t>
        </is>
      </c>
      <c r="N40" s="5" t="inlineStr">
        <is>
          <t>YES</t>
        </is>
      </c>
    </row>
    <row r="41">
      <c r="A41" s="6" t="n">
        <v>110</v>
      </c>
      <c r="B41" s="5" t="inlineStr">
        <is>
          <t>S1</t>
        </is>
      </c>
      <c r="C41" s="5" t="inlineStr">
        <is>
          <t>6: Reconstructed epidermis for barrier and irritation testing</t>
        </is>
      </c>
      <c r="D41" s="5" t="inlineStr">
        <is>
          <t>Property characterization of reconstructed human epidermis equivalents, and performance as a skin irritation model</t>
        </is>
      </c>
      <c r="E41" s="5" t="inlineStr">
        <is>
          <t>10.1016/j.tiv.2018.07.005</t>
        </is>
      </c>
      <c r="F41" s="5" t="inlineStr">
        <is>
          <t>3D epidermal models</t>
        </is>
      </c>
      <c r="G41" s="5" t="inlineStr">
        <is>
          <t>Histology/IHC</t>
        </is>
      </c>
      <c r="H41" s="6" t="inlineStr">
        <is>
          <t>1</t>
        </is>
      </c>
      <c r="K41" s="5" t="inlineStr">
        <is>
          <t>From 28-study Table S1 source extraction; zero means not evidenced in extracted record</t>
        </is>
      </c>
      <c r="L41" s="5" t="inlineStr">
        <is>
          <t>https://pubmed.ncbi.nlm.nih.gov/30053440/</t>
        </is>
      </c>
      <c r="M41" s="5" t="inlineStr">
        <is>
          <t>100.0</t>
        </is>
      </c>
      <c r="N41" s="5" t="inlineStr">
        <is>
          <t>YES</t>
        </is>
      </c>
    </row>
    <row r="42">
      <c r="A42" s="6" t="n">
        <v>110</v>
      </c>
      <c r="B42" s="5" t="inlineStr">
        <is>
          <t>S1</t>
        </is>
      </c>
      <c r="C42" s="5" t="inlineStr">
        <is>
          <t>6: Reconstructed epidermis for barrier and irritation testing</t>
        </is>
      </c>
      <c r="D42" s="5" t="inlineStr">
        <is>
          <t>Property characterization of reconstructed human epidermis equivalents, and performance as a skin irritation model</t>
        </is>
      </c>
      <c r="E42" s="5" t="inlineStr">
        <is>
          <t>10.1016/j.tiv.2018.07.005</t>
        </is>
      </c>
      <c r="F42" s="5" t="inlineStr">
        <is>
          <t>3D epidermal models</t>
        </is>
      </c>
      <c r="G42" s="5" t="inlineStr">
        <is>
          <t>Mechanical/material</t>
        </is>
      </c>
      <c r="H42" s="6" t="inlineStr">
        <is>
          <t>0</t>
        </is>
      </c>
      <c r="K42" s="5" t="inlineStr">
        <is>
          <t>From 28-study Table S1 source extraction; zero means not evidenced in extracted record</t>
        </is>
      </c>
      <c r="L42" s="5" t="inlineStr">
        <is>
          <t>https://pubmed.ncbi.nlm.nih.gov/30053440/</t>
        </is>
      </c>
      <c r="M42" s="5" t="inlineStr">
        <is>
          <t>100.0</t>
        </is>
      </c>
      <c r="N42" s="5" t="inlineStr">
        <is>
          <t>YES</t>
        </is>
      </c>
    </row>
    <row r="43">
      <c r="A43" s="6" t="n">
        <v>110</v>
      </c>
      <c r="B43" s="5" t="inlineStr">
        <is>
          <t>S1</t>
        </is>
      </c>
      <c r="C43" s="5" t="inlineStr">
        <is>
          <t>6: Reconstructed epidermis for barrier and irritation testing</t>
        </is>
      </c>
      <c r="D43" s="5" t="inlineStr">
        <is>
          <t>Property characterization of reconstructed human epidermis equivalents, and performance as a skin irritation model</t>
        </is>
      </c>
      <c r="E43" s="5" t="inlineStr">
        <is>
          <t>10.1016/j.tiv.2018.07.005</t>
        </is>
      </c>
      <c r="F43" s="5" t="inlineStr">
        <is>
          <t>3D epidermal models</t>
        </is>
      </c>
      <c r="G43" s="5" t="inlineStr">
        <is>
          <t>Vascular/perfusion</t>
        </is>
      </c>
      <c r="H43" s="6" t="inlineStr">
        <is>
          <t>0</t>
        </is>
      </c>
      <c r="K43" s="5" t="inlineStr">
        <is>
          <t>From 28-study Table S1 source extraction; zero means not evidenced in extracted record</t>
        </is>
      </c>
      <c r="L43" s="5" t="inlineStr">
        <is>
          <t>https://pubmed.ncbi.nlm.nih.gov/30053440/</t>
        </is>
      </c>
      <c r="M43" s="5" t="inlineStr">
        <is>
          <t>100.0</t>
        </is>
      </c>
      <c r="N43" s="5" t="inlineStr">
        <is>
          <t>YES</t>
        </is>
      </c>
    </row>
    <row r="44">
      <c r="A44" s="6" t="n">
        <v>111</v>
      </c>
      <c r="B44" s="5" t="inlineStr">
        <is>
          <t>S1</t>
        </is>
      </c>
      <c r="C44" s="5" t="inlineStr">
        <is>
          <t>6: Reconstructed epidermis for barrier and irritation testing</t>
        </is>
      </c>
      <c r="D44" s="5" t="inlineStr">
        <is>
          <t>A new reconstructed human epidermis for in vitro skin irritation testing</t>
        </is>
      </c>
      <c r="E44" s="5" t="inlineStr">
        <is>
          <t>10.1016/j.tiv.2017.03.010</t>
        </is>
      </c>
      <c r="F44" s="5" t="inlineStr">
        <is>
          <t>3D epidermal models</t>
        </is>
      </c>
      <c r="G44" s="5" t="inlineStr">
        <is>
          <t>Longitudinal/time-resolved</t>
        </is>
      </c>
      <c r="H44" s="6" t="inlineStr">
        <is>
          <t>0</t>
        </is>
      </c>
      <c r="K44" s="5" t="inlineStr">
        <is>
          <t>From 28-study Table S1 source extraction; zero means not evidenced in extracted record</t>
        </is>
      </c>
      <c r="L44" s="5" t="inlineStr">
        <is>
          <t>https://www.sciencedirect.com/science/article/pii/S0887233317300747</t>
        </is>
      </c>
      <c r="M44" s="5" t="inlineStr">
        <is>
          <t>100.0</t>
        </is>
      </c>
      <c r="N44" s="5" t="inlineStr">
        <is>
          <t>YES</t>
        </is>
      </c>
    </row>
    <row r="45">
      <c r="A45" s="6" t="n">
        <v>111</v>
      </c>
      <c r="B45" s="5" t="inlineStr">
        <is>
          <t>S1</t>
        </is>
      </c>
      <c r="C45" s="5" t="inlineStr">
        <is>
          <t>6: Reconstructed epidermis for barrier and irritation testing</t>
        </is>
      </c>
      <c r="D45" s="5" t="inlineStr">
        <is>
          <t>A new reconstructed human epidermis for in vitro skin irritation testing</t>
        </is>
      </c>
      <c r="E45" s="5" t="inlineStr">
        <is>
          <t>10.1016/j.tiv.2017.03.010</t>
        </is>
      </c>
      <c r="F45" s="5" t="inlineStr">
        <is>
          <t>3D epidermal models</t>
        </is>
      </c>
      <c r="G45" s="5" t="inlineStr">
        <is>
          <t>Image/segmentation</t>
        </is>
      </c>
      <c r="H45" s="6" t="inlineStr">
        <is>
          <t>1</t>
        </is>
      </c>
      <c r="K45" s="5" t="inlineStr">
        <is>
          <t>From 28-study Table S1 source extraction; zero means not evidenced in extracted record</t>
        </is>
      </c>
      <c r="L45" s="5" t="inlineStr">
        <is>
          <t>https://www.sciencedirect.com/science/article/pii/S0887233317300747</t>
        </is>
      </c>
      <c r="M45" s="5" t="inlineStr">
        <is>
          <t>100.0</t>
        </is>
      </c>
      <c r="N45" s="5" t="inlineStr">
        <is>
          <t>YES</t>
        </is>
      </c>
    </row>
    <row r="46">
      <c r="A46" s="6" t="n">
        <v>111</v>
      </c>
      <c r="B46" s="5" t="inlineStr">
        <is>
          <t>S1</t>
        </is>
      </c>
      <c r="C46" s="5" t="inlineStr">
        <is>
          <t>6: Reconstructed epidermis for barrier and irritation testing</t>
        </is>
      </c>
      <c r="D46" s="5" t="inlineStr">
        <is>
          <t>A new reconstructed human epidermis for in vitro skin irritation testing</t>
        </is>
      </c>
      <c r="E46" s="5" t="inlineStr">
        <is>
          <t>10.1016/j.tiv.2017.03.010</t>
        </is>
      </c>
      <c r="F46" s="5" t="inlineStr">
        <is>
          <t>3D epidermal models</t>
        </is>
      </c>
      <c r="G46" s="5" t="inlineStr">
        <is>
          <t>Barrier/permeability</t>
        </is>
      </c>
      <c r="H46" s="6" t="inlineStr">
        <is>
          <t>1</t>
        </is>
      </c>
      <c r="K46" s="5" t="inlineStr">
        <is>
          <t>From 28-study Table S1 source extraction; zero means not evidenced in extracted record</t>
        </is>
      </c>
      <c r="L46" s="5" t="inlineStr">
        <is>
          <t>https://www.sciencedirect.com/science/article/pii/S0887233317300747</t>
        </is>
      </c>
      <c r="M46" s="5" t="inlineStr">
        <is>
          <t>100.0</t>
        </is>
      </c>
      <c r="N46" s="5" t="inlineStr">
        <is>
          <t>YES</t>
        </is>
      </c>
    </row>
    <row r="47">
      <c r="A47" s="6" t="n">
        <v>111</v>
      </c>
      <c r="B47" s="5" t="inlineStr">
        <is>
          <t>S1</t>
        </is>
      </c>
      <c r="C47" s="5" t="inlineStr">
        <is>
          <t>6: Reconstructed epidermis for barrier and irritation testing</t>
        </is>
      </c>
      <c r="D47" s="5" t="inlineStr">
        <is>
          <t>A new reconstructed human epidermis for in vitro skin irritation testing</t>
        </is>
      </c>
      <c r="E47" s="5" t="inlineStr">
        <is>
          <t>10.1016/j.tiv.2017.03.010</t>
        </is>
      </c>
      <c r="F47" s="5" t="inlineStr">
        <is>
          <t>3D epidermal models</t>
        </is>
      </c>
      <c r="G47" s="5" t="inlineStr">
        <is>
          <t>Molecular/inflammatory</t>
        </is>
      </c>
      <c r="H47" s="6" t="inlineStr">
        <is>
          <t>0</t>
        </is>
      </c>
      <c r="K47" s="5" t="inlineStr">
        <is>
          <t>From 28-study Table S1 source extraction; zero means not evidenced in extracted record</t>
        </is>
      </c>
      <c r="L47" s="5" t="inlineStr">
        <is>
          <t>https://www.sciencedirect.com/science/article/pii/S0887233317300747</t>
        </is>
      </c>
      <c r="M47" s="5" t="inlineStr">
        <is>
          <t>100.0</t>
        </is>
      </c>
      <c r="N47" s="5" t="inlineStr">
        <is>
          <t>YES</t>
        </is>
      </c>
    </row>
    <row r="48">
      <c r="A48" s="6" t="n">
        <v>111</v>
      </c>
      <c r="B48" s="5" t="inlineStr">
        <is>
          <t>S1</t>
        </is>
      </c>
      <c r="C48" s="5" t="inlineStr">
        <is>
          <t>6: Reconstructed epidermis for barrier and irritation testing</t>
        </is>
      </c>
      <c r="D48" s="5" t="inlineStr">
        <is>
          <t>A new reconstructed human epidermis for in vitro skin irritation testing</t>
        </is>
      </c>
      <c r="E48" s="5" t="inlineStr">
        <is>
          <t>10.1016/j.tiv.2017.03.010</t>
        </is>
      </c>
      <c r="F48" s="5" t="inlineStr">
        <is>
          <t>3D epidermal models</t>
        </is>
      </c>
      <c r="G48" s="5" t="inlineStr">
        <is>
          <t>Histology/IHC</t>
        </is>
      </c>
      <c r="H48" s="6" t="inlineStr">
        <is>
          <t>1</t>
        </is>
      </c>
      <c r="K48" s="5" t="inlineStr">
        <is>
          <t>From 28-study Table S1 source extraction; zero means not evidenced in extracted record</t>
        </is>
      </c>
      <c r="L48" s="5" t="inlineStr">
        <is>
          <t>https://www.sciencedirect.com/science/article/pii/S0887233317300747</t>
        </is>
      </c>
      <c r="M48" s="5" t="inlineStr">
        <is>
          <t>100.0</t>
        </is>
      </c>
      <c r="N48" s="5" t="inlineStr">
        <is>
          <t>YES</t>
        </is>
      </c>
    </row>
    <row r="49">
      <c r="A49" s="6" t="n">
        <v>111</v>
      </c>
      <c r="B49" s="5" t="inlineStr">
        <is>
          <t>S1</t>
        </is>
      </c>
      <c r="C49" s="5" t="inlineStr">
        <is>
          <t>6: Reconstructed epidermis for barrier and irritation testing</t>
        </is>
      </c>
      <c r="D49" s="5" t="inlineStr">
        <is>
          <t>A new reconstructed human epidermis for in vitro skin irritation testing</t>
        </is>
      </c>
      <c r="E49" s="5" t="inlineStr">
        <is>
          <t>10.1016/j.tiv.2017.03.010</t>
        </is>
      </c>
      <c r="F49" s="5" t="inlineStr">
        <is>
          <t>3D epidermal models</t>
        </is>
      </c>
      <c r="G49" s="5" t="inlineStr">
        <is>
          <t>Mechanical/material</t>
        </is>
      </c>
      <c r="H49" s="6" t="inlineStr">
        <is>
          <t>0</t>
        </is>
      </c>
      <c r="K49" s="5" t="inlineStr">
        <is>
          <t>From 28-study Table S1 source extraction; zero means not evidenced in extracted record</t>
        </is>
      </c>
      <c r="L49" s="5" t="inlineStr">
        <is>
          <t>https://www.sciencedirect.com/science/article/pii/S0887233317300747</t>
        </is>
      </c>
      <c r="M49" s="5" t="inlineStr">
        <is>
          <t>100.0</t>
        </is>
      </c>
      <c r="N49" s="5" t="inlineStr">
        <is>
          <t>YES</t>
        </is>
      </c>
    </row>
    <row r="50">
      <c r="A50" s="6" t="n">
        <v>111</v>
      </c>
      <c r="B50" s="5" t="inlineStr">
        <is>
          <t>S1</t>
        </is>
      </c>
      <c r="C50" s="5" t="inlineStr">
        <is>
          <t>6: Reconstructed epidermis for barrier and irritation testing</t>
        </is>
      </c>
      <c r="D50" s="5" t="inlineStr">
        <is>
          <t>A new reconstructed human epidermis for in vitro skin irritation testing</t>
        </is>
      </c>
      <c r="E50" s="5" t="inlineStr">
        <is>
          <t>10.1016/j.tiv.2017.03.010</t>
        </is>
      </c>
      <c r="F50" s="5" t="inlineStr">
        <is>
          <t>3D epidermal models</t>
        </is>
      </c>
      <c r="G50" s="5" t="inlineStr">
        <is>
          <t>Vascular/perfusion</t>
        </is>
      </c>
      <c r="H50" s="6" t="inlineStr">
        <is>
          <t>0</t>
        </is>
      </c>
      <c r="K50" s="5" t="inlineStr">
        <is>
          <t>From 28-study Table S1 source extraction; zero means not evidenced in extracted record</t>
        </is>
      </c>
      <c r="L50" s="5" t="inlineStr">
        <is>
          <t>https://www.sciencedirect.com/science/article/pii/S0887233317300747</t>
        </is>
      </c>
      <c r="M50" s="5" t="inlineStr">
        <is>
          <t>100.0</t>
        </is>
      </c>
      <c r="N50" s="5" t="inlineStr">
        <is>
          <t>YES</t>
        </is>
      </c>
    </row>
    <row r="51">
      <c r="A51" s="6" t="n">
        <v>112</v>
      </c>
      <c r="B51" s="5" t="inlineStr">
        <is>
          <t>S1</t>
        </is>
      </c>
      <c r="C51" s="5" t="inlineStr">
        <is>
          <t>7: Epidermal and full-thickness toxicity comparison</t>
        </is>
      </c>
      <c r="D51" s="5" t="inlineStr">
        <is>
          <t>Skin corrosion test: A comparison between reconstructed human epidermis and full thickness skin models</t>
        </is>
      </c>
      <c r="E51" s="5" t="inlineStr">
        <is>
          <t>10.1016/j.ejpb.2018.01.002</t>
        </is>
      </c>
      <c r="F51" s="5" t="inlineStr">
        <is>
          <t>3D epidermal models</t>
        </is>
      </c>
      <c r="G51" s="5" t="inlineStr">
        <is>
          <t>Longitudinal/time-resolved</t>
        </is>
      </c>
      <c r="H51" s="6" t="inlineStr">
        <is>
          <t>0</t>
        </is>
      </c>
      <c r="K51" s="5" t="inlineStr">
        <is>
          <t>From 28-study Table S1 source extraction; zero means not evidenced in extracted record</t>
        </is>
      </c>
      <c r="L51" s="5" t="inlineStr">
        <is>
          <t>https://www.sciencedirect.com/science/article/pii/S0939641117312821</t>
        </is>
      </c>
      <c r="M51" s="5" t="inlineStr">
        <is>
          <t>100.0</t>
        </is>
      </c>
      <c r="N51" s="5" t="inlineStr">
        <is>
          <t>YES</t>
        </is>
      </c>
    </row>
    <row r="52">
      <c r="A52" s="6" t="n">
        <v>112</v>
      </c>
      <c r="B52" s="5" t="inlineStr">
        <is>
          <t>S1</t>
        </is>
      </c>
      <c r="C52" s="5" t="inlineStr">
        <is>
          <t>7: Epidermal and full-thickness toxicity comparison</t>
        </is>
      </c>
      <c r="D52" s="5" t="inlineStr">
        <is>
          <t>Skin corrosion test: A comparison between reconstructed human epidermis and full thickness skin models</t>
        </is>
      </c>
      <c r="E52" s="5" t="inlineStr">
        <is>
          <t>10.1016/j.ejpb.2018.01.002</t>
        </is>
      </c>
      <c r="F52" s="5" t="inlineStr">
        <is>
          <t>3D epidermal models</t>
        </is>
      </c>
      <c r="G52" s="5" t="inlineStr">
        <is>
          <t>Image/segmentation</t>
        </is>
      </c>
      <c r="H52" s="6" t="inlineStr">
        <is>
          <t>1</t>
        </is>
      </c>
      <c r="K52" s="5" t="inlineStr">
        <is>
          <t>From 28-study Table S1 source extraction; zero means not evidenced in extracted record</t>
        </is>
      </c>
      <c r="L52" s="5" t="inlineStr">
        <is>
          <t>https://www.sciencedirect.com/science/article/pii/S0939641117312821</t>
        </is>
      </c>
      <c r="M52" s="5" t="inlineStr">
        <is>
          <t>100.0</t>
        </is>
      </c>
      <c r="N52" s="5" t="inlineStr">
        <is>
          <t>YES</t>
        </is>
      </c>
    </row>
    <row r="53">
      <c r="A53" s="6" t="n">
        <v>112</v>
      </c>
      <c r="B53" s="5" t="inlineStr">
        <is>
          <t>S1</t>
        </is>
      </c>
      <c r="C53" s="5" t="inlineStr">
        <is>
          <t>7: Epidermal and full-thickness toxicity comparison</t>
        </is>
      </c>
      <c r="D53" s="5" t="inlineStr">
        <is>
          <t>Skin corrosion test: A comparison between reconstructed human epidermis and full thickness skin models</t>
        </is>
      </c>
      <c r="E53" s="5" t="inlineStr">
        <is>
          <t>10.1016/j.ejpb.2018.01.002</t>
        </is>
      </c>
      <c r="F53" s="5" t="inlineStr">
        <is>
          <t>3D epidermal models</t>
        </is>
      </c>
      <c r="G53" s="5" t="inlineStr">
        <is>
          <t>Barrier/permeability</t>
        </is>
      </c>
      <c r="H53" s="6" t="inlineStr">
        <is>
          <t>0</t>
        </is>
      </c>
      <c r="K53" s="5" t="inlineStr">
        <is>
          <t>From 28-study Table S1 source extraction; zero means not evidenced in extracted record</t>
        </is>
      </c>
      <c r="L53" s="5" t="inlineStr">
        <is>
          <t>https://www.sciencedirect.com/science/article/pii/S0939641117312821</t>
        </is>
      </c>
      <c r="M53" s="5" t="inlineStr">
        <is>
          <t>100.0</t>
        </is>
      </c>
      <c r="N53" s="5" t="inlineStr">
        <is>
          <t>YES</t>
        </is>
      </c>
    </row>
    <row r="54">
      <c r="A54" s="6" t="n">
        <v>112</v>
      </c>
      <c r="B54" s="5" t="inlineStr">
        <is>
          <t>S1</t>
        </is>
      </c>
      <c r="C54" s="5" t="inlineStr">
        <is>
          <t>7: Epidermal and full-thickness toxicity comparison</t>
        </is>
      </c>
      <c r="D54" s="5" t="inlineStr">
        <is>
          <t>Skin corrosion test: A comparison between reconstructed human epidermis and full thickness skin models</t>
        </is>
      </c>
      <c r="E54" s="5" t="inlineStr">
        <is>
          <t>10.1016/j.ejpb.2018.01.002</t>
        </is>
      </c>
      <c r="F54" s="5" t="inlineStr">
        <is>
          <t>3D epidermal models</t>
        </is>
      </c>
      <c r="G54" s="5" t="inlineStr">
        <is>
          <t>Molecular/inflammatory</t>
        </is>
      </c>
      <c r="H54" s="6" t="inlineStr">
        <is>
          <t>0</t>
        </is>
      </c>
      <c r="K54" s="5" t="inlineStr">
        <is>
          <t>From 28-study Table S1 source extraction; zero means not evidenced in extracted record</t>
        </is>
      </c>
      <c r="L54" s="5" t="inlineStr">
        <is>
          <t>https://www.sciencedirect.com/science/article/pii/S0939641117312821</t>
        </is>
      </c>
      <c r="M54" s="5" t="inlineStr">
        <is>
          <t>100.0</t>
        </is>
      </c>
      <c r="N54" s="5" t="inlineStr">
        <is>
          <t>YES</t>
        </is>
      </c>
    </row>
    <row r="55">
      <c r="A55" s="6" t="n">
        <v>112</v>
      </c>
      <c r="B55" s="5" t="inlineStr">
        <is>
          <t>S1</t>
        </is>
      </c>
      <c r="C55" s="5" t="inlineStr">
        <is>
          <t>7: Epidermal and full-thickness toxicity comparison</t>
        </is>
      </c>
      <c r="D55" s="5" t="inlineStr">
        <is>
          <t>Skin corrosion test: A comparison between reconstructed human epidermis and full thickness skin models</t>
        </is>
      </c>
      <c r="E55" s="5" t="inlineStr">
        <is>
          <t>10.1016/j.ejpb.2018.01.002</t>
        </is>
      </c>
      <c r="F55" s="5" t="inlineStr">
        <is>
          <t>3D epidermal models</t>
        </is>
      </c>
      <c r="G55" s="5" t="inlineStr">
        <is>
          <t>Histology/IHC</t>
        </is>
      </c>
      <c r="H55" s="6" t="inlineStr">
        <is>
          <t>1</t>
        </is>
      </c>
      <c r="K55" s="5" t="inlineStr">
        <is>
          <t>From 28-study Table S1 source extraction; zero means not evidenced in extracted record</t>
        </is>
      </c>
      <c r="L55" s="5" t="inlineStr">
        <is>
          <t>https://www.sciencedirect.com/science/article/pii/S0939641117312821</t>
        </is>
      </c>
      <c r="M55" s="5" t="inlineStr">
        <is>
          <t>100.0</t>
        </is>
      </c>
      <c r="N55" s="5" t="inlineStr">
        <is>
          <t>YES</t>
        </is>
      </c>
    </row>
    <row r="56">
      <c r="A56" s="6" t="n">
        <v>112</v>
      </c>
      <c r="B56" s="5" t="inlineStr">
        <is>
          <t>S1</t>
        </is>
      </c>
      <c r="C56" s="5" t="inlineStr">
        <is>
          <t>7: Epidermal and full-thickness toxicity comparison</t>
        </is>
      </c>
      <c r="D56" s="5" t="inlineStr">
        <is>
          <t>Skin corrosion test: A comparison between reconstructed human epidermis and full thickness skin models</t>
        </is>
      </c>
      <c r="E56" s="5" t="inlineStr">
        <is>
          <t>10.1016/j.ejpb.2018.01.002</t>
        </is>
      </c>
      <c r="F56" s="5" t="inlineStr">
        <is>
          <t>3D epidermal models</t>
        </is>
      </c>
      <c r="G56" s="5" t="inlineStr">
        <is>
          <t>Mechanical/material</t>
        </is>
      </c>
      <c r="H56" s="6" t="inlineStr">
        <is>
          <t>0</t>
        </is>
      </c>
      <c r="K56" s="5" t="inlineStr">
        <is>
          <t>From 28-study Table S1 source extraction; zero means not evidenced in extracted record</t>
        </is>
      </c>
      <c r="L56" s="5" t="inlineStr">
        <is>
          <t>https://www.sciencedirect.com/science/article/pii/S0939641117312821</t>
        </is>
      </c>
      <c r="M56" s="5" t="inlineStr">
        <is>
          <t>100.0</t>
        </is>
      </c>
      <c r="N56" s="5" t="inlineStr">
        <is>
          <t>YES</t>
        </is>
      </c>
    </row>
    <row r="57">
      <c r="A57" s="6" t="n">
        <v>112</v>
      </c>
      <c r="B57" s="5" t="inlineStr">
        <is>
          <t>S1</t>
        </is>
      </c>
      <c r="C57" s="5" t="inlineStr">
        <is>
          <t>7: Epidermal and full-thickness toxicity comparison</t>
        </is>
      </c>
      <c r="D57" s="5" t="inlineStr">
        <is>
          <t>Skin corrosion test: A comparison between reconstructed human epidermis and full thickness skin models</t>
        </is>
      </c>
      <c r="E57" s="5" t="inlineStr">
        <is>
          <t>10.1016/j.ejpb.2018.01.002</t>
        </is>
      </c>
      <c r="F57" s="5" t="inlineStr">
        <is>
          <t>3D epidermal models</t>
        </is>
      </c>
      <c r="G57" s="5" t="inlineStr">
        <is>
          <t>Vascular/perfusion</t>
        </is>
      </c>
      <c r="H57" s="6" t="inlineStr">
        <is>
          <t>0</t>
        </is>
      </c>
      <c r="K57" s="5" t="inlineStr">
        <is>
          <t>From 28-study Table S1 source extraction; zero means not evidenced in extracted record</t>
        </is>
      </c>
      <c r="L57" s="5" t="inlineStr">
        <is>
          <t>https://www.sciencedirect.com/science/article/pii/S0939641117312821</t>
        </is>
      </c>
      <c r="M57" s="5" t="inlineStr">
        <is>
          <t>100.0</t>
        </is>
      </c>
      <c r="N57" s="5" t="inlineStr">
        <is>
          <t>YES</t>
        </is>
      </c>
    </row>
    <row r="58">
      <c r="A58" s="6" t="n">
        <v>115</v>
      </c>
      <c r="B58" s="5" t="inlineStr">
        <is>
          <t>S1</t>
        </is>
      </c>
      <c r="C58" s="5" t="inlineStr">
        <is>
          <t>7: Epidermal and full-thickness toxicity comparison</t>
        </is>
      </c>
      <c r="D58" s="5" t="inlineStr">
        <is>
          <t>Skin toxicity assessment of silver nanoparticles in a 3D epidermal model compared to 2D keratinocytes</t>
        </is>
      </c>
      <c r="E58" s="5" t="inlineStr">
        <is>
          <t>10.2147/IJN.S225451</t>
        </is>
      </c>
      <c r="F58" s="5" t="inlineStr">
        <is>
          <t>3D epidermal models</t>
        </is>
      </c>
      <c r="G58" s="5" t="inlineStr">
        <is>
          <t>Longitudinal/time-resolved</t>
        </is>
      </c>
      <c r="H58" s="6" t="inlineStr">
        <is>
          <t>0</t>
        </is>
      </c>
      <c r="K58" s="5" t="inlineStr">
        <is>
          <t>From 28-study Table S1 source extraction; zero means not evidenced in extracted record</t>
        </is>
      </c>
      <c r="L58" s="5" t="inlineStr">
        <is>
          <t>https://pmc.ncbi.nlm.nih.gov/articles/PMC6910103/</t>
        </is>
      </c>
      <c r="M58" s="5" t="inlineStr">
        <is>
          <t>100.0</t>
        </is>
      </c>
      <c r="N58" s="5" t="inlineStr">
        <is>
          <t>YES</t>
        </is>
      </c>
    </row>
    <row r="59">
      <c r="A59" s="6" t="n">
        <v>115</v>
      </c>
      <c r="B59" s="5" t="inlineStr">
        <is>
          <t>S1</t>
        </is>
      </c>
      <c r="C59" s="5" t="inlineStr">
        <is>
          <t>7: Epidermal and full-thickness toxicity comparison</t>
        </is>
      </c>
      <c r="D59" s="5" t="inlineStr">
        <is>
          <t>Skin toxicity assessment of silver nanoparticles in a 3D epidermal model compared to 2D keratinocytes</t>
        </is>
      </c>
      <c r="E59" s="5" t="inlineStr">
        <is>
          <t>10.2147/IJN.S225451</t>
        </is>
      </c>
      <c r="F59" s="5" t="inlineStr">
        <is>
          <t>3D epidermal models</t>
        </is>
      </c>
      <c r="G59" s="5" t="inlineStr">
        <is>
          <t>Image/segmentation</t>
        </is>
      </c>
      <c r="H59" s="6" t="inlineStr">
        <is>
          <t>1</t>
        </is>
      </c>
      <c r="K59" s="5" t="inlineStr">
        <is>
          <t>From 28-study Table S1 source extraction; zero means not evidenced in extracted record</t>
        </is>
      </c>
      <c r="L59" s="5" t="inlineStr">
        <is>
          <t>https://pmc.ncbi.nlm.nih.gov/articles/PMC6910103/</t>
        </is>
      </c>
      <c r="M59" s="5" t="inlineStr">
        <is>
          <t>100.0</t>
        </is>
      </c>
      <c r="N59" s="5" t="inlineStr">
        <is>
          <t>YES</t>
        </is>
      </c>
    </row>
    <row r="60">
      <c r="A60" s="6" t="n">
        <v>115</v>
      </c>
      <c r="B60" s="5" t="inlineStr">
        <is>
          <t>S1</t>
        </is>
      </c>
      <c r="C60" s="5" t="inlineStr">
        <is>
          <t>7: Epidermal and full-thickness toxicity comparison</t>
        </is>
      </c>
      <c r="D60" s="5" t="inlineStr">
        <is>
          <t>Skin toxicity assessment of silver nanoparticles in a 3D epidermal model compared to 2D keratinocytes</t>
        </is>
      </c>
      <c r="E60" s="5" t="inlineStr">
        <is>
          <t>10.2147/IJN.S225451</t>
        </is>
      </c>
      <c r="F60" s="5" t="inlineStr">
        <is>
          <t>3D epidermal models</t>
        </is>
      </c>
      <c r="G60" s="5" t="inlineStr">
        <is>
          <t>Barrier/permeability</t>
        </is>
      </c>
      <c r="H60" s="6" t="inlineStr">
        <is>
          <t>1</t>
        </is>
      </c>
      <c r="K60" s="5" t="inlineStr">
        <is>
          <t>From 28-study Table S1 source extraction; zero means not evidenced in extracted record</t>
        </is>
      </c>
      <c r="L60" s="5" t="inlineStr">
        <is>
          <t>https://pmc.ncbi.nlm.nih.gov/articles/PMC6910103/</t>
        </is>
      </c>
      <c r="M60" s="5" t="inlineStr">
        <is>
          <t>100.0</t>
        </is>
      </c>
      <c r="N60" s="5" t="inlineStr">
        <is>
          <t>YES</t>
        </is>
      </c>
    </row>
    <row r="61">
      <c r="A61" s="6" t="n">
        <v>115</v>
      </c>
      <c r="B61" s="5" t="inlineStr">
        <is>
          <t>S1</t>
        </is>
      </c>
      <c r="C61" s="5" t="inlineStr">
        <is>
          <t>7: Epidermal and full-thickness toxicity comparison</t>
        </is>
      </c>
      <c r="D61" s="5" t="inlineStr">
        <is>
          <t>Skin toxicity assessment of silver nanoparticles in a 3D epidermal model compared to 2D keratinocytes</t>
        </is>
      </c>
      <c r="E61" s="5" t="inlineStr">
        <is>
          <t>10.2147/IJN.S225451</t>
        </is>
      </c>
      <c r="F61" s="5" t="inlineStr">
        <is>
          <t>3D epidermal models</t>
        </is>
      </c>
      <c r="G61" s="5" t="inlineStr">
        <is>
          <t>Molecular/inflammatory</t>
        </is>
      </c>
      <c r="H61" s="6" t="inlineStr">
        <is>
          <t>1</t>
        </is>
      </c>
      <c r="K61" s="5" t="inlineStr">
        <is>
          <t>From 28-study Table S1 source extraction; zero means not evidenced in extracted record</t>
        </is>
      </c>
      <c r="L61" s="5" t="inlineStr">
        <is>
          <t>https://pmc.ncbi.nlm.nih.gov/articles/PMC6910103/</t>
        </is>
      </c>
      <c r="M61" s="5" t="inlineStr">
        <is>
          <t>100.0</t>
        </is>
      </c>
      <c r="N61" s="5" t="inlineStr">
        <is>
          <t>YES</t>
        </is>
      </c>
    </row>
    <row r="62">
      <c r="A62" s="6" t="n">
        <v>115</v>
      </c>
      <c r="B62" s="5" t="inlineStr">
        <is>
          <t>S1</t>
        </is>
      </c>
      <c r="C62" s="5" t="inlineStr">
        <is>
          <t>7: Epidermal and full-thickness toxicity comparison</t>
        </is>
      </c>
      <c r="D62" s="5" t="inlineStr">
        <is>
          <t>Skin toxicity assessment of silver nanoparticles in a 3D epidermal model compared to 2D keratinocytes</t>
        </is>
      </c>
      <c r="E62" s="5" t="inlineStr">
        <is>
          <t>10.2147/IJN.S225451</t>
        </is>
      </c>
      <c r="F62" s="5" t="inlineStr">
        <is>
          <t>3D epidermal models</t>
        </is>
      </c>
      <c r="G62" s="5" t="inlineStr">
        <is>
          <t>Histology/IHC</t>
        </is>
      </c>
      <c r="H62" s="6" t="inlineStr">
        <is>
          <t>1</t>
        </is>
      </c>
      <c r="K62" s="5" t="inlineStr">
        <is>
          <t>From 28-study Table S1 source extraction; zero means not evidenced in extracted record</t>
        </is>
      </c>
      <c r="L62" s="5" t="inlineStr">
        <is>
          <t>https://pmc.ncbi.nlm.nih.gov/articles/PMC6910103/</t>
        </is>
      </c>
      <c r="M62" s="5" t="inlineStr">
        <is>
          <t>100.0</t>
        </is>
      </c>
      <c r="N62" s="5" t="inlineStr">
        <is>
          <t>YES</t>
        </is>
      </c>
    </row>
    <row r="63">
      <c r="A63" s="6" t="n">
        <v>115</v>
      </c>
      <c r="B63" s="5" t="inlineStr">
        <is>
          <t>S1</t>
        </is>
      </c>
      <c r="C63" s="5" t="inlineStr">
        <is>
          <t>7: Epidermal and full-thickness toxicity comparison</t>
        </is>
      </c>
      <c r="D63" s="5" t="inlineStr">
        <is>
          <t>Skin toxicity assessment of silver nanoparticles in a 3D epidermal model compared to 2D keratinocytes</t>
        </is>
      </c>
      <c r="E63" s="5" t="inlineStr">
        <is>
          <t>10.2147/IJN.S225451</t>
        </is>
      </c>
      <c r="F63" s="5" t="inlineStr">
        <is>
          <t>3D epidermal models</t>
        </is>
      </c>
      <c r="G63" s="5" t="inlineStr">
        <is>
          <t>Mechanical/material</t>
        </is>
      </c>
      <c r="H63" s="6" t="inlineStr">
        <is>
          <t>0</t>
        </is>
      </c>
      <c r="K63" s="5" t="inlineStr">
        <is>
          <t>From 28-study Table S1 source extraction; zero means not evidenced in extracted record</t>
        </is>
      </c>
      <c r="L63" s="5" t="inlineStr">
        <is>
          <t>https://pmc.ncbi.nlm.nih.gov/articles/PMC6910103/</t>
        </is>
      </c>
      <c r="M63" s="5" t="inlineStr">
        <is>
          <t>100.0</t>
        </is>
      </c>
      <c r="N63" s="5" t="inlineStr">
        <is>
          <t>YES</t>
        </is>
      </c>
    </row>
    <row r="64">
      <c r="A64" s="6" t="n">
        <v>115</v>
      </c>
      <c r="B64" s="5" t="inlineStr">
        <is>
          <t>S1</t>
        </is>
      </c>
      <c r="C64" s="5" t="inlineStr">
        <is>
          <t>7: Epidermal and full-thickness toxicity comparison</t>
        </is>
      </c>
      <c r="D64" s="5" t="inlineStr">
        <is>
          <t>Skin toxicity assessment of silver nanoparticles in a 3D epidermal model compared to 2D keratinocytes</t>
        </is>
      </c>
      <c r="E64" s="5" t="inlineStr">
        <is>
          <t>10.2147/IJN.S225451</t>
        </is>
      </c>
      <c r="F64" s="5" t="inlineStr">
        <is>
          <t>3D epidermal models</t>
        </is>
      </c>
      <c r="G64" s="5" t="inlineStr">
        <is>
          <t>Vascular/perfusion</t>
        </is>
      </c>
      <c r="H64" s="6" t="inlineStr">
        <is>
          <t>0</t>
        </is>
      </c>
      <c r="K64" s="5" t="inlineStr">
        <is>
          <t>From 28-study Table S1 source extraction; zero means not evidenced in extracted record</t>
        </is>
      </c>
      <c r="L64" s="5" t="inlineStr">
        <is>
          <t>https://pmc.ncbi.nlm.nih.gov/articles/PMC6910103/</t>
        </is>
      </c>
      <c r="M64" s="5" t="inlineStr">
        <is>
          <t>100.0</t>
        </is>
      </c>
      <c r="N64" s="5" t="inlineStr">
        <is>
          <t>YES</t>
        </is>
      </c>
    </row>
    <row r="65">
      <c r="A65" s="6" t="n">
        <v>122</v>
      </c>
      <c r="B65" s="5" t="inlineStr">
        <is>
          <t>S1</t>
        </is>
      </c>
      <c r="C65" s="5" t="inlineStr">
        <is>
          <t>10: Matrix-based 3D wound constructs</t>
        </is>
      </c>
      <c r="D65" s="5" t="inlineStr">
        <is>
          <t>Keratinocyte migration in a three-dimensional in vitro wound healing model co-cultured with fibroblasts</t>
        </is>
      </c>
      <c r="E65" s="5" t="inlineStr">
        <is>
          <t>10.1007/s13770-018-0145-7</t>
        </is>
      </c>
      <c r="F65" s="5" t="inlineStr">
        <is>
          <t>3D wound models</t>
        </is>
      </c>
      <c r="G65" s="5" t="inlineStr">
        <is>
          <t>Longitudinal/time-resolved</t>
        </is>
      </c>
      <c r="H65" s="6" t="inlineStr">
        <is>
          <t>1</t>
        </is>
      </c>
      <c r="K65" s="5" t="inlineStr">
        <is>
          <t>From 28-study Table S1 source extraction; zero means not evidenced in extracted record</t>
        </is>
      </c>
      <c r="L65" s="5" t="inlineStr">
        <is>
          <t>https://pmc.ncbi.nlm.nih.gov/articles/PMC6250652/</t>
        </is>
      </c>
      <c r="M65" s="5" t="inlineStr">
        <is>
          <t>100.0</t>
        </is>
      </c>
      <c r="N65" s="5" t="inlineStr">
        <is>
          <t>YES</t>
        </is>
      </c>
    </row>
    <row r="66">
      <c r="A66" s="6" t="n">
        <v>122</v>
      </c>
      <c r="B66" s="5" t="inlineStr">
        <is>
          <t>S1</t>
        </is>
      </c>
      <c r="C66" s="5" t="inlineStr">
        <is>
          <t>10: Matrix-based 3D wound constructs</t>
        </is>
      </c>
      <c r="D66" s="5" t="inlineStr">
        <is>
          <t>Keratinocyte migration in a three-dimensional in vitro wound healing model co-cultured with fibroblasts</t>
        </is>
      </c>
      <c r="E66" s="5" t="inlineStr">
        <is>
          <t>10.1007/s13770-018-0145-7</t>
        </is>
      </c>
      <c r="F66" s="5" t="inlineStr">
        <is>
          <t>3D wound models</t>
        </is>
      </c>
      <c r="G66" s="5" t="inlineStr">
        <is>
          <t>Image/segmentation</t>
        </is>
      </c>
      <c r="H66" s="6" t="inlineStr">
        <is>
          <t>1</t>
        </is>
      </c>
      <c r="K66" s="5" t="inlineStr">
        <is>
          <t>From 28-study Table S1 source extraction; zero means not evidenced in extracted record</t>
        </is>
      </c>
      <c r="L66" s="5" t="inlineStr">
        <is>
          <t>https://pmc.ncbi.nlm.nih.gov/articles/PMC6250652/</t>
        </is>
      </c>
      <c r="M66" s="5" t="inlineStr">
        <is>
          <t>100.0</t>
        </is>
      </c>
      <c r="N66" s="5" t="inlineStr">
        <is>
          <t>YES</t>
        </is>
      </c>
    </row>
    <row r="67">
      <c r="A67" s="6" t="n">
        <v>122</v>
      </c>
      <c r="B67" s="5" t="inlineStr">
        <is>
          <t>S1</t>
        </is>
      </c>
      <c r="C67" s="5" t="inlineStr">
        <is>
          <t>10: Matrix-based 3D wound constructs</t>
        </is>
      </c>
      <c r="D67" s="5" t="inlineStr">
        <is>
          <t>Keratinocyte migration in a three-dimensional in vitro wound healing model co-cultured with fibroblasts</t>
        </is>
      </c>
      <c r="E67" s="5" t="inlineStr">
        <is>
          <t>10.1007/s13770-018-0145-7</t>
        </is>
      </c>
      <c r="F67" s="5" t="inlineStr">
        <is>
          <t>3D wound models</t>
        </is>
      </c>
      <c r="G67" s="5" t="inlineStr">
        <is>
          <t>Barrier/permeability</t>
        </is>
      </c>
      <c r="H67" s="6" t="inlineStr">
        <is>
          <t>0</t>
        </is>
      </c>
      <c r="K67" s="5" t="inlineStr">
        <is>
          <t>From 28-study Table S1 source extraction; zero means not evidenced in extracted record</t>
        </is>
      </c>
      <c r="L67" s="5" t="inlineStr">
        <is>
          <t>https://pmc.ncbi.nlm.nih.gov/articles/PMC6250652/</t>
        </is>
      </c>
      <c r="M67" s="5" t="inlineStr">
        <is>
          <t>100.0</t>
        </is>
      </c>
      <c r="N67" s="5" t="inlineStr">
        <is>
          <t>YES</t>
        </is>
      </c>
    </row>
    <row r="68">
      <c r="A68" s="6" t="n">
        <v>122</v>
      </c>
      <c r="B68" s="5" t="inlineStr">
        <is>
          <t>S1</t>
        </is>
      </c>
      <c r="C68" s="5" t="inlineStr">
        <is>
          <t>10: Matrix-based 3D wound constructs</t>
        </is>
      </c>
      <c r="D68" s="5" t="inlineStr">
        <is>
          <t>Keratinocyte migration in a three-dimensional in vitro wound healing model co-cultured with fibroblasts</t>
        </is>
      </c>
      <c r="E68" s="5" t="inlineStr">
        <is>
          <t>10.1007/s13770-018-0145-7</t>
        </is>
      </c>
      <c r="F68" s="5" t="inlineStr">
        <is>
          <t>3D wound models</t>
        </is>
      </c>
      <c r="G68" s="5" t="inlineStr">
        <is>
          <t>Molecular/inflammatory</t>
        </is>
      </c>
      <c r="H68" s="6" t="inlineStr">
        <is>
          <t>0</t>
        </is>
      </c>
      <c r="K68" s="5" t="inlineStr">
        <is>
          <t>From 28-study Table S1 source extraction; zero means not evidenced in extracted record</t>
        </is>
      </c>
      <c r="L68" s="5" t="inlineStr">
        <is>
          <t>https://pmc.ncbi.nlm.nih.gov/articles/PMC6250652/</t>
        </is>
      </c>
      <c r="M68" s="5" t="inlineStr">
        <is>
          <t>100.0</t>
        </is>
      </c>
      <c r="N68" s="5" t="inlineStr">
        <is>
          <t>YES</t>
        </is>
      </c>
    </row>
    <row r="69">
      <c r="A69" s="6" t="n">
        <v>122</v>
      </c>
      <c r="B69" s="5" t="inlineStr">
        <is>
          <t>S1</t>
        </is>
      </c>
      <c r="C69" s="5" t="inlineStr">
        <is>
          <t>10: Matrix-based 3D wound constructs</t>
        </is>
      </c>
      <c r="D69" s="5" t="inlineStr">
        <is>
          <t>Keratinocyte migration in a three-dimensional in vitro wound healing model co-cultured with fibroblasts</t>
        </is>
      </c>
      <c r="E69" s="5" t="inlineStr">
        <is>
          <t>10.1007/s13770-018-0145-7</t>
        </is>
      </c>
      <c r="F69" s="5" t="inlineStr">
        <is>
          <t>3D wound models</t>
        </is>
      </c>
      <c r="G69" s="5" t="inlineStr">
        <is>
          <t>Histology/IHC</t>
        </is>
      </c>
      <c r="H69" s="6" t="inlineStr">
        <is>
          <t>0</t>
        </is>
      </c>
      <c r="K69" s="5" t="inlineStr">
        <is>
          <t>From 28-study Table S1 source extraction; zero means not evidenced in extracted record</t>
        </is>
      </c>
      <c r="L69" s="5" t="inlineStr">
        <is>
          <t>https://pmc.ncbi.nlm.nih.gov/articles/PMC6250652/</t>
        </is>
      </c>
      <c r="M69" s="5" t="inlineStr">
        <is>
          <t>100.0</t>
        </is>
      </c>
      <c r="N69" s="5" t="inlineStr">
        <is>
          <t>YES</t>
        </is>
      </c>
    </row>
    <row r="70">
      <c r="A70" s="6" t="n">
        <v>122</v>
      </c>
      <c r="B70" s="5" t="inlineStr">
        <is>
          <t>S1</t>
        </is>
      </c>
      <c r="C70" s="5" t="inlineStr">
        <is>
          <t>10: Matrix-based 3D wound constructs</t>
        </is>
      </c>
      <c r="D70" s="5" t="inlineStr">
        <is>
          <t>Keratinocyte migration in a three-dimensional in vitro wound healing model co-cultured with fibroblasts</t>
        </is>
      </c>
      <c r="E70" s="5" t="inlineStr">
        <is>
          <t>10.1007/s13770-018-0145-7</t>
        </is>
      </c>
      <c r="F70" s="5" t="inlineStr">
        <is>
          <t>3D wound models</t>
        </is>
      </c>
      <c r="G70" s="5" t="inlineStr">
        <is>
          <t>Mechanical/material</t>
        </is>
      </c>
      <c r="H70" s="6" t="inlineStr">
        <is>
          <t>1</t>
        </is>
      </c>
      <c r="K70" s="5" t="inlineStr">
        <is>
          <t>From 28-study Table S1 source extraction; zero means not evidenced in extracted record</t>
        </is>
      </c>
      <c r="L70" s="5" t="inlineStr">
        <is>
          <t>https://pmc.ncbi.nlm.nih.gov/articles/PMC6250652/</t>
        </is>
      </c>
      <c r="M70" s="5" t="inlineStr">
        <is>
          <t>100.0</t>
        </is>
      </c>
      <c r="N70" s="5" t="inlineStr">
        <is>
          <t>YES</t>
        </is>
      </c>
    </row>
    <row r="71">
      <c r="A71" s="6" t="n">
        <v>122</v>
      </c>
      <c r="B71" s="5" t="inlineStr">
        <is>
          <t>S1</t>
        </is>
      </c>
      <c r="C71" s="5" t="inlineStr">
        <is>
          <t>10: Matrix-based 3D wound constructs</t>
        </is>
      </c>
      <c r="D71" s="5" t="inlineStr">
        <is>
          <t>Keratinocyte migration in a three-dimensional in vitro wound healing model co-cultured with fibroblasts</t>
        </is>
      </c>
      <c r="E71" s="5" t="inlineStr">
        <is>
          <t>10.1007/s13770-018-0145-7</t>
        </is>
      </c>
      <c r="F71" s="5" t="inlineStr">
        <is>
          <t>3D wound models</t>
        </is>
      </c>
      <c r="G71" s="5" t="inlineStr">
        <is>
          <t>Vascular/perfusion</t>
        </is>
      </c>
      <c r="H71" s="6" t="inlineStr">
        <is>
          <t>0</t>
        </is>
      </c>
      <c r="K71" s="5" t="inlineStr">
        <is>
          <t>From 28-study Table S1 source extraction; zero means not evidenced in extracted record</t>
        </is>
      </c>
      <c r="L71" s="5" t="inlineStr">
        <is>
          <t>https://pmc.ncbi.nlm.nih.gov/articles/PMC6250652/</t>
        </is>
      </c>
      <c r="M71" s="5" t="inlineStr">
        <is>
          <t>100.0</t>
        </is>
      </c>
      <c r="N71" s="5" t="inlineStr">
        <is>
          <t>YES</t>
        </is>
      </c>
    </row>
    <row r="72">
      <c r="A72" s="6" t="n">
        <v>118</v>
      </c>
      <c r="B72" s="5" t="inlineStr">
        <is>
          <t>S1</t>
        </is>
      </c>
      <c r="C72" s="5" t="inlineStr">
        <is>
          <t>11: Longitudinal non-invasive wound monitoring</t>
        </is>
      </c>
      <c r="D72" s="5" t="inlineStr">
        <is>
          <t>New Methodological Approach to Follow the Re‐Epithelialisation Phase in the Wound Healing Process on a 3D Full Thickness Skin Model</t>
        </is>
      </c>
      <c r="E72" s="5" t="inlineStr">
        <is>
          <t>10.1111/exd.70137</t>
        </is>
      </c>
      <c r="F72" s="5" t="inlineStr">
        <is>
          <t>3D wound models</t>
        </is>
      </c>
      <c r="G72" s="5" t="inlineStr">
        <is>
          <t>Longitudinal/time-resolved</t>
        </is>
      </c>
      <c r="H72" s="6" t="inlineStr">
        <is>
          <t>1</t>
        </is>
      </c>
      <c r="K72" s="5" t="inlineStr">
        <is>
          <t>From 28-study Table S1 source extraction; zero means not evidenced in extracted record</t>
        </is>
      </c>
      <c r="L72" s="5" t="inlineStr">
        <is>
          <t>https://onlinelibrary.wiley.com/doi/10.1111/exd.70137</t>
        </is>
      </c>
      <c r="M72" s="5" t="inlineStr">
        <is>
          <t>100.0</t>
        </is>
      </c>
      <c r="N72" s="5" t="inlineStr">
        <is>
          <t>YES</t>
        </is>
      </c>
    </row>
    <row r="73">
      <c r="A73" s="6" t="n">
        <v>118</v>
      </c>
      <c r="B73" s="5" t="inlineStr">
        <is>
          <t>S1</t>
        </is>
      </c>
      <c r="C73" s="5" t="inlineStr">
        <is>
          <t>11: Longitudinal non-invasive wound monitoring</t>
        </is>
      </c>
      <c r="D73" s="5" t="inlineStr">
        <is>
          <t>New Methodological Approach to Follow the Re‐Epithelialisation Phase in the Wound Healing Process on a 3D Full Thickness Skin Model</t>
        </is>
      </c>
      <c r="E73" s="5" t="inlineStr">
        <is>
          <t>10.1111/exd.70137</t>
        </is>
      </c>
      <c r="F73" s="5" t="inlineStr">
        <is>
          <t>3D wound models</t>
        </is>
      </c>
      <c r="G73" s="5" t="inlineStr">
        <is>
          <t>Image/segmentation</t>
        </is>
      </c>
      <c r="H73" s="6" t="inlineStr">
        <is>
          <t>1</t>
        </is>
      </c>
      <c r="K73" s="5" t="inlineStr">
        <is>
          <t>From 28-study Table S1 source extraction; zero means not evidenced in extracted record</t>
        </is>
      </c>
      <c r="L73" s="5" t="inlineStr">
        <is>
          <t>https://onlinelibrary.wiley.com/doi/10.1111/exd.70137</t>
        </is>
      </c>
      <c r="M73" s="5" t="inlineStr">
        <is>
          <t>100.0</t>
        </is>
      </c>
      <c r="N73" s="5" t="inlineStr">
        <is>
          <t>YES</t>
        </is>
      </c>
    </row>
    <row r="74">
      <c r="A74" s="6" t="n">
        <v>118</v>
      </c>
      <c r="B74" s="5" t="inlineStr">
        <is>
          <t>S1</t>
        </is>
      </c>
      <c r="C74" s="5" t="inlineStr">
        <is>
          <t>11: Longitudinal non-invasive wound monitoring</t>
        </is>
      </c>
      <c r="D74" s="5" t="inlineStr">
        <is>
          <t>New Methodological Approach to Follow the Re‐Epithelialisation Phase in the Wound Healing Process on a 3D Full Thickness Skin Model</t>
        </is>
      </c>
      <c r="E74" s="5" t="inlineStr">
        <is>
          <t>10.1111/exd.70137</t>
        </is>
      </c>
      <c r="F74" s="5" t="inlineStr">
        <is>
          <t>3D wound models</t>
        </is>
      </c>
      <c r="G74" s="5" t="inlineStr">
        <is>
          <t>Barrier/permeability</t>
        </is>
      </c>
      <c r="H74" s="6" t="inlineStr">
        <is>
          <t>0</t>
        </is>
      </c>
      <c r="K74" s="5" t="inlineStr">
        <is>
          <t>From 28-study Table S1 source extraction; zero means not evidenced in extracted record</t>
        </is>
      </c>
      <c r="L74" s="5" t="inlineStr">
        <is>
          <t>https://onlinelibrary.wiley.com/doi/10.1111/exd.70137</t>
        </is>
      </c>
      <c r="M74" s="5" t="inlineStr">
        <is>
          <t>100.0</t>
        </is>
      </c>
      <c r="N74" s="5" t="inlineStr">
        <is>
          <t>YES</t>
        </is>
      </c>
    </row>
    <row r="75">
      <c r="A75" s="6" t="n">
        <v>118</v>
      </c>
      <c r="B75" s="5" t="inlineStr">
        <is>
          <t>S1</t>
        </is>
      </c>
      <c r="C75" s="5" t="inlineStr">
        <is>
          <t>11: Longitudinal non-invasive wound monitoring</t>
        </is>
      </c>
      <c r="D75" s="5" t="inlineStr">
        <is>
          <t>New Methodological Approach to Follow the Re‐Epithelialisation Phase in the Wound Healing Process on a 3D Full Thickness Skin Model</t>
        </is>
      </c>
      <c r="E75" s="5" t="inlineStr">
        <is>
          <t>10.1111/exd.70137</t>
        </is>
      </c>
      <c r="F75" s="5" t="inlineStr">
        <is>
          <t>3D wound models</t>
        </is>
      </c>
      <c r="G75" s="5" t="inlineStr">
        <is>
          <t>Molecular/inflammatory</t>
        </is>
      </c>
      <c r="H75" s="6" t="inlineStr">
        <is>
          <t>0</t>
        </is>
      </c>
      <c r="K75" s="5" t="inlineStr">
        <is>
          <t>From 28-study Table S1 source extraction; zero means not evidenced in extracted record</t>
        </is>
      </c>
      <c r="L75" s="5" t="inlineStr">
        <is>
          <t>https://onlinelibrary.wiley.com/doi/10.1111/exd.70137</t>
        </is>
      </c>
      <c r="M75" s="5" t="inlineStr">
        <is>
          <t>100.0</t>
        </is>
      </c>
      <c r="N75" s="5" t="inlineStr">
        <is>
          <t>YES</t>
        </is>
      </c>
    </row>
    <row r="76">
      <c r="A76" s="6" t="n">
        <v>118</v>
      </c>
      <c r="B76" s="5" t="inlineStr">
        <is>
          <t>S1</t>
        </is>
      </c>
      <c r="C76" s="5" t="inlineStr">
        <is>
          <t>11: Longitudinal non-invasive wound monitoring</t>
        </is>
      </c>
      <c r="D76" s="5" t="inlineStr">
        <is>
          <t>New Methodological Approach to Follow the Re‐Epithelialisation Phase in the Wound Healing Process on a 3D Full Thickness Skin Model</t>
        </is>
      </c>
      <c r="E76" s="5" t="inlineStr">
        <is>
          <t>10.1111/exd.70137</t>
        </is>
      </c>
      <c r="F76" s="5" t="inlineStr">
        <is>
          <t>3D wound models</t>
        </is>
      </c>
      <c r="G76" s="5" t="inlineStr">
        <is>
          <t>Histology/IHC</t>
        </is>
      </c>
      <c r="H76" s="6" t="inlineStr">
        <is>
          <t>1</t>
        </is>
      </c>
      <c r="K76" s="5" t="inlineStr">
        <is>
          <t>From 28-study Table S1 source extraction; zero means not evidenced in extracted record</t>
        </is>
      </c>
      <c r="L76" s="5" t="inlineStr">
        <is>
          <t>https://onlinelibrary.wiley.com/doi/10.1111/exd.70137</t>
        </is>
      </c>
      <c r="M76" s="5" t="inlineStr">
        <is>
          <t>100.0</t>
        </is>
      </c>
      <c r="N76" s="5" t="inlineStr">
        <is>
          <t>YES</t>
        </is>
      </c>
    </row>
    <row r="77">
      <c r="A77" s="6" t="n">
        <v>118</v>
      </c>
      <c r="B77" s="5" t="inlineStr">
        <is>
          <t>S1</t>
        </is>
      </c>
      <c r="C77" s="5" t="inlineStr">
        <is>
          <t>11: Longitudinal non-invasive wound monitoring</t>
        </is>
      </c>
      <c r="D77" s="5" t="inlineStr">
        <is>
          <t>New Methodological Approach to Follow the Re‐Epithelialisation Phase in the Wound Healing Process on a 3D Full Thickness Skin Model</t>
        </is>
      </c>
      <c r="E77" s="5" t="inlineStr">
        <is>
          <t>10.1111/exd.70137</t>
        </is>
      </c>
      <c r="F77" s="5" t="inlineStr">
        <is>
          <t>3D wound models</t>
        </is>
      </c>
      <c r="G77" s="5" t="inlineStr">
        <is>
          <t>Mechanical/material</t>
        </is>
      </c>
      <c r="H77" s="6" t="inlineStr">
        <is>
          <t>0</t>
        </is>
      </c>
      <c r="K77" s="5" t="inlineStr">
        <is>
          <t>From 28-study Table S1 source extraction; zero means not evidenced in extracted record</t>
        </is>
      </c>
      <c r="L77" s="5" t="inlineStr">
        <is>
          <t>https://onlinelibrary.wiley.com/doi/10.1111/exd.70137</t>
        </is>
      </c>
      <c r="M77" s="5" t="inlineStr">
        <is>
          <t>100.0</t>
        </is>
      </c>
      <c r="N77" s="5" t="inlineStr">
        <is>
          <t>YES</t>
        </is>
      </c>
    </row>
    <row r="78">
      <c r="A78" s="6" t="n">
        <v>118</v>
      </c>
      <c r="B78" s="5" t="inlineStr">
        <is>
          <t>S1</t>
        </is>
      </c>
      <c r="C78" s="5" t="inlineStr">
        <is>
          <t>11: Longitudinal non-invasive wound monitoring</t>
        </is>
      </c>
      <c r="D78" s="5" t="inlineStr">
        <is>
          <t>New Methodological Approach to Follow the Re‐Epithelialisation Phase in the Wound Healing Process on a 3D Full Thickness Skin Model</t>
        </is>
      </c>
      <c r="E78" s="5" t="inlineStr">
        <is>
          <t>10.1111/exd.70137</t>
        </is>
      </c>
      <c r="F78" s="5" t="inlineStr">
        <is>
          <t>3D wound models</t>
        </is>
      </c>
      <c r="G78" s="5" t="inlineStr">
        <is>
          <t>Vascular/perfusion</t>
        </is>
      </c>
      <c r="H78" s="6" t="inlineStr">
        <is>
          <t>0</t>
        </is>
      </c>
      <c r="K78" s="5" t="inlineStr">
        <is>
          <t>From 28-study Table S1 source extraction; zero means not evidenced in extracted record</t>
        </is>
      </c>
      <c r="L78" s="5" t="inlineStr">
        <is>
          <t>https://onlinelibrary.wiley.com/doi/10.1111/exd.70137</t>
        </is>
      </c>
      <c r="M78" s="5" t="inlineStr">
        <is>
          <t>100.0</t>
        </is>
      </c>
      <c r="N78" s="5" t="inlineStr">
        <is>
          <t>YES</t>
        </is>
      </c>
    </row>
    <row r="79">
      <c r="A79" s="6" t="n">
        <v>119</v>
      </c>
      <c r="B79" s="5" t="inlineStr">
        <is>
          <t>S1</t>
        </is>
      </c>
      <c r="C79" s="5" t="inlineStr">
        <is>
          <t>8: Automated epidermal digital pathology</t>
        </is>
      </c>
      <c r="D79" s="5" t="inlineStr">
        <is>
          <t>Assessment of skin toxicity in an in vitro reconstituted human epidermis model using deep learning</t>
        </is>
      </c>
      <c r="E79" s="5" t="inlineStr">
        <is>
          <t>10.1016/j.ajpath.2021.12.007</t>
        </is>
      </c>
      <c r="F79" s="5" t="inlineStr">
        <is>
          <t>3D epidermal models</t>
        </is>
      </c>
      <c r="G79" s="5" t="inlineStr">
        <is>
          <t>Longitudinal/time-resolved</t>
        </is>
      </c>
      <c r="H79" s="6" t="inlineStr">
        <is>
          <t>0</t>
        </is>
      </c>
      <c r="K79" s="5" t="inlineStr">
        <is>
          <t>From 28-study Table S1 source extraction; zero means not evidenced in extracted record</t>
        </is>
      </c>
      <c r="L79" s="5" t="inlineStr">
        <is>
          <t>https://www.sciencedirect.com/science/article/pii/S0002944022000074</t>
        </is>
      </c>
      <c r="M79" s="5" t="inlineStr">
        <is>
          <t>100.0</t>
        </is>
      </c>
      <c r="N79" s="5" t="inlineStr">
        <is>
          <t>YES</t>
        </is>
      </c>
    </row>
    <row r="80">
      <c r="A80" s="6" t="n">
        <v>119</v>
      </c>
      <c r="B80" s="5" t="inlineStr">
        <is>
          <t>S1</t>
        </is>
      </c>
      <c r="C80" s="5" t="inlineStr">
        <is>
          <t>8: Automated epidermal digital pathology</t>
        </is>
      </c>
      <c r="D80" s="5" t="inlineStr">
        <is>
          <t>Assessment of skin toxicity in an in vitro reconstituted human epidermis model using deep learning</t>
        </is>
      </c>
      <c r="E80" s="5" t="inlineStr">
        <is>
          <t>10.1016/j.ajpath.2021.12.007</t>
        </is>
      </c>
      <c r="F80" s="5" t="inlineStr">
        <is>
          <t>3D epidermal models</t>
        </is>
      </c>
      <c r="G80" s="5" t="inlineStr">
        <is>
          <t>Image/segmentation</t>
        </is>
      </c>
      <c r="H80" s="6" t="inlineStr">
        <is>
          <t>1</t>
        </is>
      </c>
      <c r="K80" s="5" t="inlineStr">
        <is>
          <t>From 28-study Table S1 source extraction; zero means not evidenced in extracted record</t>
        </is>
      </c>
      <c r="L80" s="5" t="inlineStr">
        <is>
          <t>https://www.sciencedirect.com/science/article/pii/S0002944022000074</t>
        </is>
      </c>
      <c r="M80" s="5" t="inlineStr">
        <is>
          <t>100.0</t>
        </is>
      </c>
      <c r="N80" s="5" t="inlineStr">
        <is>
          <t>YES</t>
        </is>
      </c>
    </row>
    <row r="81">
      <c r="A81" s="6" t="n">
        <v>119</v>
      </c>
      <c r="B81" s="5" t="inlineStr">
        <is>
          <t>S1</t>
        </is>
      </c>
      <c r="C81" s="5" t="inlineStr">
        <is>
          <t>8: Automated epidermal digital pathology</t>
        </is>
      </c>
      <c r="D81" s="5" t="inlineStr">
        <is>
          <t>Assessment of skin toxicity in an in vitro reconstituted human epidermis model using deep learning</t>
        </is>
      </c>
      <c r="E81" s="5" t="inlineStr">
        <is>
          <t>10.1016/j.ajpath.2021.12.007</t>
        </is>
      </c>
      <c r="F81" s="5" t="inlineStr">
        <is>
          <t>3D epidermal models</t>
        </is>
      </c>
      <c r="G81" s="5" t="inlineStr">
        <is>
          <t>Barrier/permeability</t>
        </is>
      </c>
      <c r="H81" s="6" t="inlineStr">
        <is>
          <t>0</t>
        </is>
      </c>
      <c r="K81" s="5" t="inlineStr">
        <is>
          <t>From 28-study Table S1 source extraction; zero means not evidenced in extracted record</t>
        </is>
      </c>
      <c r="L81" s="5" t="inlineStr">
        <is>
          <t>https://www.sciencedirect.com/science/article/pii/S0002944022000074</t>
        </is>
      </c>
      <c r="M81" s="5" t="inlineStr">
        <is>
          <t>100.0</t>
        </is>
      </c>
      <c r="N81" s="5" t="inlineStr">
        <is>
          <t>YES</t>
        </is>
      </c>
    </row>
    <row r="82">
      <c r="A82" s="6" t="n">
        <v>119</v>
      </c>
      <c r="B82" s="5" t="inlineStr">
        <is>
          <t>S1</t>
        </is>
      </c>
      <c r="C82" s="5" t="inlineStr">
        <is>
          <t>8: Automated epidermal digital pathology</t>
        </is>
      </c>
      <c r="D82" s="5" t="inlineStr">
        <is>
          <t>Assessment of skin toxicity in an in vitro reconstituted human epidermis model using deep learning</t>
        </is>
      </c>
      <c r="E82" s="5" t="inlineStr">
        <is>
          <t>10.1016/j.ajpath.2021.12.007</t>
        </is>
      </c>
      <c r="F82" s="5" t="inlineStr">
        <is>
          <t>3D epidermal models</t>
        </is>
      </c>
      <c r="G82" s="5" t="inlineStr">
        <is>
          <t>Molecular/inflammatory</t>
        </is>
      </c>
      <c r="H82" s="6" t="inlineStr">
        <is>
          <t>0</t>
        </is>
      </c>
      <c r="K82" s="5" t="inlineStr">
        <is>
          <t>From 28-study Table S1 source extraction; zero means not evidenced in extracted record</t>
        </is>
      </c>
      <c r="L82" s="5" t="inlineStr">
        <is>
          <t>https://www.sciencedirect.com/science/article/pii/S0002944022000074</t>
        </is>
      </c>
      <c r="M82" s="5" t="inlineStr">
        <is>
          <t>100.0</t>
        </is>
      </c>
      <c r="N82" s="5" t="inlineStr">
        <is>
          <t>YES</t>
        </is>
      </c>
    </row>
    <row r="83">
      <c r="A83" s="6" t="n">
        <v>119</v>
      </c>
      <c r="B83" s="5" t="inlineStr">
        <is>
          <t>S1</t>
        </is>
      </c>
      <c r="C83" s="5" t="inlineStr">
        <is>
          <t>8: Automated epidermal digital pathology</t>
        </is>
      </c>
      <c r="D83" s="5" t="inlineStr">
        <is>
          <t>Assessment of skin toxicity in an in vitro reconstituted human epidermis model using deep learning</t>
        </is>
      </c>
      <c r="E83" s="5" t="inlineStr">
        <is>
          <t>10.1016/j.ajpath.2021.12.007</t>
        </is>
      </c>
      <c r="F83" s="5" t="inlineStr">
        <is>
          <t>3D epidermal models</t>
        </is>
      </c>
      <c r="G83" s="5" t="inlineStr">
        <is>
          <t>Histology/IHC</t>
        </is>
      </c>
      <c r="H83" s="6" t="inlineStr">
        <is>
          <t>1</t>
        </is>
      </c>
      <c r="K83" s="5" t="inlineStr">
        <is>
          <t>From 28-study Table S1 source extraction; zero means not evidenced in extracted record</t>
        </is>
      </c>
      <c r="L83" s="5" t="inlineStr">
        <is>
          <t>https://www.sciencedirect.com/science/article/pii/S0002944022000074</t>
        </is>
      </c>
      <c r="M83" s="5" t="inlineStr">
        <is>
          <t>100.0</t>
        </is>
      </c>
      <c r="N83" s="5" t="inlineStr">
        <is>
          <t>YES</t>
        </is>
      </c>
    </row>
    <row r="84">
      <c r="A84" s="6" t="n">
        <v>119</v>
      </c>
      <c r="B84" s="5" t="inlineStr">
        <is>
          <t>S1</t>
        </is>
      </c>
      <c r="C84" s="5" t="inlineStr">
        <is>
          <t>8: Automated epidermal digital pathology</t>
        </is>
      </c>
      <c r="D84" s="5" t="inlineStr">
        <is>
          <t>Assessment of skin toxicity in an in vitro reconstituted human epidermis model using deep learning</t>
        </is>
      </c>
      <c r="E84" s="5" t="inlineStr">
        <is>
          <t>10.1016/j.ajpath.2021.12.007</t>
        </is>
      </c>
      <c r="F84" s="5" t="inlineStr">
        <is>
          <t>3D epidermal models</t>
        </is>
      </c>
      <c r="G84" s="5" t="inlineStr">
        <is>
          <t>Mechanical/material</t>
        </is>
      </c>
      <c r="H84" s="6" t="inlineStr">
        <is>
          <t>0</t>
        </is>
      </c>
      <c r="K84" s="5" t="inlineStr">
        <is>
          <t>From 28-study Table S1 source extraction; zero means not evidenced in extracted record</t>
        </is>
      </c>
      <c r="L84" s="5" t="inlineStr">
        <is>
          <t>https://www.sciencedirect.com/science/article/pii/S0002944022000074</t>
        </is>
      </c>
      <c r="M84" s="5" t="inlineStr">
        <is>
          <t>100.0</t>
        </is>
      </c>
      <c r="N84" s="5" t="inlineStr">
        <is>
          <t>YES</t>
        </is>
      </c>
    </row>
    <row r="85">
      <c r="A85" s="6" t="n">
        <v>119</v>
      </c>
      <c r="B85" s="5" t="inlineStr">
        <is>
          <t>S1</t>
        </is>
      </c>
      <c r="C85" s="5" t="inlineStr">
        <is>
          <t>8: Automated epidermal digital pathology</t>
        </is>
      </c>
      <c r="D85" s="5" t="inlineStr">
        <is>
          <t>Assessment of skin toxicity in an in vitro reconstituted human epidermis model using deep learning</t>
        </is>
      </c>
      <c r="E85" s="5" t="inlineStr">
        <is>
          <t>10.1016/j.ajpath.2021.12.007</t>
        </is>
      </c>
      <c r="F85" s="5" t="inlineStr">
        <is>
          <t>3D epidermal models</t>
        </is>
      </c>
      <c r="G85" s="5" t="inlineStr">
        <is>
          <t>Vascular/perfusion</t>
        </is>
      </c>
      <c r="H85" s="6" t="inlineStr">
        <is>
          <t>0</t>
        </is>
      </c>
      <c r="K85" s="5" t="inlineStr">
        <is>
          <t>From 28-study Table S1 source extraction; zero means not evidenced in extracted record</t>
        </is>
      </c>
      <c r="L85" s="5" t="inlineStr">
        <is>
          <t>https://www.sciencedirect.com/science/article/pii/S0002944022000074</t>
        </is>
      </c>
      <c r="M85" s="5" t="inlineStr">
        <is>
          <t>100.0</t>
        </is>
      </c>
      <c r="N85" s="5" t="inlineStr">
        <is>
          <t>YES</t>
        </is>
      </c>
    </row>
    <row r="86">
      <c r="A86" s="6" t="n">
        <v>123</v>
      </c>
      <c r="B86" s="5" t="inlineStr">
        <is>
          <t>S1</t>
        </is>
      </c>
      <c r="C86" s="5" t="inlineStr">
        <is>
          <t>11: Longitudinal non-invasive wound monitoring</t>
        </is>
      </c>
      <c r="D86" s="5" t="inlineStr">
        <is>
          <t>Reepithelialization in focus: Non-invasive monitoring of epidermal wound healing in vitro</t>
        </is>
      </c>
      <c r="E86" s="5" t="inlineStr">
        <is>
          <t>10.1016/j.bios.2019.111555</t>
        </is>
      </c>
      <c r="F86" s="5" t="inlineStr">
        <is>
          <t>3D wound models</t>
        </is>
      </c>
      <c r="G86" s="5" t="inlineStr">
        <is>
          <t>Longitudinal/time-resolved</t>
        </is>
      </c>
      <c r="H86" s="6" t="inlineStr">
        <is>
          <t>1</t>
        </is>
      </c>
      <c r="K86" s="5" t="inlineStr">
        <is>
          <t>From 28-study Table S1 source extraction; zero means not evidenced in extracted record</t>
        </is>
      </c>
      <c r="L86" s="5" t="inlineStr">
        <is>
          <t>https://www.sciencedirect.com/science/article/abs/pii/S0956566319306347</t>
        </is>
      </c>
      <c r="M86" s="5" t="inlineStr">
        <is>
          <t>100.0</t>
        </is>
      </c>
      <c r="N86" s="5" t="inlineStr">
        <is>
          <t>YES</t>
        </is>
      </c>
    </row>
    <row r="87">
      <c r="A87" s="6" t="n">
        <v>123</v>
      </c>
      <c r="B87" s="5" t="inlineStr">
        <is>
          <t>S1</t>
        </is>
      </c>
      <c r="C87" s="5" t="inlineStr">
        <is>
          <t>11: Longitudinal non-invasive wound monitoring</t>
        </is>
      </c>
      <c r="D87" s="5" t="inlineStr">
        <is>
          <t>Reepithelialization in focus: Non-invasive monitoring of epidermal wound healing in vitro</t>
        </is>
      </c>
      <c r="E87" s="5" t="inlineStr">
        <is>
          <t>10.1016/j.bios.2019.111555</t>
        </is>
      </c>
      <c r="F87" s="5" t="inlineStr">
        <is>
          <t>3D wound models</t>
        </is>
      </c>
      <c r="G87" s="5" t="inlineStr">
        <is>
          <t>Image/segmentation</t>
        </is>
      </c>
      <c r="H87" s="6" t="inlineStr">
        <is>
          <t>1</t>
        </is>
      </c>
      <c r="K87" s="5" t="inlineStr">
        <is>
          <t>From 28-study Table S1 source extraction; zero means not evidenced in extracted record</t>
        </is>
      </c>
      <c r="L87" s="5" t="inlineStr">
        <is>
          <t>https://www.sciencedirect.com/science/article/abs/pii/S0956566319306347</t>
        </is>
      </c>
      <c r="M87" s="5" t="inlineStr">
        <is>
          <t>100.0</t>
        </is>
      </c>
      <c r="N87" s="5" t="inlineStr">
        <is>
          <t>YES</t>
        </is>
      </c>
    </row>
    <row r="88">
      <c r="A88" s="6" t="n">
        <v>123</v>
      </c>
      <c r="B88" s="5" t="inlineStr">
        <is>
          <t>S1</t>
        </is>
      </c>
      <c r="C88" s="5" t="inlineStr">
        <is>
          <t>11: Longitudinal non-invasive wound monitoring</t>
        </is>
      </c>
      <c r="D88" s="5" t="inlineStr">
        <is>
          <t>Reepithelialization in focus: Non-invasive monitoring of epidermal wound healing in vitro</t>
        </is>
      </c>
      <c r="E88" s="5" t="inlineStr">
        <is>
          <t>10.1016/j.bios.2019.111555</t>
        </is>
      </c>
      <c r="F88" s="5" t="inlineStr">
        <is>
          <t>3D wound models</t>
        </is>
      </c>
      <c r="G88" s="5" t="inlineStr">
        <is>
          <t>Barrier/permeability</t>
        </is>
      </c>
      <c r="H88" s="6" t="inlineStr">
        <is>
          <t>1</t>
        </is>
      </c>
      <c r="K88" s="5" t="inlineStr">
        <is>
          <t>From 28-study Table S1 source extraction; zero means not evidenced in extracted record</t>
        </is>
      </c>
      <c r="L88" s="5" t="inlineStr">
        <is>
          <t>https://www.sciencedirect.com/science/article/abs/pii/S0956566319306347</t>
        </is>
      </c>
      <c r="M88" s="5" t="inlineStr">
        <is>
          <t>100.0</t>
        </is>
      </c>
      <c r="N88" s="5" t="inlineStr">
        <is>
          <t>YES</t>
        </is>
      </c>
    </row>
    <row r="89">
      <c r="A89" s="6" t="n">
        <v>123</v>
      </c>
      <c r="B89" s="5" t="inlineStr">
        <is>
          <t>S1</t>
        </is>
      </c>
      <c r="C89" s="5" t="inlineStr">
        <is>
          <t>11: Longitudinal non-invasive wound monitoring</t>
        </is>
      </c>
      <c r="D89" s="5" t="inlineStr">
        <is>
          <t>Reepithelialization in focus: Non-invasive monitoring of epidermal wound healing in vitro</t>
        </is>
      </c>
      <c r="E89" s="5" t="inlineStr">
        <is>
          <t>10.1016/j.bios.2019.111555</t>
        </is>
      </c>
      <c r="F89" s="5" t="inlineStr">
        <is>
          <t>3D wound models</t>
        </is>
      </c>
      <c r="G89" s="5" t="inlineStr">
        <is>
          <t>Molecular/inflammatory</t>
        </is>
      </c>
      <c r="H89" s="6" t="inlineStr">
        <is>
          <t>1</t>
        </is>
      </c>
      <c r="K89" s="5" t="inlineStr">
        <is>
          <t>From 28-study Table S1 source extraction; zero means not evidenced in extracted record</t>
        </is>
      </c>
      <c r="L89" s="5" t="inlineStr">
        <is>
          <t>https://www.sciencedirect.com/science/article/abs/pii/S0956566319306347</t>
        </is>
      </c>
      <c r="M89" s="5" t="inlineStr">
        <is>
          <t>100.0</t>
        </is>
      </c>
      <c r="N89" s="5" t="inlineStr">
        <is>
          <t>YES</t>
        </is>
      </c>
    </row>
    <row r="90">
      <c r="A90" s="6" t="n">
        <v>123</v>
      </c>
      <c r="B90" s="5" t="inlineStr">
        <is>
          <t>S1</t>
        </is>
      </c>
      <c r="C90" s="5" t="inlineStr">
        <is>
          <t>11: Longitudinal non-invasive wound monitoring</t>
        </is>
      </c>
      <c r="D90" s="5" t="inlineStr">
        <is>
          <t>Reepithelialization in focus: Non-invasive monitoring of epidermal wound healing in vitro</t>
        </is>
      </c>
      <c r="E90" s="5" t="inlineStr">
        <is>
          <t>10.1016/j.bios.2019.111555</t>
        </is>
      </c>
      <c r="F90" s="5" t="inlineStr">
        <is>
          <t>3D wound models</t>
        </is>
      </c>
      <c r="G90" s="5" t="inlineStr">
        <is>
          <t>Histology/IHC</t>
        </is>
      </c>
      <c r="H90" s="6" t="inlineStr">
        <is>
          <t>1</t>
        </is>
      </c>
      <c r="K90" s="5" t="inlineStr">
        <is>
          <t>From 28-study Table S1 source extraction; zero means not evidenced in extracted record</t>
        </is>
      </c>
      <c r="L90" s="5" t="inlineStr">
        <is>
          <t>https://www.sciencedirect.com/science/article/abs/pii/S0956566319306347</t>
        </is>
      </c>
      <c r="M90" s="5" t="inlineStr">
        <is>
          <t>100.0</t>
        </is>
      </c>
      <c r="N90" s="5" t="inlineStr">
        <is>
          <t>YES</t>
        </is>
      </c>
    </row>
    <row r="91">
      <c r="A91" s="6" t="n">
        <v>123</v>
      </c>
      <c r="B91" s="5" t="inlineStr">
        <is>
          <t>S1</t>
        </is>
      </c>
      <c r="C91" s="5" t="inlineStr">
        <is>
          <t>11: Longitudinal non-invasive wound monitoring</t>
        </is>
      </c>
      <c r="D91" s="5" t="inlineStr">
        <is>
          <t>Reepithelialization in focus: Non-invasive monitoring of epidermal wound healing in vitro</t>
        </is>
      </c>
      <c r="E91" s="5" t="inlineStr">
        <is>
          <t>10.1016/j.bios.2019.111555</t>
        </is>
      </c>
      <c r="F91" s="5" t="inlineStr">
        <is>
          <t>3D wound models</t>
        </is>
      </c>
      <c r="G91" s="5" t="inlineStr">
        <is>
          <t>Mechanical/material</t>
        </is>
      </c>
      <c r="H91" s="6" t="inlineStr">
        <is>
          <t>0</t>
        </is>
      </c>
      <c r="K91" s="5" t="inlineStr">
        <is>
          <t>From 28-study Table S1 source extraction; zero means not evidenced in extracted record</t>
        </is>
      </c>
      <c r="L91" s="5" t="inlineStr">
        <is>
          <t>https://www.sciencedirect.com/science/article/abs/pii/S0956566319306347</t>
        </is>
      </c>
      <c r="M91" s="5" t="inlineStr">
        <is>
          <t>100.0</t>
        </is>
      </c>
      <c r="N91" s="5" t="inlineStr">
        <is>
          <t>YES</t>
        </is>
      </c>
    </row>
    <row r="92">
      <c r="A92" s="6" t="n">
        <v>123</v>
      </c>
      <c r="B92" s="5" t="inlineStr">
        <is>
          <t>S1</t>
        </is>
      </c>
      <c r="C92" s="5" t="inlineStr">
        <is>
          <t>11: Longitudinal non-invasive wound monitoring</t>
        </is>
      </c>
      <c r="D92" s="5" t="inlineStr">
        <is>
          <t>Reepithelialization in focus: Non-invasive monitoring of epidermal wound healing in vitro</t>
        </is>
      </c>
      <c r="E92" s="5" t="inlineStr">
        <is>
          <t>10.1016/j.bios.2019.111555</t>
        </is>
      </c>
      <c r="F92" s="5" t="inlineStr">
        <is>
          <t>3D wound models</t>
        </is>
      </c>
      <c r="G92" s="5" t="inlineStr">
        <is>
          <t>Vascular/perfusion</t>
        </is>
      </c>
      <c r="H92" s="6" t="inlineStr">
        <is>
          <t>0</t>
        </is>
      </c>
      <c r="K92" s="5" t="inlineStr">
        <is>
          <t>From 28-study Table S1 source extraction; zero means not evidenced in extracted record</t>
        </is>
      </c>
      <c r="L92" s="5" t="inlineStr">
        <is>
          <t>https://www.sciencedirect.com/science/article/abs/pii/S0956566319306347</t>
        </is>
      </c>
      <c r="M92" s="5" t="inlineStr">
        <is>
          <t>100.0</t>
        </is>
      </c>
      <c r="N92" s="5" t="inlineStr">
        <is>
          <t>YES</t>
        </is>
      </c>
    </row>
    <row r="93">
      <c r="A93" s="6" t="n">
        <v>124</v>
      </c>
      <c r="B93" s="5" t="inlineStr">
        <is>
          <t>S1</t>
        </is>
      </c>
      <c r="C93" s="5" t="inlineStr">
        <is>
          <t>11: Longitudinal non-invasive wound monitoring</t>
        </is>
      </c>
      <c r="D93" s="5" t="inlineStr">
        <is>
          <t>Fluorescent cell tracer dye permits real‐time assessment of re‐epithelialization in a serum‐free ex vivo human skin wound assay</t>
        </is>
      </c>
      <c r="E93" s="5" t="inlineStr">
        <is>
          <t>10.1111/wrr.12688</t>
        </is>
      </c>
      <c r="F93" s="5" t="inlineStr">
        <is>
          <t>3D wound models</t>
        </is>
      </c>
      <c r="G93" s="5" t="inlineStr">
        <is>
          <t>Longitudinal/time-resolved</t>
        </is>
      </c>
      <c r="H93" s="6" t="inlineStr">
        <is>
          <t>1</t>
        </is>
      </c>
      <c r="K93" s="5" t="inlineStr">
        <is>
          <t>From 28-study Table S1 source extraction; zero means not evidenced in extracted record</t>
        </is>
      </c>
      <c r="L93" s="5" t="inlineStr">
        <is>
          <t>https://pubmed.ncbi.nlm.nih.gov/30575205/</t>
        </is>
      </c>
      <c r="M93" s="5" t="inlineStr">
        <is>
          <t>100.0</t>
        </is>
      </c>
      <c r="N93" s="5" t="inlineStr">
        <is>
          <t>YES</t>
        </is>
      </c>
    </row>
    <row r="94">
      <c r="A94" s="6" t="n">
        <v>124</v>
      </c>
      <c r="B94" s="5" t="inlineStr">
        <is>
          <t>S1</t>
        </is>
      </c>
      <c r="C94" s="5" t="inlineStr">
        <is>
          <t>11: Longitudinal non-invasive wound monitoring</t>
        </is>
      </c>
      <c r="D94" s="5" t="inlineStr">
        <is>
          <t>Fluorescent cell tracer dye permits real‐time assessment of re‐epithelialization in a serum‐free ex vivo human skin wound assay</t>
        </is>
      </c>
      <c r="E94" s="5" t="inlineStr">
        <is>
          <t>10.1111/wrr.12688</t>
        </is>
      </c>
      <c r="F94" s="5" t="inlineStr">
        <is>
          <t>3D wound models</t>
        </is>
      </c>
      <c r="G94" s="5" t="inlineStr">
        <is>
          <t>Image/segmentation</t>
        </is>
      </c>
      <c r="H94" s="6" t="inlineStr">
        <is>
          <t>1</t>
        </is>
      </c>
      <c r="K94" s="5" t="inlineStr">
        <is>
          <t>From 28-study Table S1 source extraction; zero means not evidenced in extracted record</t>
        </is>
      </c>
      <c r="L94" s="5" t="inlineStr">
        <is>
          <t>https://pubmed.ncbi.nlm.nih.gov/30575205/</t>
        </is>
      </c>
      <c r="M94" s="5" t="inlineStr">
        <is>
          <t>100.0</t>
        </is>
      </c>
      <c r="N94" s="5" t="inlineStr">
        <is>
          <t>YES</t>
        </is>
      </c>
    </row>
    <row r="95">
      <c r="A95" s="6" t="n">
        <v>124</v>
      </c>
      <c r="B95" s="5" t="inlineStr">
        <is>
          <t>S1</t>
        </is>
      </c>
      <c r="C95" s="5" t="inlineStr">
        <is>
          <t>11: Longitudinal non-invasive wound monitoring</t>
        </is>
      </c>
      <c r="D95" s="5" t="inlineStr">
        <is>
          <t>Fluorescent cell tracer dye permits real‐time assessment of re‐epithelialization in a serum‐free ex vivo human skin wound assay</t>
        </is>
      </c>
      <c r="E95" s="5" t="inlineStr">
        <is>
          <t>10.1111/wrr.12688</t>
        </is>
      </c>
      <c r="F95" s="5" t="inlineStr">
        <is>
          <t>3D wound models</t>
        </is>
      </c>
      <c r="G95" s="5" t="inlineStr">
        <is>
          <t>Barrier/permeability</t>
        </is>
      </c>
      <c r="H95" s="6" t="inlineStr">
        <is>
          <t>0</t>
        </is>
      </c>
      <c r="K95" s="5" t="inlineStr">
        <is>
          <t>From 28-study Table S1 source extraction; zero means not evidenced in extracted record</t>
        </is>
      </c>
      <c r="L95" s="5" t="inlineStr">
        <is>
          <t>https://pubmed.ncbi.nlm.nih.gov/30575205/</t>
        </is>
      </c>
      <c r="M95" s="5" t="inlineStr">
        <is>
          <t>100.0</t>
        </is>
      </c>
      <c r="N95" s="5" t="inlineStr">
        <is>
          <t>YES</t>
        </is>
      </c>
    </row>
    <row r="96">
      <c r="A96" s="6" t="n">
        <v>124</v>
      </c>
      <c r="B96" s="5" t="inlineStr">
        <is>
          <t>S1</t>
        </is>
      </c>
      <c r="C96" s="5" t="inlineStr">
        <is>
          <t>11: Longitudinal non-invasive wound monitoring</t>
        </is>
      </c>
      <c r="D96" s="5" t="inlineStr">
        <is>
          <t>Fluorescent cell tracer dye permits real‐time assessment of re‐epithelialization in a serum‐free ex vivo human skin wound assay</t>
        </is>
      </c>
      <c r="E96" s="5" t="inlineStr">
        <is>
          <t>10.1111/wrr.12688</t>
        </is>
      </c>
      <c r="F96" s="5" t="inlineStr">
        <is>
          <t>3D wound models</t>
        </is>
      </c>
      <c r="G96" s="5" t="inlineStr">
        <is>
          <t>Molecular/inflammatory</t>
        </is>
      </c>
      <c r="H96" s="6" t="inlineStr">
        <is>
          <t>0</t>
        </is>
      </c>
      <c r="K96" s="5" t="inlineStr">
        <is>
          <t>From 28-study Table S1 source extraction; zero means not evidenced in extracted record</t>
        </is>
      </c>
      <c r="L96" s="5" t="inlineStr">
        <is>
          <t>https://pubmed.ncbi.nlm.nih.gov/30575205/</t>
        </is>
      </c>
      <c r="M96" s="5" t="inlineStr">
        <is>
          <t>100.0</t>
        </is>
      </c>
      <c r="N96" s="5" t="inlineStr">
        <is>
          <t>YES</t>
        </is>
      </c>
    </row>
    <row r="97">
      <c r="A97" s="6" t="n">
        <v>124</v>
      </c>
      <c r="B97" s="5" t="inlineStr">
        <is>
          <t>S1</t>
        </is>
      </c>
      <c r="C97" s="5" t="inlineStr">
        <is>
          <t>11: Longitudinal non-invasive wound monitoring</t>
        </is>
      </c>
      <c r="D97" s="5" t="inlineStr">
        <is>
          <t>Fluorescent cell tracer dye permits real‐time assessment of re‐epithelialization in a serum‐free ex vivo human skin wound assay</t>
        </is>
      </c>
      <c r="E97" s="5" t="inlineStr">
        <is>
          <t>10.1111/wrr.12688</t>
        </is>
      </c>
      <c r="F97" s="5" t="inlineStr">
        <is>
          <t>3D wound models</t>
        </is>
      </c>
      <c r="G97" s="5" t="inlineStr">
        <is>
          <t>Histology/IHC</t>
        </is>
      </c>
      <c r="H97" s="6" t="inlineStr">
        <is>
          <t>1</t>
        </is>
      </c>
      <c r="K97" s="5" t="inlineStr">
        <is>
          <t>From 28-study Table S1 source extraction; zero means not evidenced in extracted record</t>
        </is>
      </c>
      <c r="L97" s="5" t="inlineStr">
        <is>
          <t>https://pubmed.ncbi.nlm.nih.gov/30575205/</t>
        </is>
      </c>
      <c r="M97" s="5" t="inlineStr">
        <is>
          <t>100.0</t>
        </is>
      </c>
      <c r="N97" s="5" t="inlineStr">
        <is>
          <t>YES</t>
        </is>
      </c>
    </row>
    <row r="98">
      <c r="A98" s="6" t="n">
        <v>124</v>
      </c>
      <c r="B98" s="5" t="inlineStr">
        <is>
          <t>S1</t>
        </is>
      </c>
      <c r="C98" s="5" t="inlineStr">
        <is>
          <t>11: Longitudinal non-invasive wound monitoring</t>
        </is>
      </c>
      <c r="D98" s="5" t="inlineStr">
        <is>
          <t>Fluorescent cell tracer dye permits real‐time assessment of re‐epithelialization in a serum‐free ex vivo human skin wound assay</t>
        </is>
      </c>
      <c r="E98" s="5" t="inlineStr">
        <is>
          <t>10.1111/wrr.12688</t>
        </is>
      </c>
      <c r="F98" s="5" t="inlineStr">
        <is>
          <t>3D wound models</t>
        </is>
      </c>
      <c r="G98" s="5" t="inlineStr">
        <is>
          <t>Mechanical/material</t>
        </is>
      </c>
      <c r="H98" s="6" t="inlineStr">
        <is>
          <t>0</t>
        </is>
      </c>
      <c r="K98" s="5" t="inlineStr">
        <is>
          <t>From 28-study Table S1 source extraction; zero means not evidenced in extracted record</t>
        </is>
      </c>
      <c r="L98" s="5" t="inlineStr">
        <is>
          <t>https://pubmed.ncbi.nlm.nih.gov/30575205/</t>
        </is>
      </c>
      <c r="M98" s="5" t="inlineStr">
        <is>
          <t>100.0</t>
        </is>
      </c>
      <c r="N98" s="5" t="inlineStr">
        <is>
          <t>YES</t>
        </is>
      </c>
    </row>
    <row r="99">
      <c r="A99" s="6" t="n">
        <v>124</v>
      </c>
      <c r="B99" s="5" t="inlineStr">
        <is>
          <t>S1</t>
        </is>
      </c>
      <c r="C99" s="5" t="inlineStr">
        <is>
          <t>11: Longitudinal non-invasive wound monitoring</t>
        </is>
      </c>
      <c r="D99" s="5" t="inlineStr">
        <is>
          <t>Fluorescent cell tracer dye permits real‐time assessment of re‐epithelialization in a serum‐free ex vivo human skin wound assay</t>
        </is>
      </c>
      <c r="E99" s="5" t="inlineStr">
        <is>
          <t>10.1111/wrr.12688</t>
        </is>
      </c>
      <c r="F99" s="5" t="inlineStr">
        <is>
          <t>3D wound models</t>
        </is>
      </c>
      <c r="G99" s="5" t="inlineStr">
        <is>
          <t>Vascular/perfusion</t>
        </is>
      </c>
      <c r="H99" s="6" t="inlineStr">
        <is>
          <t>0</t>
        </is>
      </c>
      <c r="K99" s="5" t="inlineStr">
        <is>
          <t>From 28-study Table S1 source extraction; zero means not evidenced in extracted record</t>
        </is>
      </c>
      <c r="L99" s="5" t="inlineStr">
        <is>
          <t>https://pubmed.ncbi.nlm.nih.gov/30575205/</t>
        </is>
      </c>
      <c r="M99" s="5" t="inlineStr">
        <is>
          <t>100.0</t>
        </is>
      </c>
      <c r="N99" s="5" t="inlineStr">
        <is>
          <t>YES</t>
        </is>
      </c>
    </row>
    <row r="100">
      <c r="A100" s="6" t="n">
        <v>125</v>
      </c>
      <c r="B100" s="5" t="inlineStr">
        <is>
          <t>S1</t>
        </is>
      </c>
      <c r="C100" s="5" t="inlineStr">
        <is>
          <t>13: Controlled injury and inflammatory 3D wound models</t>
        </is>
      </c>
      <c r="D100" s="5" t="inlineStr">
        <is>
          <t>A standardized in vitro bioengineered skin for penetrating wound modeling</t>
        </is>
      </c>
      <c r="E100" s="5" t="inlineStr">
        <is>
          <t>10.1007/s44164-025-00082-x</t>
        </is>
      </c>
      <c r="F100" s="5" t="inlineStr">
        <is>
          <t>3D wound models</t>
        </is>
      </c>
      <c r="G100" s="5" t="inlineStr">
        <is>
          <t>Longitudinal/time-resolved</t>
        </is>
      </c>
      <c r="H100" s="6" t="inlineStr">
        <is>
          <t>1</t>
        </is>
      </c>
      <c r="K100" s="5" t="inlineStr">
        <is>
          <t>From 28-study Table S1 source extraction; zero means not evidenced in extracted record</t>
        </is>
      </c>
      <c r="L100" s="5" t="inlineStr">
        <is>
          <t>https://link.springer.com/article/10.1007/s44164-025-00082-x</t>
        </is>
      </c>
      <c r="M100" s="5" t="inlineStr">
        <is>
          <t>100.0</t>
        </is>
      </c>
      <c r="N100" s="5" t="inlineStr">
        <is>
          <t>YES</t>
        </is>
      </c>
    </row>
    <row r="101">
      <c r="A101" s="6" t="n">
        <v>125</v>
      </c>
      <c r="B101" s="5" t="inlineStr">
        <is>
          <t>S1</t>
        </is>
      </c>
      <c r="C101" s="5" t="inlineStr">
        <is>
          <t>13: Controlled injury and inflammatory 3D wound models</t>
        </is>
      </c>
      <c r="D101" s="5" t="inlineStr">
        <is>
          <t>A standardized in vitro bioengineered skin for penetrating wound modeling</t>
        </is>
      </c>
      <c r="E101" s="5" t="inlineStr">
        <is>
          <t>10.1007/s44164-025-00082-x</t>
        </is>
      </c>
      <c r="F101" s="5" t="inlineStr">
        <is>
          <t>3D wound models</t>
        </is>
      </c>
      <c r="G101" s="5" t="inlineStr">
        <is>
          <t>Image/segmentation</t>
        </is>
      </c>
      <c r="H101" s="6" t="inlineStr">
        <is>
          <t>1</t>
        </is>
      </c>
      <c r="K101" s="5" t="inlineStr">
        <is>
          <t>From 28-study Table S1 source extraction; zero means not evidenced in extracted record</t>
        </is>
      </c>
      <c r="L101" s="5" t="inlineStr">
        <is>
          <t>https://link.springer.com/article/10.1007/s44164-025-00082-x</t>
        </is>
      </c>
      <c r="M101" s="5" t="inlineStr">
        <is>
          <t>100.0</t>
        </is>
      </c>
      <c r="N101" s="5" t="inlineStr">
        <is>
          <t>YES</t>
        </is>
      </c>
    </row>
    <row r="102">
      <c r="A102" s="6" t="n">
        <v>125</v>
      </c>
      <c r="B102" s="5" t="inlineStr">
        <is>
          <t>S1</t>
        </is>
      </c>
      <c r="C102" s="5" t="inlineStr">
        <is>
          <t>13: Controlled injury and inflammatory 3D wound models</t>
        </is>
      </c>
      <c r="D102" s="5" t="inlineStr">
        <is>
          <t>A standardized in vitro bioengineered skin for penetrating wound modeling</t>
        </is>
      </c>
      <c r="E102" s="5" t="inlineStr">
        <is>
          <t>10.1007/s44164-025-00082-x</t>
        </is>
      </c>
      <c r="F102" s="5" t="inlineStr">
        <is>
          <t>3D wound models</t>
        </is>
      </c>
      <c r="G102" s="5" t="inlineStr">
        <is>
          <t>Barrier/permeability</t>
        </is>
      </c>
      <c r="H102" s="6" t="inlineStr">
        <is>
          <t>0</t>
        </is>
      </c>
      <c r="K102" s="5" t="inlineStr">
        <is>
          <t>From 28-study Table S1 source extraction; zero means not evidenced in extracted record</t>
        </is>
      </c>
      <c r="L102" s="5" t="inlineStr">
        <is>
          <t>https://link.springer.com/article/10.1007/s44164-025-00082-x</t>
        </is>
      </c>
      <c r="M102" s="5" t="inlineStr">
        <is>
          <t>100.0</t>
        </is>
      </c>
      <c r="N102" s="5" t="inlineStr">
        <is>
          <t>YES</t>
        </is>
      </c>
    </row>
    <row r="103">
      <c r="A103" s="6" t="n">
        <v>125</v>
      </c>
      <c r="B103" s="5" t="inlineStr">
        <is>
          <t>S1</t>
        </is>
      </c>
      <c r="C103" s="5" t="inlineStr">
        <is>
          <t>13: Controlled injury and inflammatory 3D wound models</t>
        </is>
      </c>
      <c r="D103" s="5" t="inlineStr">
        <is>
          <t>A standardized in vitro bioengineered skin for penetrating wound modeling</t>
        </is>
      </c>
      <c r="E103" s="5" t="inlineStr">
        <is>
          <t>10.1007/s44164-025-00082-x</t>
        </is>
      </c>
      <c r="F103" s="5" t="inlineStr">
        <is>
          <t>3D wound models</t>
        </is>
      </c>
      <c r="G103" s="5" t="inlineStr">
        <is>
          <t>Molecular/inflammatory</t>
        </is>
      </c>
      <c r="H103" s="6" t="inlineStr">
        <is>
          <t>1</t>
        </is>
      </c>
      <c r="K103" s="5" t="inlineStr">
        <is>
          <t>From 28-study Table S1 source extraction; zero means not evidenced in extracted record</t>
        </is>
      </c>
      <c r="L103" s="5" t="inlineStr">
        <is>
          <t>https://link.springer.com/article/10.1007/s44164-025-00082-x</t>
        </is>
      </c>
      <c r="M103" s="5" t="inlineStr">
        <is>
          <t>100.0</t>
        </is>
      </c>
      <c r="N103" s="5" t="inlineStr">
        <is>
          <t>YES</t>
        </is>
      </c>
    </row>
    <row r="104">
      <c r="A104" s="6" t="n">
        <v>125</v>
      </c>
      <c r="B104" s="5" t="inlineStr">
        <is>
          <t>S1</t>
        </is>
      </c>
      <c r="C104" s="5" t="inlineStr">
        <is>
          <t>13: Controlled injury and inflammatory 3D wound models</t>
        </is>
      </c>
      <c r="D104" s="5" t="inlineStr">
        <is>
          <t>A standardized in vitro bioengineered skin for penetrating wound modeling</t>
        </is>
      </c>
      <c r="E104" s="5" t="inlineStr">
        <is>
          <t>10.1007/s44164-025-00082-x</t>
        </is>
      </c>
      <c r="F104" s="5" t="inlineStr">
        <is>
          <t>3D wound models</t>
        </is>
      </c>
      <c r="G104" s="5" t="inlineStr">
        <is>
          <t>Histology/IHC</t>
        </is>
      </c>
      <c r="H104" s="6" t="inlineStr">
        <is>
          <t>1</t>
        </is>
      </c>
      <c r="K104" s="5" t="inlineStr">
        <is>
          <t>From 28-study Table S1 source extraction; zero means not evidenced in extracted record</t>
        </is>
      </c>
      <c r="L104" s="5" t="inlineStr">
        <is>
          <t>https://link.springer.com/article/10.1007/s44164-025-00082-x</t>
        </is>
      </c>
      <c r="M104" s="5" t="inlineStr">
        <is>
          <t>100.0</t>
        </is>
      </c>
      <c r="N104" s="5" t="inlineStr">
        <is>
          <t>YES</t>
        </is>
      </c>
    </row>
    <row r="105">
      <c r="A105" s="6" t="n">
        <v>125</v>
      </c>
      <c r="B105" s="5" t="inlineStr">
        <is>
          <t>S1</t>
        </is>
      </c>
      <c r="C105" s="5" t="inlineStr">
        <is>
          <t>13: Controlled injury and inflammatory 3D wound models</t>
        </is>
      </c>
      <c r="D105" s="5" t="inlineStr">
        <is>
          <t>A standardized in vitro bioengineered skin for penetrating wound modeling</t>
        </is>
      </c>
      <c r="E105" s="5" t="inlineStr">
        <is>
          <t>10.1007/s44164-025-00082-x</t>
        </is>
      </c>
      <c r="F105" s="5" t="inlineStr">
        <is>
          <t>3D wound models</t>
        </is>
      </c>
      <c r="G105" s="5" t="inlineStr">
        <is>
          <t>Mechanical/material</t>
        </is>
      </c>
      <c r="H105" s="6" t="inlineStr">
        <is>
          <t>0</t>
        </is>
      </c>
      <c r="K105" s="5" t="inlineStr">
        <is>
          <t>From 28-study Table S1 source extraction; zero means not evidenced in extracted record</t>
        </is>
      </c>
      <c r="L105" s="5" t="inlineStr">
        <is>
          <t>https://link.springer.com/article/10.1007/s44164-025-00082-x</t>
        </is>
      </c>
      <c r="M105" s="5" t="inlineStr">
        <is>
          <t>100.0</t>
        </is>
      </c>
      <c r="N105" s="5" t="inlineStr">
        <is>
          <t>YES</t>
        </is>
      </c>
    </row>
    <row r="106">
      <c r="A106" s="6" t="n">
        <v>125</v>
      </c>
      <c r="B106" s="5" t="inlineStr">
        <is>
          <t>S1</t>
        </is>
      </c>
      <c r="C106" s="5" t="inlineStr">
        <is>
          <t>13: Controlled injury and inflammatory 3D wound models</t>
        </is>
      </c>
      <c r="D106" s="5" t="inlineStr">
        <is>
          <t>A standardized in vitro bioengineered skin for penetrating wound modeling</t>
        </is>
      </c>
      <c r="E106" s="5" t="inlineStr">
        <is>
          <t>10.1007/s44164-025-00082-x</t>
        </is>
      </c>
      <c r="F106" s="5" t="inlineStr">
        <is>
          <t>3D wound models</t>
        </is>
      </c>
      <c r="G106" s="5" t="inlineStr">
        <is>
          <t>Vascular/perfusion</t>
        </is>
      </c>
      <c r="H106" s="6" t="inlineStr">
        <is>
          <t>0</t>
        </is>
      </c>
      <c r="K106" s="5" t="inlineStr">
        <is>
          <t>From 28-study Table S1 source extraction; zero means not evidenced in extracted record</t>
        </is>
      </c>
      <c r="L106" s="5" t="inlineStr">
        <is>
          <t>https://link.springer.com/article/10.1007/s44164-025-00082-x</t>
        </is>
      </c>
      <c r="M106" s="5" t="inlineStr">
        <is>
          <t>100.0</t>
        </is>
      </c>
      <c r="N106" s="5" t="inlineStr">
        <is>
          <t>YES</t>
        </is>
      </c>
    </row>
    <row r="107">
      <c r="A107" s="6" t="n">
        <v>126</v>
      </c>
      <c r="B107" s="5" t="inlineStr">
        <is>
          <t>S1</t>
        </is>
      </c>
      <c r="C107" s="5" t="inlineStr">
        <is>
          <t>13: Controlled injury and inflammatory 3D wound models</t>
        </is>
      </c>
      <c r="D107" s="5" t="inlineStr">
        <is>
          <t>Novel leukocyte-depleted platelet-rich plasma-based skin equivalent as an in vitro model of chronic wounds: a preliminary study</t>
        </is>
      </c>
      <c r="E107" s="5" t="inlineStr">
        <is>
          <t>10.1186/s12860-021-00366-6</t>
        </is>
      </c>
      <c r="F107" s="5" t="inlineStr">
        <is>
          <t>3D wound models</t>
        </is>
      </c>
      <c r="G107" s="5" t="inlineStr">
        <is>
          <t>Longitudinal/time-resolved</t>
        </is>
      </c>
      <c r="H107" s="6" t="inlineStr">
        <is>
          <t>1</t>
        </is>
      </c>
      <c r="K107" s="5" t="inlineStr">
        <is>
          <t>From 28-study Table S1 source extraction; zero means not evidenced in extracted record</t>
        </is>
      </c>
      <c r="L107" s="5" t="inlineStr">
        <is>
          <t>https://link.springer.com/article/10.1186/s12860-021-00366-6</t>
        </is>
      </c>
      <c r="M107" s="5" t="inlineStr">
        <is>
          <t>100.0</t>
        </is>
      </c>
      <c r="N107" s="5" t="inlineStr">
        <is>
          <t>YES</t>
        </is>
      </c>
    </row>
    <row r="108">
      <c r="A108" s="6" t="n">
        <v>126</v>
      </c>
      <c r="B108" s="5" t="inlineStr">
        <is>
          <t>S1</t>
        </is>
      </c>
      <c r="C108" s="5" t="inlineStr">
        <is>
          <t>13: Controlled injury and inflammatory 3D wound models</t>
        </is>
      </c>
      <c r="D108" s="5" t="inlineStr">
        <is>
          <t>Novel leukocyte-depleted platelet-rich plasma-based skin equivalent as an in vitro model of chronic wounds: a preliminary study</t>
        </is>
      </c>
      <c r="E108" s="5" t="inlineStr">
        <is>
          <t>10.1186/s12860-021-00366-6</t>
        </is>
      </c>
      <c r="F108" s="5" t="inlineStr">
        <is>
          <t>3D wound models</t>
        </is>
      </c>
      <c r="G108" s="5" t="inlineStr">
        <is>
          <t>Image/segmentation</t>
        </is>
      </c>
      <c r="H108" s="6" t="inlineStr">
        <is>
          <t>1</t>
        </is>
      </c>
      <c r="K108" s="5" t="inlineStr">
        <is>
          <t>From 28-study Table S1 source extraction; zero means not evidenced in extracted record</t>
        </is>
      </c>
      <c r="L108" s="5" t="inlineStr">
        <is>
          <t>https://link.springer.com/article/10.1186/s12860-021-00366-6</t>
        </is>
      </c>
      <c r="M108" s="5" t="inlineStr">
        <is>
          <t>100.0</t>
        </is>
      </c>
      <c r="N108" s="5" t="inlineStr">
        <is>
          <t>YES</t>
        </is>
      </c>
    </row>
    <row r="109">
      <c r="A109" s="6" t="n">
        <v>126</v>
      </c>
      <c r="B109" s="5" t="inlineStr">
        <is>
          <t>S1</t>
        </is>
      </c>
      <c r="C109" s="5" t="inlineStr">
        <is>
          <t>13: Controlled injury and inflammatory 3D wound models</t>
        </is>
      </c>
      <c r="D109" s="5" t="inlineStr">
        <is>
          <t>Novel leukocyte-depleted platelet-rich plasma-based skin equivalent as an in vitro model of chronic wounds: a preliminary study</t>
        </is>
      </c>
      <c r="E109" s="5" t="inlineStr">
        <is>
          <t>10.1186/s12860-021-00366-6</t>
        </is>
      </c>
      <c r="F109" s="5" t="inlineStr">
        <is>
          <t>3D wound models</t>
        </is>
      </c>
      <c r="G109" s="5" t="inlineStr">
        <is>
          <t>Barrier/permeability</t>
        </is>
      </c>
      <c r="H109" s="6" t="inlineStr">
        <is>
          <t>0</t>
        </is>
      </c>
      <c r="K109" s="5" t="inlineStr">
        <is>
          <t>From 28-study Table S1 source extraction; zero means not evidenced in extracted record</t>
        </is>
      </c>
      <c r="L109" s="5" t="inlineStr">
        <is>
          <t>https://link.springer.com/article/10.1186/s12860-021-00366-6</t>
        </is>
      </c>
      <c r="M109" s="5" t="inlineStr">
        <is>
          <t>100.0</t>
        </is>
      </c>
      <c r="N109" s="5" t="inlineStr">
        <is>
          <t>YES</t>
        </is>
      </c>
    </row>
    <row r="110">
      <c r="A110" s="6" t="n">
        <v>126</v>
      </c>
      <c r="B110" s="5" t="inlineStr">
        <is>
          <t>S1</t>
        </is>
      </c>
      <c r="C110" s="5" t="inlineStr">
        <is>
          <t>13: Controlled injury and inflammatory 3D wound models</t>
        </is>
      </c>
      <c r="D110" s="5" t="inlineStr">
        <is>
          <t>Novel leukocyte-depleted platelet-rich plasma-based skin equivalent as an in vitro model of chronic wounds: a preliminary study</t>
        </is>
      </c>
      <c r="E110" s="5" t="inlineStr">
        <is>
          <t>10.1186/s12860-021-00366-6</t>
        </is>
      </c>
      <c r="F110" s="5" t="inlineStr">
        <is>
          <t>3D wound models</t>
        </is>
      </c>
      <c r="G110" s="5" t="inlineStr">
        <is>
          <t>Molecular/inflammatory</t>
        </is>
      </c>
      <c r="H110" s="6" t="inlineStr">
        <is>
          <t>1</t>
        </is>
      </c>
      <c r="K110" s="5" t="inlineStr">
        <is>
          <t>From 28-study Table S1 source extraction; zero means not evidenced in extracted record</t>
        </is>
      </c>
      <c r="L110" s="5" t="inlineStr">
        <is>
          <t>https://link.springer.com/article/10.1186/s12860-021-00366-6</t>
        </is>
      </c>
      <c r="M110" s="5" t="inlineStr">
        <is>
          <t>100.0</t>
        </is>
      </c>
      <c r="N110" s="5" t="inlineStr">
        <is>
          <t>YES</t>
        </is>
      </c>
    </row>
    <row r="111">
      <c r="A111" s="6" t="n">
        <v>126</v>
      </c>
      <c r="B111" s="5" t="inlineStr">
        <is>
          <t>S1</t>
        </is>
      </c>
      <c r="C111" s="5" t="inlineStr">
        <is>
          <t>13: Controlled injury and inflammatory 3D wound models</t>
        </is>
      </c>
      <c r="D111" s="5" t="inlineStr">
        <is>
          <t>Novel leukocyte-depleted platelet-rich plasma-based skin equivalent as an in vitro model of chronic wounds: a preliminary study</t>
        </is>
      </c>
      <c r="E111" s="5" t="inlineStr">
        <is>
          <t>10.1186/s12860-021-00366-6</t>
        </is>
      </c>
      <c r="F111" s="5" t="inlineStr">
        <is>
          <t>3D wound models</t>
        </is>
      </c>
      <c r="G111" s="5" t="inlineStr">
        <is>
          <t>Histology/IHC</t>
        </is>
      </c>
      <c r="H111" s="6" t="inlineStr">
        <is>
          <t>1</t>
        </is>
      </c>
      <c r="K111" s="5" t="inlineStr">
        <is>
          <t>From 28-study Table S1 source extraction; zero means not evidenced in extracted record</t>
        </is>
      </c>
      <c r="L111" s="5" t="inlineStr">
        <is>
          <t>https://link.springer.com/article/10.1186/s12860-021-00366-6</t>
        </is>
      </c>
      <c r="M111" s="5" t="inlineStr">
        <is>
          <t>100.0</t>
        </is>
      </c>
      <c r="N111" s="5" t="inlineStr">
        <is>
          <t>YES</t>
        </is>
      </c>
    </row>
    <row r="112">
      <c r="A112" s="6" t="n">
        <v>126</v>
      </c>
      <c r="B112" s="5" t="inlineStr">
        <is>
          <t>S1</t>
        </is>
      </c>
      <c r="C112" s="5" t="inlineStr">
        <is>
          <t>13: Controlled injury and inflammatory 3D wound models</t>
        </is>
      </c>
      <c r="D112" s="5" t="inlineStr">
        <is>
          <t>Novel leukocyte-depleted platelet-rich plasma-based skin equivalent as an in vitro model of chronic wounds: a preliminary study</t>
        </is>
      </c>
      <c r="E112" s="5" t="inlineStr">
        <is>
          <t>10.1186/s12860-021-00366-6</t>
        </is>
      </c>
      <c r="F112" s="5" t="inlineStr">
        <is>
          <t>3D wound models</t>
        </is>
      </c>
      <c r="G112" s="5" t="inlineStr">
        <is>
          <t>Mechanical/material</t>
        </is>
      </c>
      <c r="H112" s="6" t="inlineStr">
        <is>
          <t>0</t>
        </is>
      </c>
      <c r="K112" s="5" t="inlineStr">
        <is>
          <t>From 28-study Table S1 source extraction; zero means not evidenced in extracted record</t>
        </is>
      </c>
      <c r="L112" s="5" t="inlineStr">
        <is>
          <t>https://link.springer.com/article/10.1186/s12860-021-00366-6</t>
        </is>
      </c>
      <c r="M112" s="5" t="inlineStr">
        <is>
          <t>100.0</t>
        </is>
      </c>
      <c r="N112" s="5" t="inlineStr">
        <is>
          <t>YES</t>
        </is>
      </c>
    </row>
    <row r="113">
      <c r="A113" s="6" t="n">
        <v>126</v>
      </c>
      <c r="B113" s="5" t="inlineStr">
        <is>
          <t>S1</t>
        </is>
      </c>
      <c r="C113" s="5" t="inlineStr">
        <is>
          <t>13: Controlled injury and inflammatory 3D wound models</t>
        </is>
      </c>
      <c r="D113" s="5" t="inlineStr">
        <is>
          <t>Novel leukocyte-depleted platelet-rich plasma-based skin equivalent as an in vitro model of chronic wounds: a preliminary study</t>
        </is>
      </c>
      <c r="E113" s="5" t="inlineStr">
        <is>
          <t>10.1186/s12860-021-00366-6</t>
        </is>
      </c>
      <c r="F113" s="5" t="inlineStr">
        <is>
          <t>3D wound models</t>
        </is>
      </c>
      <c r="G113" s="5" t="inlineStr">
        <is>
          <t>Vascular/perfusion</t>
        </is>
      </c>
      <c r="H113" s="6" t="inlineStr">
        <is>
          <t>0</t>
        </is>
      </c>
      <c r="K113" s="5" t="inlineStr">
        <is>
          <t>From 28-study Table S1 source extraction; zero means not evidenced in extracted record</t>
        </is>
      </c>
      <c r="L113" s="5" t="inlineStr">
        <is>
          <t>https://link.springer.com/article/10.1186/s12860-021-00366-6</t>
        </is>
      </c>
      <c r="M113" s="5" t="inlineStr">
        <is>
          <t>100.0</t>
        </is>
      </c>
      <c r="N113" s="5" t="inlineStr">
        <is>
          <t>YES</t>
        </is>
      </c>
    </row>
    <row r="114">
      <c r="A114" s="6" t="n">
        <v>128</v>
      </c>
      <c r="B114" s="5" t="inlineStr">
        <is>
          <t>S1</t>
        </is>
      </c>
      <c r="C114" s="5" t="inlineStr">
        <is>
          <t>16: Bioink-optimized printed skin equivalents</t>
        </is>
      </c>
      <c r="D114" s="5" t="inlineStr">
        <is>
          <t>Fibrinogen-based bioink for application in skin equivalent 3D bioprinting</t>
        </is>
      </c>
      <c r="E114" s="5" t="inlineStr">
        <is>
          <t>10.3390/jfb14090459</t>
        </is>
      </c>
      <c r="F114" s="5" t="inlineStr">
        <is>
          <t>Bioprinted models</t>
        </is>
      </c>
      <c r="G114" s="5" t="inlineStr">
        <is>
          <t>Longitudinal/time-resolved</t>
        </is>
      </c>
      <c r="H114" s="6" t="inlineStr">
        <is>
          <t>1</t>
        </is>
      </c>
      <c r="K114" s="5" t="inlineStr">
        <is>
          <t>From 28-study Table S1 source extraction; zero means not evidenced in extracted record</t>
        </is>
      </c>
      <c r="L114" s="5" t="inlineStr">
        <is>
          <t>https://www.mdpi.com/2079-4983/14/9/459</t>
        </is>
      </c>
      <c r="M114" s="5" t="inlineStr">
        <is>
          <t>100.0</t>
        </is>
      </c>
      <c r="N114" s="5" t="inlineStr">
        <is>
          <t>YES</t>
        </is>
      </c>
    </row>
    <row r="115">
      <c r="A115" s="6" t="n">
        <v>128</v>
      </c>
      <c r="B115" s="5" t="inlineStr">
        <is>
          <t>S1</t>
        </is>
      </c>
      <c r="C115" s="5" t="inlineStr">
        <is>
          <t>16: Bioink-optimized printed skin equivalents</t>
        </is>
      </c>
      <c r="D115" s="5" t="inlineStr">
        <is>
          <t>Fibrinogen-based bioink for application in skin equivalent 3D bioprinting</t>
        </is>
      </c>
      <c r="E115" s="5" t="inlineStr">
        <is>
          <t>10.3390/jfb14090459</t>
        </is>
      </c>
      <c r="F115" s="5" t="inlineStr">
        <is>
          <t>Bioprinted models</t>
        </is>
      </c>
      <c r="G115" s="5" t="inlineStr">
        <is>
          <t>Image/segmentation</t>
        </is>
      </c>
      <c r="H115" s="6" t="inlineStr">
        <is>
          <t>1</t>
        </is>
      </c>
      <c r="K115" s="5" t="inlineStr">
        <is>
          <t>From 28-study Table S1 source extraction; zero means not evidenced in extracted record</t>
        </is>
      </c>
      <c r="L115" s="5" t="inlineStr">
        <is>
          <t>https://www.mdpi.com/2079-4983/14/9/459</t>
        </is>
      </c>
      <c r="M115" s="5" t="inlineStr">
        <is>
          <t>100.0</t>
        </is>
      </c>
      <c r="N115" s="5" t="inlineStr">
        <is>
          <t>YES</t>
        </is>
      </c>
    </row>
    <row r="116">
      <c r="A116" s="6" t="n">
        <v>128</v>
      </c>
      <c r="B116" s="5" t="inlineStr">
        <is>
          <t>S1</t>
        </is>
      </c>
      <c r="C116" s="5" t="inlineStr">
        <is>
          <t>16: Bioink-optimized printed skin equivalents</t>
        </is>
      </c>
      <c r="D116" s="5" t="inlineStr">
        <is>
          <t>Fibrinogen-based bioink for application in skin equivalent 3D bioprinting</t>
        </is>
      </c>
      <c r="E116" s="5" t="inlineStr">
        <is>
          <t>10.3390/jfb14090459</t>
        </is>
      </c>
      <c r="F116" s="5" t="inlineStr">
        <is>
          <t>Bioprinted models</t>
        </is>
      </c>
      <c r="G116" s="5" t="inlineStr">
        <is>
          <t>Barrier/permeability</t>
        </is>
      </c>
      <c r="H116" s="6" t="inlineStr">
        <is>
          <t>0</t>
        </is>
      </c>
      <c r="K116" s="5" t="inlineStr">
        <is>
          <t>From 28-study Table S1 source extraction; zero means not evidenced in extracted record</t>
        </is>
      </c>
      <c r="L116" s="5" t="inlineStr">
        <is>
          <t>https://www.mdpi.com/2079-4983/14/9/459</t>
        </is>
      </c>
      <c r="M116" s="5" t="inlineStr">
        <is>
          <t>100.0</t>
        </is>
      </c>
      <c r="N116" s="5" t="inlineStr">
        <is>
          <t>YES</t>
        </is>
      </c>
    </row>
    <row r="117">
      <c r="A117" s="6" t="n">
        <v>128</v>
      </c>
      <c r="B117" s="5" t="inlineStr">
        <is>
          <t>S1</t>
        </is>
      </c>
      <c r="C117" s="5" t="inlineStr">
        <is>
          <t>16: Bioink-optimized printed skin equivalents</t>
        </is>
      </c>
      <c r="D117" s="5" t="inlineStr">
        <is>
          <t>Fibrinogen-based bioink for application in skin equivalent 3D bioprinting</t>
        </is>
      </c>
      <c r="E117" s="5" t="inlineStr">
        <is>
          <t>10.3390/jfb14090459</t>
        </is>
      </c>
      <c r="F117" s="5" t="inlineStr">
        <is>
          <t>Bioprinted models</t>
        </is>
      </c>
      <c r="G117" s="5" t="inlineStr">
        <is>
          <t>Molecular/inflammatory</t>
        </is>
      </c>
      <c r="H117" s="6" t="inlineStr">
        <is>
          <t>0</t>
        </is>
      </c>
      <c r="K117" s="5" t="inlineStr">
        <is>
          <t>From 28-study Table S1 source extraction; zero means not evidenced in extracted record</t>
        </is>
      </c>
      <c r="L117" s="5" t="inlineStr">
        <is>
          <t>https://www.mdpi.com/2079-4983/14/9/459</t>
        </is>
      </c>
      <c r="M117" s="5" t="inlineStr">
        <is>
          <t>100.0</t>
        </is>
      </c>
      <c r="N117" s="5" t="inlineStr">
        <is>
          <t>YES</t>
        </is>
      </c>
    </row>
    <row r="118">
      <c r="A118" s="6" t="n">
        <v>128</v>
      </c>
      <c r="B118" s="5" t="inlineStr">
        <is>
          <t>S1</t>
        </is>
      </c>
      <c r="C118" s="5" t="inlineStr">
        <is>
          <t>16: Bioink-optimized printed skin equivalents</t>
        </is>
      </c>
      <c r="D118" s="5" t="inlineStr">
        <is>
          <t>Fibrinogen-based bioink for application in skin equivalent 3D bioprinting</t>
        </is>
      </c>
      <c r="E118" s="5" t="inlineStr">
        <is>
          <t>10.3390/jfb14090459</t>
        </is>
      </c>
      <c r="F118" s="5" t="inlineStr">
        <is>
          <t>Bioprinted models</t>
        </is>
      </c>
      <c r="G118" s="5" t="inlineStr">
        <is>
          <t>Histology/IHC</t>
        </is>
      </c>
      <c r="H118" s="6" t="inlineStr">
        <is>
          <t>1</t>
        </is>
      </c>
      <c r="K118" s="5" t="inlineStr">
        <is>
          <t>From 28-study Table S1 source extraction; zero means not evidenced in extracted record</t>
        </is>
      </c>
      <c r="L118" s="5" t="inlineStr">
        <is>
          <t>https://www.mdpi.com/2079-4983/14/9/459</t>
        </is>
      </c>
      <c r="M118" s="5" t="inlineStr">
        <is>
          <t>100.0</t>
        </is>
      </c>
      <c r="N118" s="5" t="inlineStr">
        <is>
          <t>YES</t>
        </is>
      </c>
    </row>
    <row r="119">
      <c r="A119" s="6" t="n">
        <v>128</v>
      </c>
      <c r="B119" s="5" t="inlineStr">
        <is>
          <t>S1</t>
        </is>
      </c>
      <c r="C119" s="5" t="inlineStr">
        <is>
          <t>16: Bioink-optimized printed skin equivalents</t>
        </is>
      </c>
      <c r="D119" s="5" t="inlineStr">
        <is>
          <t>Fibrinogen-based bioink for application in skin equivalent 3D bioprinting</t>
        </is>
      </c>
      <c r="E119" s="5" t="inlineStr">
        <is>
          <t>10.3390/jfb14090459</t>
        </is>
      </c>
      <c r="F119" s="5" t="inlineStr">
        <is>
          <t>Bioprinted models</t>
        </is>
      </c>
      <c r="G119" s="5" t="inlineStr">
        <is>
          <t>Mechanical/material</t>
        </is>
      </c>
      <c r="H119" s="6" t="inlineStr">
        <is>
          <t>1</t>
        </is>
      </c>
      <c r="K119" s="5" t="inlineStr">
        <is>
          <t>From 28-study Table S1 source extraction; zero means not evidenced in extracted record</t>
        </is>
      </c>
      <c r="L119" s="5" t="inlineStr">
        <is>
          <t>https://www.mdpi.com/2079-4983/14/9/459</t>
        </is>
      </c>
      <c r="M119" s="5" t="inlineStr">
        <is>
          <t>100.0</t>
        </is>
      </c>
      <c r="N119" s="5" t="inlineStr">
        <is>
          <t>YES</t>
        </is>
      </c>
    </row>
    <row r="120">
      <c r="A120" s="6" t="n">
        <v>128</v>
      </c>
      <c r="B120" s="5" t="inlineStr">
        <is>
          <t>S1</t>
        </is>
      </c>
      <c r="C120" s="5" t="inlineStr">
        <is>
          <t>16: Bioink-optimized printed skin equivalents</t>
        </is>
      </c>
      <c r="D120" s="5" t="inlineStr">
        <is>
          <t>Fibrinogen-based bioink for application in skin equivalent 3D bioprinting</t>
        </is>
      </c>
      <c r="E120" s="5" t="inlineStr">
        <is>
          <t>10.3390/jfb14090459</t>
        </is>
      </c>
      <c r="F120" s="5" t="inlineStr">
        <is>
          <t>Bioprinted models</t>
        </is>
      </c>
      <c r="G120" s="5" t="inlineStr">
        <is>
          <t>Vascular/perfusion</t>
        </is>
      </c>
      <c r="H120" s="6" t="inlineStr">
        <is>
          <t>0</t>
        </is>
      </c>
      <c r="K120" s="5" t="inlineStr">
        <is>
          <t>From 28-study Table S1 source extraction; zero means not evidenced in extracted record</t>
        </is>
      </c>
      <c r="L120" s="5" t="inlineStr">
        <is>
          <t>https://www.mdpi.com/2079-4983/14/9/459</t>
        </is>
      </c>
      <c r="M120" s="5" t="inlineStr">
        <is>
          <t>100.0</t>
        </is>
      </c>
      <c r="N120" s="5" t="inlineStr">
        <is>
          <t>YES</t>
        </is>
      </c>
    </row>
    <row r="121">
      <c r="A121" s="6" t="n">
        <v>129</v>
      </c>
      <c r="B121" s="5" t="inlineStr">
        <is>
          <t>S1</t>
        </is>
      </c>
      <c r="C121" s="5" t="inlineStr">
        <is>
          <t>16: Bioink-optimized printed skin equivalents</t>
        </is>
      </c>
      <c r="D121" s="5" t="inlineStr">
        <is>
          <t>Properties of collagen/sodium alginate hydrogels for bioprinting of skin models</t>
        </is>
      </c>
      <c r="E121" s="5" t="inlineStr">
        <is>
          <t>10.1007/s42235-022-00251-8</t>
        </is>
      </c>
      <c r="F121" s="5" t="inlineStr">
        <is>
          <t>Bioprinted models</t>
        </is>
      </c>
      <c r="G121" s="5" t="inlineStr">
        <is>
          <t>Longitudinal/time-resolved</t>
        </is>
      </c>
      <c r="H121" s="6" t="inlineStr">
        <is>
          <t>1</t>
        </is>
      </c>
      <c r="K121" s="5" t="inlineStr">
        <is>
          <t>From 28-study Table S1 source extraction; zero means not evidenced in extracted record</t>
        </is>
      </c>
      <c r="L121" s="5" t="inlineStr">
        <is>
          <t>https://agris.fao.org/search/en/providers/125157/records/67497a928834da021e383de0</t>
        </is>
      </c>
      <c r="M121" s="5" t="inlineStr">
        <is>
          <t>100.0</t>
        </is>
      </c>
      <c r="N121" s="5" t="inlineStr">
        <is>
          <t>YES</t>
        </is>
      </c>
    </row>
    <row r="122">
      <c r="A122" s="6" t="n">
        <v>129</v>
      </c>
      <c r="B122" s="5" t="inlineStr">
        <is>
          <t>S1</t>
        </is>
      </c>
      <c r="C122" s="5" t="inlineStr">
        <is>
          <t>16: Bioink-optimized printed skin equivalents</t>
        </is>
      </c>
      <c r="D122" s="5" t="inlineStr">
        <is>
          <t>Properties of collagen/sodium alginate hydrogels for bioprinting of skin models</t>
        </is>
      </c>
      <c r="E122" s="5" t="inlineStr">
        <is>
          <t>10.1007/s42235-022-00251-8</t>
        </is>
      </c>
      <c r="F122" s="5" t="inlineStr">
        <is>
          <t>Bioprinted models</t>
        </is>
      </c>
      <c r="G122" s="5" t="inlineStr">
        <is>
          <t>Image/segmentation</t>
        </is>
      </c>
      <c r="H122" s="6" t="inlineStr">
        <is>
          <t>1</t>
        </is>
      </c>
      <c r="K122" s="5" t="inlineStr">
        <is>
          <t>From 28-study Table S1 source extraction; zero means not evidenced in extracted record</t>
        </is>
      </c>
      <c r="L122" s="5" t="inlineStr">
        <is>
          <t>https://agris.fao.org/search/en/providers/125157/records/67497a928834da021e383de0</t>
        </is>
      </c>
      <c r="M122" s="5" t="inlineStr">
        <is>
          <t>100.0</t>
        </is>
      </c>
      <c r="N122" s="5" t="inlineStr">
        <is>
          <t>YES</t>
        </is>
      </c>
    </row>
    <row r="123">
      <c r="A123" s="6" t="n">
        <v>129</v>
      </c>
      <c r="B123" s="5" t="inlineStr">
        <is>
          <t>S1</t>
        </is>
      </c>
      <c r="C123" s="5" t="inlineStr">
        <is>
          <t>16: Bioink-optimized printed skin equivalents</t>
        </is>
      </c>
      <c r="D123" s="5" t="inlineStr">
        <is>
          <t>Properties of collagen/sodium alginate hydrogels for bioprinting of skin models</t>
        </is>
      </c>
      <c r="E123" s="5" t="inlineStr">
        <is>
          <t>10.1007/s42235-022-00251-8</t>
        </is>
      </c>
      <c r="F123" s="5" t="inlineStr">
        <is>
          <t>Bioprinted models</t>
        </is>
      </c>
      <c r="G123" s="5" t="inlineStr">
        <is>
          <t>Barrier/permeability</t>
        </is>
      </c>
      <c r="H123" s="6" t="inlineStr">
        <is>
          <t>0</t>
        </is>
      </c>
      <c r="K123" s="5" t="inlineStr">
        <is>
          <t>From 28-study Table S1 source extraction; zero means not evidenced in extracted record</t>
        </is>
      </c>
      <c r="L123" s="5" t="inlineStr">
        <is>
          <t>https://agris.fao.org/search/en/providers/125157/records/67497a928834da021e383de0</t>
        </is>
      </c>
      <c r="M123" s="5" t="inlineStr">
        <is>
          <t>100.0</t>
        </is>
      </c>
      <c r="N123" s="5" t="inlineStr">
        <is>
          <t>YES</t>
        </is>
      </c>
    </row>
    <row r="124">
      <c r="A124" s="6" t="n">
        <v>129</v>
      </c>
      <c r="B124" s="5" t="inlineStr">
        <is>
          <t>S1</t>
        </is>
      </c>
      <c r="C124" s="5" t="inlineStr">
        <is>
          <t>16: Bioink-optimized printed skin equivalents</t>
        </is>
      </c>
      <c r="D124" s="5" t="inlineStr">
        <is>
          <t>Properties of collagen/sodium alginate hydrogels for bioprinting of skin models</t>
        </is>
      </c>
      <c r="E124" s="5" t="inlineStr">
        <is>
          <t>10.1007/s42235-022-00251-8</t>
        </is>
      </c>
      <c r="F124" s="5" t="inlineStr">
        <is>
          <t>Bioprinted models</t>
        </is>
      </c>
      <c r="G124" s="5" t="inlineStr">
        <is>
          <t>Molecular/inflammatory</t>
        </is>
      </c>
      <c r="H124" s="6" t="inlineStr">
        <is>
          <t>0</t>
        </is>
      </c>
      <c r="K124" s="5" t="inlineStr">
        <is>
          <t>From 28-study Table S1 source extraction; zero means not evidenced in extracted record</t>
        </is>
      </c>
      <c r="L124" s="5" t="inlineStr">
        <is>
          <t>https://agris.fao.org/search/en/providers/125157/records/67497a928834da021e383de0</t>
        </is>
      </c>
      <c r="M124" s="5" t="inlineStr">
        <is>
          <t>100.0</t>
        </is>
      </c>
      <c r="N124" s="5" t="inlineStr">
        <is>
          <t>YES</t>
        </is>
      </c>
    </row>
    <row r="125">
      <c r="A125" s="6" t="n">
        <v>129</v>
      </c>
      <c r="B125" s="5" t="inlineStr">
        <is>
          <t>S1</t>
        </is>
      </c>
      <c r="C125" s="5" t="inlineStr">
        <is>
          <t>16: Bioink-optimized printed skin equivalents</t>
        </is>
      </c>
      <c r="D125" s="5" t="inlineStr">
        <is>
          <t>Properties of collagen/sodium alginate hydrogels for bioprinting of skin models</t>
        </is>
      </c>
      <c r="E125" s="5" t="inlineStr">
        <is>
          <t>10.1007/s42235-022-00251-8</t>
        </is>
      </c>
      <c r="F125" s="5" t="inlineStr">
        <is>
          <t>Bioprinted models</t>
        </is>
      </c>
      <c r="G125" s="5" t="inlineStr">
        <is>
          <t>Histology/IHC</t>
        </is>
      </c>
      <c r="H125" s="6" t="inlineStr">
        <is>
          <t>1</t>
        </is>
      </c>
      <c r="K125" s="5" t="inlineStr">
        <is>
          <t>From 28-study Table S1 source extraction; zero means not evidenced in extracted record</t>
        </is>
      </c>
      <c r="L125" s="5" t="inlineStr">
        <is>
          <t>https://agris.fao.org/search/en/providers/125157/records/67497a928834da021e383de0</t>
        </is>
      </c>
      <c r="M125" s="5" t="inlineStr">
        <is>
          <t>100.0</t>
        </is>
      </c>
      <c r="N125" s="5" t="inlineStr">
        <is>
          <t>YES</t>
        </is>
      </c>
    </row>
    <row r="126">
      <c r="A126" s="6" t="n">
        <v>129</v>
      </c>
      <c r="B126" s="5" t="inlineStr">
        <is>
          <t>S1</t>
        </is>
      </c>
      <c r="C126" s="5" t="inlineStr">
        <is>
          <t>16: Bioink-optimized printed skin equivalents</t>
        </is>
      </c>
      <c r="D126" s="5" t="inlineStr">
        <is>
          <t>Properties of collagen/sodium alginate hydrogels for bioprinting of skin models</t>
        </is>
      </c>
      <c r="E126" s="5" t="inlineStr">
        <is>
          <t>10.1007/s42235-022-00251-8</t>
        </is>
      </c>
      <c r="F126" s="5" t="inlineStr">
        <is>
          <t>Bioprinted models</t>
        </is>
      </c>
      <c r="G126" s="5" t="inlineStr">
        <is>
          <t>Mechanical/material</t>
        </is>
      </c>
      <c r="H126" s="6" t="inlineStr">
        <is>
          <t>1</t>
        </is>
      </c>
      <c r="K126" s="5" t="inlineStr">
        <is>
          <t>From 28-study Table S1 source extraction; zero means not evidenced in extracted record</t>
        </is>
      </c>
      <c r="L126" s="5" t="inlineStr">
        <is>
          <t>https://agris.fao.org/search/en/providers/125157/records/67497a928834da021e383de0</t>
        </is>
      </c>
      <c r="M126" s="5" t="inlineStr">
        <is>
          <t>100.0</t>
        </is>
      </c>
      <c r="N126" s="5" t="inlineStr">
        <is>
          <t>YES</t>
        </is>
      </c>
    </row>
    <row r="127">
      <c r="A127" s="6" t="n">
        <v>129</v>
      </c>
      <c r="B127" s="5" t="inlineStr">
        <is>
          <t>S1</t>
        </is>
      </c>
      <c r="C127" s="5" t="inlineStr">
        <is>
          <t>16: Bioink-optimized printed skin equivalents</t>
        </is>
      </c>
      <c r="D127" s="5" t="inlineStr">
        <is>
          <t>Properties of collagen/sodium alginate hydrogels for bioprinting of skin models</t>
        </is>
      </c>
      <c r="E127" s="5" t="inlineStr">
        <is>
          <t>10.1007/s42235-022-00251-8</t>
        </is>
      </c>
      <c r="F127" s="5" t="inlineStr">
        <is>
          <t>Bioprinted models</t>
        </is>
      </c>
      <c r="G127" s="5" t="inlineStr">
        <is>
          <t>Vascular/perfusion</t>
        </is>
      </c>
      <c r="H127" s="6" t="inlineStr">
        <is>
          <t>0</t>
        </is>
      </c>
      <c r="K127" s="5" t="inlineStr">
        <is>
          <t>From 28-study Table S1 source extraction; zero means not evidenced in extracted record</t>
        </is>
      </c>
      <c r="L127" s="5" t="inlineStr">
        <is>
          <t>https://agris.fao.org/search/en/providers/125157/records/67497a928834da021e383de0</t>
        </is>
      </c>
      <c r="M127" s="5" t="inlineStr">
        <is>
          <t>100.0</t>
        </is>
      </c>
      <c r="N127" s="5" t="inlineStr">
        <is>
          <t>YES</t>
        </is>
      </c>
    </row>
    <row r="128">
      <c r="A128" s="6" t="n">
        <v>130</v>
      </c>
      <c r="B128" s="5" t="inlineStr">
        <is>
          <t>S1</t>
        </is>
      </c>
      <c r="C128" s="5" t="inlineStr">
        <is>
          <t>16: Bioink-optimized printed skin equivalents</t>
        </is>
      </c>
      <c r="D128" s="5" t="inlineStr">
        <is>
          <t>3D Bioprinting a Novel Skin Co‐Culture Model Using Human Keratinocytes and Fibroblasts</t>
        </is>
      </c>
      <c r="E128" s="5" t="inlineStr">
        <is>
          <t>10.1002/jbm.a.37831</t>
        </is>
      </c>
      <c r="F128" s="5" t="inlineStr">
        <is>
          <t>Bioprinted models</t>
        </is>
      </c>
      <c r="G128" s="5" t="inlineStr">
        <is>
          <t>Longitudinal/time-resolved</t>
        </is>
      </c>
      <c r="H128" s="6" t="inlineStr">
        <is>
          <t>1</t>
        </is>
      </c>
      <c r="K128" s="5" t="inlineStr">
        <is>
          <t>From 28-study Table S1 source extraction; zero means not evidenced in extracted record</t>
        </is>
      </c>
      <c r="L128" s="5" t="inlineStr">
        <is>
          <t>https://onlinelibrary.wiley.com/doi/full/10.1002/jbm.a.37831</t>
        </is>
      </c>
      <c r="M128" s="5" t="inlineStr">
        <is>
          <t>100.0</t>
        </is>
      </c>
      <c r="N128" s="5" t="inlineStr">
        <is>
          <t>YES</t>
        </is>
      </c>
    </row>
    <row r="129">
      <c r="A129" s="6" t="n">
        <v>130</v>
      </c>
      <c r="B129" s="5" t="inlineStr">
        <is>
          <t>S1</t>
        </is>
      </c>
      <c r="C129" s="5" t="inlineStr">
        <is>
          <t>16: Bioink-optimized printed skin equivalents</t>
        </is>
      </c>
      <c r="D129" s="5" t="inlineStr">
        <is>
          <t>3D Bioprinting a Novel Skin Co‐Culture Model Using Human Keratinocytes and Fibroblasts</t>
        </is>
      </c>
      <c r="E129" s="5" t="inlineStr">
        <is>
          <t>10.1002/jbm.a.37831</t>
        </is>
      </c>
      <c r="F129" s="5" t="inlineStr">
        <is>
          <t>Bioprinted models</t>
        </is>
      </c>
      <c r="G129" s="5" t="inlineStr">
        <is>
          <t>Image/segmentation</t>
        </is>
      </c>
      <c r="H129" s="6" t="inlineStr">
        <is>
          <t>1</t>
        </is>
      </c>
      <c r="K129" s="5" t="inlineStr">
        <is>
          <t>From 28-study Table S1 source extraction; zero means not evidenced in extracted record</t>
        </is>
      </c>
      <c r="L129" s="5" t="inlineStr">
        <is>
          <t>https://onlinelibrary.wiley.com/doi/full/10.1002/jbm.a.37831</t>
        </is>
      </c>
      <c r="M129" s="5" t="inlineStr">
        <is>
          <t>100.0</t>
        </is>
      </c>
      <c r="N129" s="5" t="inlineStr">
        <is>
          <t>YES</t>
        </is>
      </c>
    </row>
    <row r="130">
      <c r="A130" s="6" t="n">
        <v>130</v>
      </c>
      <c r="B130" s="5" t="inlineStr">
        <is>
          <t>S1</t>
        </is>
      </c>
      <c r="C130" s="5" t="inlineStr">
        <is>
          <t>16: Bioink-optimized printed skin equivalents</t>
        </is>
      </c>
      <c r="D130" s="5" t="inlineStr">
        <is>
          <t>3D Bioprinting a Novel Skin Co‐Culture Model Using Human Keratinocytes and Fibroblasts</t>
        </is>
      </c>
      <c r="E130" s="5" t="inlineStr">
        <is>
          <t>10.1002/jbm.a.37831</t>
        </is>
      </c>
      <c r="F130" s="5" t="inlineStr">
        <is>
          <t>Bioprinted models</t>
        </is>
      </c>
      <c r="G130" s="5" t="inlineStr">
        <is>
          <t>Barrier/permeability</t>
        </is>
      </c>
      <c r="H130" s="6" t="inlineStr">
        <is>
          <t>0</t>
        </is>
      </c>
      <c r="K130" s="5" t="inlineStr">
        <is>
          <t>From 28-study Table S1 source extraction; zero means not evidenced in extracted record</t>
        </is>
      </c>
      <c r="L130" s="5" t="inlineStr">
        <is>
          <t>https://onlinelibrary.wiley.com/doi/full/10.1002/jbm.a.37831</t>
        </is>
      </c>
      <c r="M130" s="5" t="inlineStr">
        <is>
          <t>100.0</t>
        </is>
      </c>
      <c r="N130" s="5" t="inlineStr">
        <is>
          <t>YES</t>
        </is>
      </c>
    </row>
    <row r="131">
      <c r="A131" s="6" t="n">
        <v>130</v>
      </c>
      <c r="B131" s="5" t="inlineStr">
        <is>
          <t>S1</t>
        </is>
      </c>
      <c r="C131" s="5" t="inlineStr">
        <is>
          <t>16: Bioink-optimized printed skin equivalents</t>
        </is>
      </c>
      <c r="D131" s="5" t="inlineStr">
        <is>
          <t>3D Bioprinting a Novel Skin Co‐Culture Model Using Human Keratinocytes and Fibroblasts</t>
        </is>
      </c>
      <c r="E131" s="5" t="inlineStr">
        <is>
          <t>10.1002/jbm.a.37831</t>
        </is>
      </c>
      <c r="F131" s="5" t="inlineStr">
        <is>
          <t>Bioprinted models</t>
        </is>
      </c>
      <c r="G131" s="5" t="inlineStr">
        <is>
          <t>Molecular/inflammatory</t>
        </is>
      </c>
      <c r="H131" s="6" t="inlineStr">
        <is>
          <t>0</t>
        </is>
      </c>
      <c r="K131" s="5" t="inlineStr">
        <is>
          <t>From 28-study Table S1 source extraction; zero means not evidenced in extracted record</t>
        </is>
      </c>
      <c r="L131" s="5" t="inlineStr">
        <is>
          <t>https://onlinelibrary.wiley.com/doi/full/10.1002/jbm.a.37831</t>
        </is>
      </c>
      <c r="M131" s="5" t="inlineStr">
        <is>
          <t>100.0</t>
        </is>
      </c>
      <c r="N131" s="5" t="inlineStr">
        <is>
          <t>YES</t>
        </is>
      </c>
    </row>
    <row r="132">
      <c r="A132" s="6" t="n">
        <v>130</v>
      </c>
      <c r="B132" s="5" t="inlineStr">
        <is>
          <t>S1</t>
        </is>
      </c>
      <c r="C132" s="5" t="inlineStr">
        <is>
          <t>16: Bioink-optimized printed skin equivalents</t>
        </is>
      </c>
      <c r="D132" s="5" t="inlineStr">
        <is>
          <t>3D Bioprinting a Novel Skin Co‐Culture Model Using Human Keratinocytes and Fibroblasts</t>
        </is>
      </c>
      <c r="E132" s="5" t="inlineStr">
        <is>
          <t>10.1002/jbm.a.37831</t>
        </is>
      </c>
      <c r="F132" s="5" t="inlineStr">
        <is>
          <t>Bioprinted models</t>
        </is>
      </c>
      <c r="G132" s="5" t="inlineStr">
        <is>
          <t>Histology/IHC</t>
        </is>
      </c>
      <c r="H132" s="6" t="inlineStr">
        <is>
          <t>1</t>
        </is>
      </c>
      <c r="K132" s="5" t="inlineStr">
        <is>
          <t>From 28-study Table S1 source extraction; zero means not evidenced in extracted record</t>
        </is>
      </c>
      <c r="L132" s="5" t="inlineStr">
        <is>
          <t>https://onlinelibrary.wiley.com/doi/full/10.1002/jbm.a.37831</t>
        </is>
      </c>
      <c r="M132" s="5" t="inlineStr">
        <is>
          <t>100.0</t>
        </is>
      </c>
      <c r="N132" s="5" t="inlineStr">
        <is>
          <t>YES</t>
        </is>
      </c>
    </row>
    <row r="133">
      <c r="A133" s="6" t="n">
        <v>130</v>
      </c>
      <c r="B133" s="5" t="inlineStr">
        <is>
          <t>S1</t>
        </is>
      </c>
      <c r="C133" s="5" t="inlineStr">
        <is>
          <t>16: Bioink-optimized printed skin equivalents</t>
        </is>
      </c>
      <c r="D133" s="5" t="inlineStr">
        <is>
          <t>3D Bioprinting a Novel Skin Co‐Culture Model Using Human Keratinocytes and Fibroblasts</t>
        </is>
      </c>
      <c r="E133" s="5" t="inlineStr">
        <is>
          <t>10.1002/jbm.a.37831</t>
        </is>
      </c>
      <c r="F133" s="5" t="inlineStr">
        <is>
          <t>Bioprinted models</t>
        </is>
      </c>
      <c r="G133" s="5" t="inlineStr">
        <is>
          <t>Mechanical/material</t>
        </is>
      </c>
      <c r="H133" s="6" t="inlineStr">
        <is>
          <t>1</t>
        </is>
      </c>
      <c r="K133" s="5" t="inlineStr">
        <is>
          <t>From 28-study Table S1 source extraction; zero means not evidenced in extracted record</t>
        </is>
      </c>
      <c r="L133" s="5" t="inlineStr">
        <is>
          <t>https://onlinelibrary.wiley.com/doi/full/10.1002/jbm.a.37831</t>
        </is>
      </c>
      <c r="M133" s="5" t="inlineStr">
        <is>
          <t>100.0</t>
        </is>
      </c>
      <c r="N133" s="5" t="inlineStr">
        <is>
          <t>YES</t>
        </is>
      </c>
    </row>
    <row r="134">
      <c r="A134" s="6" t="n">
        <v>130</v>
      </c>
      <c r="B134" s="5" t="inlineStr">
        <is>
          <t>S1</t>
        </is>
      </c>
      <c r="C134" s="5" t="inlineStr">
        <is>
          <t>16: Bioink-optimized printed skin equivalents</t>
        </is>
      </c>
      <c r="D134" s="5" t="inlineStr">
        <is>
          <t>3D Bioprinting a Novel Skin Co‐Culture Model Using Human Keratinocytes and Fibroblasts</t>
        </is>
      </c>
      <c r="E134" s="5" t="inlineStr">
        <is>
          <t>10.1002/jbm.a.37831</t>
        </is>
      </c>
      <c r="F134" s="5" t="inlineStr">
        <is>
          <t>Bioprinted models</t>
        </is>
      </c>
      <c r="G134" s="5" t="inlineStr">
        <is>
          <t>Vascular/perfusion</t>
        </is>
      </c>
      <c r="H134" s="6" t="inlineStr">
        <is>
          <t>0</t>
        </is>
      </c>
      <c r="K134" s="5" t="inlineStr">
        <is>
          <t>From 28-study Table S1 source extraction; zero means not evidenced in extracted record</t>
        </is>
      </c>
      <c r="L134" s="5" t="inlineStr">
        <is>
          <t>https://onlinelibrary.wiley.com/doi/full/10.1002/jbm.a.37831</t>
        </is>
      </c>
      <c r="M134" s="5" t="inlineStr">
        <is>
          <t>100.0</t>
        </is>
      </c>
      <c r="N134" s="5" t="inlineStr">
        <is>
          <t>YES</t>
        </is>
      </c>
    </row>
    <row r="135">
      <c r="A135" s="6" t="n">
        <v>131</v>
      </c>
      <c r="B135" s="5" t="inlineStr">
        <is>
          <t>S1</t>
        </is>
      </c>
      <c r="C135" s="5" t="inlineStr">
        <is>
          <t>14: Mechanically guided bilayer tissue-engineered skin</t>
        </is>
      </c>
      <c r="D135" s="5" t="inlineStr">
        <is>
          <t>Bilayer tissue-engineered skin loaded with confining forces enhances epidermal proliferation to promote full-thickness wound healing</t>
        </is>
      </c>
      <c r="E135" s="5" t="inlineStr">
        <is>
          <t>10.1016/j.mtcomm.2025.113049</t>
        </is>
      </c>
      <c r="F135" s="5" t="inlineStr">
        <is>
          <t>3D wound models</t>
        </is>
      </c>
      <c r="G135" s="5" t="inlineStr">
        <is>
          <t>Longitudinal/time-resolved</t>
        </is>
      </c>
      <c r="H135" s="6" t="inlineStr">
        <is>
          <t>1</t>
        </is>
      </c>
      <c r="K135" s="5" t="inlineStr">
        <is>
          <t>From 28-study Table S1 source extraction; zero means not evidenced in extracted record</t>
        </is>
      </c>
      <c r="L135" s="5" t="inlineStr">
        <is>
          <t>https://www.sciencedirect.com/science/article/pii/S2352492825015612</t>
        </is>
      </c>
      <c r="M135" s="5" t="inlineStr">
        <is>
          <t>100.0</t>
        </is>
      </c>
      <c r="N135" s="5" t="inlineStr">
        <is>
          <t>YES</t>
        </is>
      </c>
    </row>
    <row r="136">
      <c r="A136" s="6" t="n">
        <v>131</v>
      </c>
      <c r="B136" s="5" t="inlineStr">
        <is>
          <t>S1</t>
        </is>
      </c>
      <c r="C136" s="5" t="inlineStr">
        <is>
          <t>14: Mechanically guided bilayer tissue-engineered skin</t>
        </is>
      </c>
      <c r="D136" s="5" t="inlineStr">
        <is>
          <t>Bilayer tissue-engineered skin loaded with confining forces enhances epidermal proliferation to promote full-thickness wound healing</t>
        </is>
      </c>
      <c r="E136" s="5" t="inlineStr">
        <is>
          <t>10.1016/j.mtcomm.2025.113049</t>
        </is>
      </c>
      <c r="F136" s="5" t="inlineStr">
        <is>
          <t>3D wound models</t>
        </is>
      </c>
      <c r="G136" s="5" t="inlineStr">
        <is>
          <t>Image/segmentation</t>
        </is>
      </c>
      <c r="H136" s="6" t="inlineStr">
        <is>
          <t>1</t>
        </is>
      </c>
      <c r="K136" s="5" t="inlineStr">
        <is>
          <t>From 28-study Table S1 source extraction; zero means not evidenced in extracted record</t>
        </is>
      </c>
      <c r="L136" s="5" t="inlineStr">
        <is>
          <t>https://www.sciencedirect.com/science/article/pii/S2352492825015612</t>
        </is>
      </c>
      <c r="M136" s="5" t="inlineStr">
        <is>
          <t>100.0</t>
        </is>
      </c>
      <c r="N136" s="5" t="inlineStr">
        <is>
          <t>YES</t>
        </is>
      </c>
    </row>
    <row r="137">
      <c r="A137" s="6" t="n">
        <v>131</v>
      </c>
      <c r="B137" s="5" t="inlineStr">
        <is>
          <t>S1</t>
        </is>
      </c>
      <c r="C137" s="5" t="inlineStr">
        <is>
          <t>14: Mechanically guided bilayer tissue-engineered skin</t>
        </is>
      </c>
      <c r="D137" s="5" t="inlineStr">
        <is>
          <t>Bilayer tissue-engineered skin loaded with confining forces enhances epidermal proliferation to promote full-thickness wound healing</t>
        </is>
      </c>
      <c r="E137" s="5" t="inlineStr">
        <is>
          <t>10.1016/j.mtcomm.2025.113049</t>
        </is>
      </c>
      <c r="F137" s="5" t="inlineStr">
        <is>
          <t>3D wound models</t>
        </is>
      </c>
      <c r="G137" s="5" t="inlineStr">
        <is>
          <t>Barrier/permeability</t>
        </is>
      </c>
      <c r="H137" s="6" t="inlineStr">
        <is>
          <t>0</t>
        </is>
      </c>
      <c r="K137" s="5" t="inlineStr">
        <is>
          <t>From 28-study Table S1 source extraction; zero means not evidenced in extracted record</t>
        </is>
      </c>
      <c r="L137" s="5" t="inlineStr">
        <is>
          <t>https://www.sciencedirect.com/science/article/pii/S2352492825015612</t>
        </is>
      </c>
      <c r="M137" s="5" t="inlineStr">
        <is>
          <t>100.0</t>
        </is>
      </c>
      <c r="N137" s="5" t="inlineStr">
        <is>
          <t>YES</t>
        </is>
      </c>
    </row>
    <row r="138">
      <c r="A138" s="6" t="n">
        <v>131</v>
      </c>
      <c r="B138" s="5" t="inlineStr">
        <is>
          <t>S1</t>
        </is>
      </c>
      <c r="C138" s="5" t="inlineStr">
        <is>
          <t>14: Mechanically guided bilayer tissue-engineered skin</t>
        </is>
      </c>
      <c r="D138" s="5" t="inlineStr">
        <is>
          <t>Bilayer tissue-engineered skin loaded with confining forces enhances epidermal proliferation to promote full-thickness wound healing</t>
        </is>
      </c>
      <c r="E138" s="5" t="inlineStr">
        <is>
          <t>10.1016/j.mtcomm.2025.113049</t>
        </is>
      </c>
      <c r="F138" s="5" t="inlineStr">
        <is>
          <t>3D wound models</t>
        </is>
      </c>
      <c r="G138" s="5" t="inlineStr">
        <is>
          <t>Molecular/inflammatory</t>
        </is>
      </c>
      <c r="H138" s="6" t="inlineStr">
        <is>
          <t>1</t>
        </is>
      </c>
      <c r="K138" s="5" t="inlineStr">
        <is>
          <t>From 28-study Table S1 source extraction; zero means not evidenced in extracted record</t>
        </is>
      </c>
      <c r="L138" s="5" t="inlineStr">
        <is>
          <t>https://www.sciencedirect.com/science/article/pii/S2352492825015612</t>
        </is>
      </c>
      <c r="M138" s="5" t="inlineStr">
        <is>
          <t>100.0</t>
        </is>
      </c>
      <c r="N138" s="5" t="inlineStr">
        <is>
          <t>YES</t>
        </is>
      </c>
    </row>
    <row r="139">
      <c r="A139" s="6" t="n">
        <v>131</v>
      </c>
      <c r="B139" s="5" t="inlineStr">
        <is>
          <t>S1</t>
        </is>
      </c>
      <c r="C139" s="5" t="inlineStr">
        <is>
          <t>14: Mechanically guided bilayer tissue-engineered skin</t>
        </is>
      </c>
      <c r="D139" s="5" t="inlineStr">
        <is>
          <t>Bilayer tissue-engineered skin loaded with confining forces enhances epidermal proliferation to promote full-thickness wound healing</t>
        </is>
      </c>
      <c r="E139" s="5" t="inlineStr">
        <is>
          <t>10.1016/j.mtcomm.2025.113049</t>
        </is>
      </c>
      <c r="F139" s="5" t="inlineStr">
        <is>
          <t>3D wound models</t>
        </is>
      </c>
      <c r="G139" s="5" t="inlineStr">
        <is>
          <t>Histology/IHC</t>
        </is>
      </c>
      <c r="H139" s="6" t="inlineStr">
        <is>
          <t>1</t>
        </is>
      </c>
      <c r="K139" s="5" t="inlineStr">
        <is>
          <t>From 28-study Table S1 source extraction; zero means not evidenced in extracted record</t>
        </is>
      </c>
      <c r="L139" s="5" t="inlineStr">
        <is>
          <t>https://www.sciencedirect.com/science/article/pii/S2352492825015612</t>
        </is>
      </c>
      <c r="M139" s="5" t="inlineStr">
        <is>
          <t>100.0</t>
        </is>
      </c>
      <c r="N139" s="5" t="inlineStr">
        <is>
          <t>YES</t>
        </is>
      </c>
    </row>
    <row r="140">
      <c r="A140" s="6" t="n">
        <v>131</v>
      </c>
      <c r="B140" s="5" t="inlineStr">
        <is>
          <t>S1</t>
        </is>
      </c>
      <c r="C140" s="5" t="inlineStr">
        <is>
          <t>14: Mechanically guided bilayer tissue-engineered skin</t>
        </is>
      </c>
      <c r="D140" s="5" t="inlineStr">
        <is>
          <t>Bilayer tissue-engineered skin loaded with confining forces enhances epidermal proliferation to promote full-thickness wound healing</t>
        </is>
      </c>
      <c r="E140" s="5" t="inlineStr">
        <is>
          <t>10.1016/j.mtcomm.2025.113049</t>
        </is>
      </c>
      <c r="F140" s="5" t="inlineStr">
        <is>
          <t>3D wound models</t>
        </is>
      </c>
      <c r="G140" s="5" t="inlineStr">
        <is>
          <t>Mechanical/material</t>
        </is>
      </c>
      <c r="H140" s="6" t="inlineStr">
        <is>
          <t>1</t>
        </is>
      </c>
      <c r="K140" s="5" t="inlineStr">
        <is>
          <t>From 28-study Table S1 source extraction; zero means not evidenced in extracted record</t>
        </is>
      </c>
      <c r="L140" s="5" t="inlineStr">
        <is>
          <t>https://www.sciencedirect.com/science/article/pii/S2352492825015612</t>
        </is>
      </c>
      <c r="M140" s="5" t="inlineStr">
        <is>
          <t>100.0</t>
        </is>
      </c>
      <c r="N140" s="5" t="inlineStr">
        <is>
          <t>YES</t>
        </is>
      </c>
    </row>
    <row r="141">
      <c r="A141" s="6" t="n">
        <v>131</v>
      </c>
      <c r="B141" s="5" t="inlineStr">
        <is>
          <t>S1</t>
        </is>
      </c>
      <c r="C141" s="5" t="inlineStr">
        <is>
          <t>14: Mechanically guided bilayer tissue-engineered skin</t>
        </is>
      </c>
      <c r="D141" s="5" t="inlineStr">
        <is>
          <t>Bilayer tissue-engineered skin loaded with confining forces enhances epidermal proliferation to promote full-thickness wound healing</t>
        </is>
      </c>
      <c r="E141" s="5" t="inlineStr">
        <is>
          <t>10.1016/j.mtcomm.2025.113049</t>
        </is>
      </c>
      <c r="F141" s="5" t="inlineStr">
        <is>
          <t>3D wound models</t>
        </is>
      </c>
      <c r="G141" s="5" t="inlineStr">
        <is>
          <t>Vascular/perfusion</t>
        </is>
      </c>
      <c r="H141" s="6" t="inlineStr">
        <is>
          <t>1</t>
        </is>
      </c>
      <c r="K141" s="5" t="inlineStr">
        <is>
          <t>From 28-study Table S1 source extraction; zero means not evidenced in extracted record</t>
        </is>
      </c>
      <c r="L141" s="5" t="inlineStr">
        <is>
          <t>https://www.sciencedirect.com/science/article/pii/S2352492825015612</t>
        </is>
      </c>
      <c r="M141" s="5" t="inlineStr">
        <is>
          <t>100.0</t>
        </is>
      </c>
      <c r="N141" s="5" t="inlineStr">
        <is>
          <t>YES</t>
        </is>
      </c>
    </row>
    <row r="142">
      <c r="A142" s="6" t="n">
        <v>132</v>
      </c>
      <c r="B142" s="5" t="inlineStr">
        <is>
          <t>S1</t>
        </is>
      </c>
      <c r="C142" s="5" t="inlineStr">
        <is>
          <t>17: Printed skin substitutes and in situ wound bioprinting</t>
        </is>
      </c>
      <c r="D142" s="5" t="inlineStr">
        <is>
          <t>3D bioprinted skin substitutes for accelerated wound healing and reduced scar</t>
        </is>
      </c>
      <c r="E142" s="5" t="inlineStr">
        <is>
          <t>10.1007/s42235-021-0053-8</t>
        </is>
      </c>
      <c r="F142" s="5" t="inlineStr">
        <is>
          <t>Bioprinted models</t>
        </is>
      </c>
      <c r="G142" s="5" t="inlineStr">
        <is>
          <t>Longitudinal/time-resolved</t>
        </is>
      </c>
      <c r="H142" s="6" t="inlineStr">
        <is>
          <t>1</t>
        </is>
      </c>
      <c r="K142" s="5" t="inlineStr">
        <is>
          <t>From 28-study Table S1 source extraction; zero means not evidenced in extracted record</t>
        </is>
      </c>
      <c r="L142" s="5" t="inlineStr">
        <is>
          <t>https://www.isbe-online.com/?act=view&amp;id=4324&amp;mod=info&amp;ui=english</t>
        </is>
      </c>
      <c r="M142" s="5" t="inlineStr">
        <is>
          <t>100.0</t>
        </is>
      </c>
      <c r="N142" s="5" t="inlineStr">
        <is>
          <t>YES</t>
        </is>
      </c>
    </row>
    <row r="143">
      <c r="A143" s="6" t="n">
        <v>132</v>
      </c>
      <c r="B143" s="5" t="inlineStr">
        <is>
          <t>S1</t>
        </is>
      </c>
      <c r="C143" s="5" t="inlineStr">
        <is>
          <t>17: Printed skin substitutes and in situ wound bioprinting</t>
        </is>
      </c>
      <c r="D143" s="5" t="inlineStr">
        <is>
          <t>3D bioprinted skin substitutes for accelerated wound healing and reduced scar</t>
        </is>
      </c>
      <c r="E143" s="5" t="inlineStr">
        <is>
          <t>10.1007/s42235-021-0053-8</t>
        </is>
      </c>
      <c r="F143" s="5" t="inlineStr">
        <is>
          <t>Bioprinted models</t>
        </is>
      </c>
      <c r="G143" s="5" t="inlineStr">
        <is>
          <t>Image/segmentation</t>
        </is>
      </c>
      <c r="H143" s="6" t="inlineStr">
        <is>
          <t>1</t>
        </is>
      </c>
      <c r="K143" s="5" t="inlineStr">
        <is>
          <t>From 28-study Table S1 source extraction; zero means not evidenced in extracted record</t>
        </is>
      </c>
      <c r="L143" s="5" t="inlineStr">
        <is>
          <t>https://www.isbe-online.com/?act=view&amp;id=4324&amp;mod=info&amp;ui=english</t>
        </is>
      </c>
      <c r="M143" s="5" t="inlineStr">
        <is>
          <t>100.0</t>
        </is>
      </c>
      <c r="N143" s="5" t="inlineStr">
        <is>
          <t>YES</t>
        </is>
      </c>
    </row>
    <row r="144">
      <c r="A144" s="6" t="n">
        <v>132</v>
      </c>
      <c r="B144" s="5" t="inlineStr">
        <is>
          <t>S1</t>
        </is>
      </c>
      <c r="C144" s="5" t="inlineStr">
        <is>
          <t>17: Printed skin substitutes and in situ wound bioprinting</t>
        </is>
      </c>
      <c r="D144" s="5" t="inlineStr">
        <is>
          <t>3D bioprinted skin substitutes for accelerated wound healing and reduced scar</t>
        </is>
      </c>
      <c r="E144" s="5" t="inlineStr">
        <is>
          <t>10.1007/s42235-021-0053-8</t>
        </is>
      </c>
      <c r="F144" s="5" t="inlineStr">
        <is>
          <t>Bioprinted models</t>
        </is>
      </c>
      <c r="G144" s="5" t="inlineStr">
        <is>
          <t>Barrier/permeability</t>
        </is>
      </c>
      <c r="H144" s="6" t="inlineStr">
        <is>
          <t>0</t>
        </is>
      </c>
      <c r="K144" s="5" t="inlineStr">
        <is>
          <t>From 28-study Table S1 source extraction; zero means not evidenced in extracted record</t>
        </is>
      </c>
      <c r="L144" s="5" t="inlineStr">
        <is>
          <t>https://www.isbe-online.com/?act=view&amp;id=4324&amp;mod=info&amp;ui=english</t>
        </is>
      </c>
      <c r="M144" s="5" t="inlineStr">
        <is>
          <t>100.0</t>
        </is>
      </c>
      <c r="N144" s="5" t="inlineStr">
        <is>
          <t>YES</t>
        </is>
      </c>
    </row>
    <row r="145">
      <c r="A145" s="6" t="n">
        <v>132</v>
      </c>
      <c r="B145" s="5" t="inlineStr">
        <is>
          <t>S1</t>
        </is>
      </c>
      <c r="C145" s="5" t="inlineStr">
        <is>
          <t>17: Printed skin substitutes and in situ wound bioprinting</t>
        </is>
      </c>
      <c r="D145" s="5" t="inlineStr">
        <is>
          <t>3D bioprinted skin substitutes for accelerated wound healing and reduced scar</t>
        </is>
      </c>
      <c r="E145" s="5" t="inlineStr">
        <is>
          <t>10.1007/s42235-021-0053-8</t>
        </is>
      </c>
      <c r="F145" s="5" t="inlineStr">
        <is>
          <t>Bioprinted models</t>
        </is>
      </c>
      <c r="G145" s="5" t="inlineStr">
        <is>
          <t>Molecular/inflammatory</t>
        </is>
      </c>
      <c r="H145" s="6" t="inlineStr">
        <is>
          <t>0</t>
        </is>
      </c>
      <c r="K145" s="5" t="inlineStr">
        <is>
          <t>From 28-study Table S1 source extraction; zero means not evidenced in extracted record</t>
        </is>
      </c>
      <c r="L145" s="5" t="inlineStr">
        <is>
          <t>https://www.isbe-online.com/?act=view&amp;id=4324&amp;mod=info&amp;ui=english</t>
        </is>
      </c>
      <c r="M145" s="5" t="inlineStr">
        <is>
          <t>100.0</t>
        </is>
      </c>
      <c r="N145" s="5" t="inlineStr">
        <is>
          <t>YES</t>
        </is>
      </c>
    </row>
    <row r="146">
      <c r="A146" s="6" t="n">
        <v>132</v>
      </c>
      <c r="B146" s="5" t="inlineStr">
        <is>
          <t>S1</t>
        </is>
      </c>
      <c r="C146" s="5" t="inlineStr">
        <is>
          <t>17: Printed skin substitutes and in situ wound bioprinting</t>
        </is>
      </c>
      <c r="D146" s="5" t="inlineStr">
        <is>
          <t>3D bioprinted skin substitutes for accelerated wound healing and reduced scar</t>
        </is>
      </c>
      <c r="E146" s="5" t="inlineStr">
        <is>
          <t>10.1007/s42235-021-0053-8</t>
        </is>
      </c>
      <c r="F146" s="5" t="inlineStr">
        <is>
          <t>Bioprinted models</t>
        </is>
      </c>
      <c r="G146" s="5" t="inlineStr">
        <is>
          <t>Histology/IHC</t>
        </is>
      </c>
      <c r="H146" s="6" t="inlineStr">
        <is>
          <t>1</t>
        </is>
      </c>
      <c r="K146" s="5" t="inlineStr">
        <is>
          <t>From 28-study Table S1 source extraction; zero means not evidenced in extracted record</t>
        </is>
      </c>
      <c r="L146" s="5" t="inlineStr">
        <is>
          <t>https://www.isbe-online.com/?act=view&amp;id=4324&amp;mod=info&amp;ui=english</t>
        </is>
      </c>
      <c r="M146" s="5" t="inlineStr">
        <is>
          <t>100.0</t>
        </is>
      </c>
      <c r="N146" s="5" t="inlineStr">
        <is>
          <t>YES</t>
        </is>
      </c>
    </row>
    <row r="147">
      <c r="A147" s="6" t="n">
        <v>132</v>
      </c>
      <c r="B147" s="5" t="inlineStr">
        <is>
          <t>S1</t>
        </is>
      </c>
      <c r="C147" s="5" t="inlineStr">
        <is>
          <t>17: Printed skin substitutes and in situ wound bioprinting</t>
        </is>
      </c>
      <c r="D147" s="5" t="inlineStr">
        <is>
          <t>3D bioprinted skin substitutes for accelerated wound healing and reduced scar</t>
        </is>
      </c>
      <c r="E147" s="5" t="inlineStr">
        <is>
          <t>10.1007/s42235-021-0053-8</t>
        </is>
      </c>
      <c r="F147" s="5" t="inlineStr">
        <is>
          <t>Bioprinted models</t>
        </is>
      </c>
      <c r="G147" s="5" t="inlineStr">
        <is>
          <t>Mechanical/material</t>
        </is>
      </c>
      <c r="H147" s="6" t="inlineStr">
        <is>
          <t>1</t>
        </is>
      </c>
      <c r="K147" s="5" t="inlineStr">
        <is>
          <t>From 28-study Table S1 source extraction; zero means not evidenced in extracted record</t>
        </is>
      </c>
      <c r="L147" s="5" t="inlineStr">
        <is>
          <t>https://www.isbe-online.com/?act=view&amp;id=4324&amp;mod=info&amp;ui=english</t>
        </is>
      </c>
      <c r="M147" s="5" t="inlineStr">
        <is>
          <t>100.0</t>
        </is>
      </c>
      <c r="N147" s="5" t="inlineStr">
        <is>
          <t>YES</t>
        </is>
      </c>
    </row>
    <row r="148">
      <c r="A148" s="6" t="n">
        <v>132</v>
      </c>
      <c r="B148" s="5" t="inlineStr">
        <is>
          <t>S1</t>
        </is>
      </c>
      <c r="C148" s="5" t="inlineStr">
        <is>
          <t>17: Printed skin substitutes and in situ wound bioprinting</t>
        </is>
      </c>
      <c r="D148" s="5" t="inlineStr">
        <is>
          <t>3D bioprinted skin substitutes for accelerated wound healing and reduced scar</t>
        </is>
      </c>
      <c r="E148" s="5" t="inlineStr">
        <is>
          <t>10.1007/s42235-021-0053-8</t>
        </is>
      </c>
      <c r="F148" s="5" t="inlineStr">
        <is>
          <t>Bioprinted models</t>
        </is>
      </c>
      <c r="G148" s="5" t="inlineStr">
        <is>
          <t>Vascular/perfusion</t>
        </is>
      </c>
      <c r="H148" s="6" t="inlineStr">
        <is>
          <t>1</t>
        </is>
      </c>
      <c r="K148" s="5" t="inlineStr">
        <is>
          <t>From 28-study Table S1 source extraction; zero means not evidenced in extracted record</t>
        </is>
      </c>
      <c r="L148" s="5" t="inlineStr">
        <is>
          <t>https://www.isbe-online.com/?act=view&amp;id=4324&amp;mod=info&amp;ui=english</t>
        </is>
      </c>
      <c r="M148" s="5" t="inlineStr">
        <is>
          <t>100.0</t>
        </is>
      </c>
      <c r="N148" s="5" t="inlineStr">
        <is>
          <t>YES</t>
        </is>
      </c>
    </row>
    <row r="149">
      <c r="A149" s="6" t="n">
        <v>133</v>
      </c>
      <c r="B149" s="5" t="inlineStr">
        <is>
          <t>S1</t>
        </is>
      </c>
      <c r="C149" s="5" t="inlineStr">
        <is>
          <t>17: Printed skin substitutes and in situ wound bioprinting</t>
        </is>
      </c>
      <c r="D149" s="5" t="inlineStr">
        <is>
          <t>Development and application of a mechanical arm-based in situ 3D bioprinting method for the repair of skin wounds</t>
        </is>
      </c>
      <c r="E149" s="5" t="inlineStr">
        <is>
          <t>10.1007/s42452-024-06043-5</t>
        </is>
      </c>
      <c r="F149" s="5" t="inlineStr">
        <is>
          <t>Bioprinted models</t>
        </is>
      </c>
      <c r="G149" s="5" t="inlineStr">
        <is>
          <t>Longitudinal/time-resolved</t>
        </is>
      </c>
      <c r="H149" s="6" t="inlineStr">
        <is>
          <t>1</t>
        </is>
      </c>
      <c r="K149" s="5" t="inlineStr">
        <is>
          <t>From 28-study Table S1 source extraction; zero means not evidenced in extracted record</t>
        </is>
      </c>
      <c r="L149" s="5" t="inlineStr">
        <is>
          <t>https://link.springer.com/article/10.1007/s42452-024-06043-5</t>
        </is>
      </c>
      <c r="M149" s="5" t="inlineStr">
        <is>
          <t>100.0</t>
        </is>
      </c>
      <c r="N149" s="5" t="inlineStr">
        <is>
          <t>YES</t>
        </is>
      </c>
    </row>
    <row r="150">
      <c r="A150" s="6" t="n">
        <v>133</v>
      </c>
      <c r="B150" s="5" t="inlineStr">
        <is>
          <t>S1</t>
        </is>
      </c>
      <c r="C150" s="5" t="inlineStr">
        <is>
          <t>17: Printed skin substitutes and in situ wound bioprinting</t>
        </is>
      </c>
      <c r="D150" s="5" t="inlineStr">
        <is>
          <t>Development and application of a mechanical arm-based in situ 3D bioprinting method for the repair of skin wounds</t>
        </is>
      </c>
      <c r="E150" s="5" t="inlineStr">
        <is>
          <t>10.1007/s42452-024-06043-5</t>
        </is>
      </c>
      <c r="F150" s="5" t="inlineStr">
        <is>
          <t>Bioprinted models</t>
        </is>
      </c>
      <c r="G150" s="5" t="inlineStr">
        <is>
          <t>Image/segmentation</t>
        </is>
      </c>
      <c r="H150" s="6" t="inlineStr">
        <is>
          <t>1</t>
        </is>
      </c>
      <c r="K150" s="5" t="inlineStr">
        <is>
          <t>From 28-study Table S1 source extraction; zero means not evidenced in extracted record</t>
        </is>
      </c>
      <c r="L150" s="5" t="inlineStr">
        <is>
          <t>https://link.springer.com/article/10.1007/s42452-024-06043-5</t>
        </is>
      </c>
      <c r="M150" s="5" t="inlineStr">
        <is>
          <t>100.0</t>
        </is>
      </c>
      <c r="N150" s="5" t="inlineStr">
        <is>
          <t>YES</t>
        </is>
      </c>
    </row>
    <row r="151">
      <c r="A151" s="6" t="n">
        <v>133</v>
      </c>
      <c r="B151" s="5" t="inlineStr">
        <is>
          <t>S1</t>
        </is>
      </c>
      <c r="C151" s="5" t="inlineStr">
        <is>
          <t>17: Printed skin substitutes and in situ wound bioprinting</t>
        </is>
      </c>
      <c r="D151" s="5" t="inlineStr">
        <is>
          <t>Development and application of a mechanical arm-based in situ 3D bioprinting method for the repair of skin wounds</t>
        </is>
      </c>
      <c r="E151" s="5" t="inlineStr">
        <is>
          <t>10.1007/s42452-024-06043-5</t>
        </is>
      </c>
      <c r="F151" s="5" t="inlineStr">
        <is>
          <t>Bioprinted models</t>
        </is>
      </c>
      <c r="G151" s="5" t="inlineStr">
        <is>
          <t>Barrier/permeability</t>
        </is>
      </c>
      <c r="H151" s="6" t="inlineStr">
        <is>
          <t>0</t>
        </is>
      </c>
      <c r="K151" s="5" t="inlineStr">
        <is>
          <t>From 28-study Table S1 source extraction; zero means not evidenced in extracted record</t>
        </is>
      </c>
      <c r="L151" s="5" t="inlineStr">
        <is>
          <t>https://link.springer.com/article/10.1007/s42452-024-06043-5</t>
        </is>
      </c>
      <c r="M151" s="5" t="inlineStr">
        <is>
          <t>100.0</t>
        </is>
      </c>
      <c r="N151" s="5" t="inlineStr">
        <is>
          <t>YES</t>
        </is>
      </c>
    </row>
    <row r="152">
      <c r="A152" s="6" t="n">
        <v>133</v>
      </c>
      <c r="B152" s="5" t="inlineStr">
        <is>
          <t>S1</t>
        </is>
      </c>
      <c r="C152" s="5" t="inlineStr">
        <is>
          <t>17: Printed skin substitutes and in situ wound bioprinting</t>
        </is>
      </c>
      <c r="D152" s="5" t="inlineStr">
        <is>
          <t>Development and application of a mechanical arm-based in situ 3D bioprinting method for the repair of skin wounds</t>
        </is>
      </c>
      <c r="E152" s="5" t="inlineStr">
        <is>
          <t>10.1007/s42452-024-06043-5</t>
        </is>
      </c>
      <c r="F152" s="5" t="inlineStr">
        <is>
          <t>Bioprinted models</t>
        </is>
      </c>
      <c r="G152" s="5" t="inlineStr">
        <is>
          <t>Molecular/inflammatory</t>
        </is>
      </c>
      <c r="H152" s="6" t="inlineStr">
        <is>
          <t>0</t>
        </is>
      </c>
      <c r="K152" s="5" t="inlineStr">
        <is>
          <t>From 28-study Table S1 source extraction; zero means not evidenced in extracted record</t>
        </is>
      </c>
      <c r="L152" s="5" t="inlineStr">
        <is>
          <t>https://link.springer.com/article/10.1007/s42452-024-06043-5</t>
        </is>
      </c>
      <c r="M152" s="5" t="inlineStr">
        <is>
          <t>100.0</t>
        </is>
      </c>
      <c r="N152" s="5" t="inlineStr">
        <is>
          <t>YES</t>
        </is>
      </c>
    </row>
    <row r="153">
      <c r="A153" s="6" t="n">
        <v>133</v>
      </c>
      <c r="B153" s="5" t="inlineStr">
        <is>
          <t>S1</t>
        </is>
      </c>
      <c r="C153" s="5" t="inlineStr">
        <is>
          <t>17: Printed skin substitutes and in situ wound bioprinting</t>
        </is>
      </c>
      <c r="D153" s="5" t="inlineStr">
        <is>
          <t>Development and application of a mechanical arm-based in situ 3D bioprinting method for the repair of skin wounds</t>
        </is>
      </c>
      <c r="E153" s="5" t="inlineStr">
        <is>
          <t>10.1007/s42452-024-06043-5</t>
        </is>
      </c>
      <c r="F153" s="5" t="inlineStr">
        <is>
          <t>Bioprinted models</t>
        </is>
      </c>
      <c r="G153" s="5" t="inlineStr">
        <is>
          <t>Histology/IHC</t>
        </is>
      </c>
      <c r="H153" s="6" t="inlineStr">
        <is>
          <t>1</t>
        </is>
      </c>
      <c r="K153" s="5" t="inlineStr">
        <is>
          <t>From 28-study Table S1 source extraction; zero means not evidenced in extracted record</t>
        </is>
      </c>
      <c r="L153" s="5" t="inlineStr">
        <is>
          <t>https://link.springer.com/article/10.1007/s42452-024-06043-5</t>
        </is>
      </c>
      <c r="M153" s="5" t="inlineStr">
        <is>
          <t>100.0</t>
        </is>
      </c>
      <c r="N153" s="5" t="inlineStr">
        <is>
          <t>YES</t>
        </is>
      </c>
    </row>
    <row r="154">
      <c r="A154" s="6" t="n">
        <v>133</v>
      </c>
      <c r="B154" s="5" t="inlineStr">
        <is>
          <t>S1</t>
        </is>
      </c>
      <c r="C154" s="5" t="inlineStr">
        <is>
          <t>17: Printed skin substitutes and in situ wound bioprinting</t>
        </is>
      </c>
      <c r="D154" s="5" t="inlineStr">
        <is>
          <t>Development and application of a mechanical arm-based in situ 3D bioprinting method for the repair of skin wounds</t>
        </is>
      </c>
      <c r="E154" s="5" t="inlineStr">
        <is>
          <t>10.1007/s42452-024-06043-5</t>
        </is>
      </c>
      <c r="F154" s="5" t="inlineStr">
        <is>
          <t>Bioprinted models</t>
        </is>
      </c>
      <c r="G154" s="5" t="inlineStr">
        <is>
          <t>Mechanical/material</t>
        </is>
      </c>
      <c r="H154" s="6" t="inlineStr">
        <is>
          <t>1</t>
        </is>
      </c>
      <c r="K154" s="5" t="inlineStr">
        <is>
          <t>From 28-study Table S1 source extraction; zero means not evidenced in extracted record</t>
        </is>
      </c>
      <c r="L154" s="5" t="inlineStr">
        <is>
          <t>https://link.springer.com/article/10.1007/s42452-024-06043-5</t>
        </is>
      </c>
      <c r="M154" s="5" t="inlineStr">
        <is>
          <t>100.0</t>
        </is>
      </c>
      <c r="N154" s="5" t="inlineStr">
        <is>
          <t>YES</t>
        </is>
      </c>
    </row>
    <row r="155">
      <c r="A155" s="6" t="n">
        <v>133</v>
      </c>
      <c r="B155" s="5" t="inlineStr">
        <is>
          <t>S1</t>
        </is>
      </c>
      <c r="C155" s="5" t="inlineStr">
        <is>
          <t>17: Printed skin substitutes and in situ wound bioprinting</t>
        </is>
      </c>
      <c r="D155" s="5" t="inlineStr">
        <is>
          <t>Development and application of a mechanical arm-based in situ 3D bioprinting method for the repair of skin wounds</t>
        </is>
      </c>
      <c r="E155" s="5" t="inlineStr">
        <is>
          <t>10.1007/s42452-024-06043-5</t>
        </is>
      </c>
      <c r="F155" s="5" t="inlineStr">
        <is>
          <t>Bioprinted models</t>
        </is>
      </c>
      <c r="G155" s="5" t="inlineStr">
        <is>
          <t>Vascular/perfusion</t>
        </is>
      </c>
      <c r="H155" s="6" t="inlineStr">
        <is>
          <t>1</t>
        </is>
      </c>
      <c r="K155" s="5" t="inlineStr">
        <is>
          <t>From 28-study Table S1 source extraction; zero means not evidenced in extracted record</t>
        </is>
      </c>
      <c r="L155" s="5" t="inlineStr">
        <is>
          <t>https://link.springer.com/article/10.1007/s42452-024-06043-5</t>
        </is>
      </c>
      <c r="M155" s="5" t="inlineStr">
        <is>
          <t>100.0</t>
        </is>
      </c>
      <c r="N155" s="5" t="inlineStr">
        <is>
          <t>YES</t>
        </is>
      </c>
    </row>
    <row r="156">
      <c r="A156" s="6" t="n">
        <v>134</v>
      </c>
      <c r="B156" s="5" t="inlineStr">
        <is>
          <t>S1</t>
        </is>
      </c>
      <c r="C156" s="5" t="inlineStr">
        <is>
          <t>18: PRP-functionalized and vascularized printed wound substitutes</t>
        </is>
      </c>
      <c r="D156" s="5" t="inlineStr">
        <is>
          <t>Functionalizing multi-component bioink with platelet-rich plasma for customized in-situ bilayer bioprinting for wound healing</t>
        </is>
      </c>
      <c r="E156" s="5" t="inlineStr">
        <is>
          <t>10.1016/j.mtbio.2022.100334</t>
        </is>
      </c>
      <c r="F156" s="5" t="inlineStr">
        <is>
          <t>Bioprinted models</t>
        </is>
      </c>
      <c r="G156" s="5" t="inlineStr">
        <is>
          <t>Longitudinal/time-resolved</t>
        </is>
      </c>
      <c r="H156" s="6" t="inlineStr">
        <is>
          <t>1</t>
        </is>
      </c>
      <c r="K156" s="5" t="inlineStr">
        <is>
          <t>From 28-study Table S1 source extraction; zero means not evidenced in extracted record</t>
        </is>
      </c>
      <c r="L156" s="5" t="inlineStr">
        <is>
          <t>https://pubmed.ncbi.nlm.nih.gov/35799896/</t>
        </is>
      </c>
      <c r="M156" s="5" t="inlineStr">
        <is>
          <t>100.0</t>
        </is>
      </c>
      <c r="N156" s="5" t="inlineStr">
        <is>
          <t>YES</t>
        </is>
      </c>
    </row>
    <row r="157">
      <c r="A157" s="6" t="n">
        <v>134</v>
      </c>
      <c r="B157" s="5" t="inlineStr">
        <is>
          <t>S1</t>
        </is>
      </c>
      <c r="C157" s="5" t="inlineStr">
        <is>
          <t>18: PRP-functionalized and vascularized printed wound substitutes</t>
        </is>
      </c>
      <c r="D157" s="5" t="inlineStr">
        <is>
          <t>Functionalizing multi-component bioink with platelet-rich plasma for customized in-situ bilayer bioprinting for wound healing</t>
        </is>
      </c>
      <c r="E157" s="5" t="inlineStr">
        <is>
          <t>10.1016/j.mtbio.2022.100334</t>
        </is>
      </c>
      <c r="F157" s="5" t="inlineStr">
        <is>
          <t>Bioprinted models</t>
        </is>
      </c>
      <c r="G157" s="5" t="inlineStr">
        <is>
          <t>Image/segmentation</t>
        </is>
      </c>
      <c r="H157" s="6" t="inlineStr">
        <is>
          <t>1</t>
        </is>
      </c>
      <c r="K157" s="5" t="inlineStr">
        <is>
          <t>From 28-study Table S1 source extraction; zero means not evidenced in extracted record</t>
        </is>
      </c>
      <c r="L157" s="5" t="inlineStr">
        <is>
          <t>https://pubmed.ncbi.nlm.nih.gov/35799896/</t>
        </is>
      </c>
      <c r="M157" s="5" t="inlineStr">
        <is>
          <t>100.0</t>
        </is>
      </c>
      <c r="N157" s="5" t="inlineStr">
        <is>
          <t>YES</t>
        </is>
      </c>
    </row>
    <row r="158">
      <c r="A158" s="6" t="n">
        <v>134</v>
      </c>
      <c r="B158" s="5" t="inlineStr">
        <is>
          <t>S1</t>
        </is>
      </c>
      <c r="C158" s="5" t="inlineStr">
        <is>
          <t>18: PRP-functionalized and vascularized printed wound substitutes</t>
        </is>
      </c>
      <c r="D158" s="5" t="inlineStr">
        <is>
          <t>Functionalizing multi-component bioink with platelet-rich plasma for customized in-situ bilayer bioprinting for wound healing</t>
        </is>
      </c>
      <c r="E158" s="5" t="inlineStr">
        <is>
          <t>10.1016/j.mtbio.2022.100334</t>
        </is>
      </c>
      <c r="F158" s="5" t="inlineStr">
        <is>
          <t>Bioprinted models</t>
        </is>
      </c>
      <c r="G158" s="5" t="inlineStr">
        <is>
          <t>Barrier/permeability</t>
        </is>
      </c>
      <c r="H158" s="6" t="inlineStr">
        <is>
          <t>0</t>
        </is>
      </c>
      <c r="K158" s="5" t="inlineStr">
        <is>
          <t>From 28-study Table S1 source extraction; zero means not evidenced in extracted record</t>
        </is>
      </c>
      <c r="L158" s="5" t="inlineStr">
        <is>
          <t>https://pubmed.ncbi.nlm.nih.gov/35799896/</t>
        </is>
      </c>
      <c r="M158" s="5" t="inlineStr">
        <is>
          <t>100.0</t>
        </is>
      </c>
      <c r="N158" s="5" t="inlineStr">
        <is>
          <t>YES</t>
        </is>
      </c>
    </row>
    <row r="159">
      <c r="A159" s="6" t="n">
        <v>134</v>
      </c>
      <c r="B159" s="5" t="inlineStr">
        <is>
          <t>S1</t>
        </is>
      </c>
      <c r="C159" s="5" t="inlineStr">
        <is>
          <t>18: PRP-functionalized and vascularized printed wound substitutes</t>
        </is>
      </c>
      <c r="D159" s="5" t="inlineStr">
        <is>
          <t>Functionalizing multi-component bioink with platelet-rich plasma for customized in-situ bilayer bioprinting for wound healing</t>
        </is>
      </c>
      <c r="E159" s="5" t="inlineStr">
        <is>
          <t>10.1016/j.mtbio.2022.100334</t>
        </is>
      </c>
      <c r="F159" s="5" t="inlineStr">
        <is>
          <t>Bioprinted models</t>
        </is>
      </c>
      <c r="G159" s="5" t="inlineStr">
        <is>
          <t>Molecular/inflammatory</t>
        </is>
      </c>
      <c r="H159" s="6" t="inlineStr">
        <is>
          <t>1</t>
        </is>
      </c>
      <c r="K159" s="5" t="inlineStr">
        <is>
          <t>From 28-study Table S1 source extraction; zero means not evidenced in extracted record</t>
        </is>
      </c>
      <c r="L159" s="5" t="inlineStr">
        <is>
          <t>https://pubmed.ncbi.nlm.nih.gov/35799896/</t>
        </is>
      </c>
      <c r="M159" s="5" t="inlineStr">
        <is>
          <t>100.0</t>
        </is>
      </c>
      <c r="N159" s="5" t="inlineStr">
        <is>
          <t>YES</t>
        </is>
      </c>
    </row>
    <row r="160">
      <c r="A160" s="6" t="n">
        <v>134</v>
      </c>
      <c r="B160" s="5" t="inlineStr">
        <is>
          <t>S1</t>
        </is>
      </c>
      <c r="C160" s="5" t="inlineStr">
        <is>
          <t>18: PRP-functionalized and vascularized printed wound substitutes</t>
        </is>
      </c>
      <c r="D160" s="5" t="inlineStr">
        <is>
          <t>Functionalizing multi-component bioink with platelet-rich plasma for customized in-situ bilayer bioprinting for wound healing</t>
        </is>
      </c>
      <c r="E160" s="5" t="inlineStr">
        <is>
          <t>10.1016/j.mtbio.2022.100334</t>
        </is>
      </c>
      <c r="F160" s="5" t="inlineStr">
        <is>
          <t>Bioprinted models</t>
        </is>
      </c>
      <c r="G160" s="5" t="inlineStr">
        <is>
          <t>Histology/IHC</t>
        </is>
      </c>
      <c r="H160" s="6" t="inlineStr">
        <is>
          <t>1</t>
        </is>
      </c>
      <c r="K160" s="5" t="inlineStr">
        <is>
          <t>From 28-study Table S1 source extraction; zero means not evidenced in extracted record</t>
        </is>
      </c>
      <c r="L160" s="5" t="inlineStr">
        <is>
          <t>https://pubmed.ncbi.nlm.nih.gov/35799896/</t>
        </is>
      </c>
      <c r="M160" s="5" t="inlineStr">
        <is>
          <t>100.0</t>
        </is>
      </c>
      <c r="N160" s="5" t="inlineStr">
        <is>
          <t>YES</t>
        </is>
      </c>
    </row>
    <row r="161">
      <c r="A161" s="6" t="n">
        <v>134</v>
      </c>
      <c r="B161" s="5" t="inlineStr">
        <is>
          <t>S1</t>
        </is>
      </c>
      <c r="C161" s="5" t="inlineStr">
        <is>
          <t>18: PRP-functionalized and vascularized printed wound substitutes</t>
        </is>
      </c>
      <c r="D161" s="5" t="inlineStr">
        <is>
          <t>Functionalizing multi-component bioink with platelet-rich plasma for customized in-situ bilayer bioprinting for wound healing</t>
        </is>
      </c>
      <c r="E161" s="5" t="inlineStr">
        <is>
          <t>10.1016/j.mtbio.2022.100334</t>
        </is>
      </c>
      <c r="F161" s="5" t="inlineStr">
        <is>
          <t>Bioprinted models</t>
        </is>
      </c>
      <c r="G161" s="5" t="inlineStr">
        <is>
          <t>Mechanical/material</t>
        </is>
      </c>
      <c r="H161" s="6" t="inlineStr">
        <is>
          <t>1</t>
        </is>
      </c>
      <c r="K161" s="5" t="inlineStr">
        <is>
          <t>From 28-study Table S1 source extraction; zero means not evidenced in extracted record</t>
        </is>
      </c>
      <c r="L161" s="5" t="inlineStr">
        <is>
          <t>https://pubmed.ncbi.nlm.nih.gov/35799896/</t>
        </is>
      </c>
      <c r="M161" s="5" t="inlineStr">
        <is>
          <t>100.0</t>
        </is>
      </c>
      <c r="N161" s="5" t="inlineStr">
        <is>
          <t>YES</t>
        </is>
      </c>
    </row>
    <row r="162">
      <c r="A162" s="6" t="n">
        <v>134</v>
      </c>
      <c r="B162" s="5" t="inlineStr">
        <is>
          <t>S1</t>
        </is>
      </c>
      <c r="C162" s="5" t="inlineStr">
        <is>
          <t>18: PRP-functionalized and vascularized printed wound substitutes</t>
        </is>
      </c>
      <c r="D162" s="5" t="inlineStr">
        <is>
          <t>Functionalizing multi-component bioink with platelet-rich plasma for customized in-situ bilayer bioprinting for wound healing</t>
        </is>
      </c>
      <c r="E162" s="5" t="inlineStr">
        <is>
          <t>10.1016/j.mtbio.2022.100334</t>
        </is>
      </c>
      <c r="F162" s="5" t="inlineStr">
        <is>
          <t>Bioprinted models</t>
        </is>
      </c>
      <c r="G162" s="5" t="inlineStr">
        <is>
          <t>Vascular/perfusion</t>
        </is>
      </c>
      <c r="H162" s="6" t="inlineStr">
        <is>
          <t>1</t>
        </is>
      </c>
      <c r="K162" s="5" t="inlineStr">
        <is>
          <t>From 28-study Table S1 source extraction; zero means not evidenced in extracted record</t>
        </is>
      </c>
      <c r="L162" s="5" t="inlineStr">
        <is>
          <t>https://pubmed.ncbi.nlm.nih.gov/35799896/</t>
        </is>
      </c>
      <c r="M162" s="5" t="inlineStr">
        <is>
          <t>100.0</t>
        </is>
      </c>
      <c r="N162" s="5" t="inlineStr">
        <is>
          <t>YES</t>
        </is>
      </c>
    </row>
    <row r="163">
      <c r="A163" s="6" t="n">
        <v>136</v>
      </c>
      <c r="B163" s="5" t="inlineStr">
        <is>
          <t>S1</t>
        </is>
      </c>
      <c r="C163" s="5" t="inlineStr">
        <is>
          <t>18: PRP-functionalized and vascularized printed wound substitutes</t>
        </is>
      </c>
      <c r="D163" s="5" t="inlineStr">
        <is>
          <t>A bioprinted vascularized skin substitute with fibroblasts, keratinocytes, and endothelial progenitor cells for skin wound healing</t>
        </is>
      </c>
      <c r="E163" s="5" t="inlineStr">
        <is>
          <t>10.1016/j.bprint.2022.e00237</t>
        </is>
      </c>
      <c r="F163" s="5" t="inlineStr">
        <is>
          <t>Bioprinted models</t>
        </is>
      </c>
      <c r="G163" s="5" t="inlineStr">
        <is>
          <t>Longitudinal/time-resolved</t>
        </is>
      </c>
      <c r="H163" s="6" t="inlineStr">
        <is>
          <t>1</t>
        </is>
      </c>
      <c r="K163" s="5" t="inlineStr">
        <is>
          <t>From 28-study Table S1 source extraction; zero means not evidenced in extracted record</t>
        </is>
      </c>
      <c r="L163" s="5" t="inlineStr">
        <is>
          <t>https://www.sciencedirect.com/science/article/pii/S2405886622000471</t>
        </is>
      </c>
      <c r="M163" s="5" t="inlineStr">
        <is>
          <t>100.0</t>
        </is>
      </c>
      <c r="N163" s="5" t="inlineStr">
        <is>
          <t>YES</t>
        </is>
      </c>
    </row>
    <row r="164">
      <c r="A164" s="6" t="n">
        <v>136</v>
      </c>
      <c r="B164" s="5" t="inlineStr">
        <is>
          <t>S1</t>
        </is>
      </c>
      <c r="C164" s="5" t="inlineStr">
        <is>
          <t>18: PRP-functionalized and vascularized printed wound substitutes</t>
        </is>
      </c>
      <c r="D164" s="5" t="inlineStr">
        <is>
          <t>A bioprinted vascularized skin substitute with fibroblasts, keratinocytes, and endothelial progenitor cells for skin wound healing</t>
        </is>
      </c>
      <c r="E164" s="5" t="inlineStr">
        <is>
          <t>10.1016/j.bprint.2022.e00237</t>
        </is>
      </c>
      <c r="F164" s="5" t="inlineStr">
        <is>
          <t>Bioprinted models</t>
        </is>
      </c>
      <c r="G164" s="5" t="inlineStr">
        <is>
          <t>Image/segmentation</t>
        </is>
      </c>
      <c r="H164" s="6" t="inlineStr">
        <is>
          <t>1</t>
        </is>
      </c>
      <c r="K164" s="5" t="inlineStr">
        <is>
          <t>From 28-study Table S1 source extraction; zero means not evidenced in extracted record</t>
        </is>
      </c>
      <c r="L164" s="5" t="inlineStr">
        <is>
          <t>https://www.sciencedirect.com/science/article/pii/S2405886622000471</t>
        </is>
      </c>
      <c r="M164" s="5" t="inlineStr">
        <is>
          <t>100.0</t>
        </is>
      </c>
      <c r="N164" s="5" t="inlineStr">
        <is>
          <t>YES</t>
        </is>
      </c>
    </row>
    <row r="165">
      <c r="A165" s="6" t="n">
        <v>136</v>
      </c>
      <c r="B165" s="5" t="inlineStr">
        <is>
          <t>S1</t>
        </is>
      </c>
      <c r="C165" s="5" t="inlineStr">
        <is>
          <t>18: PRP-functionalized and vascularized printed wound substitutes</t>
        </is>
      </c>
      <c r="D165" s="5" t="inlineStr">
        <is>
          <t>A bioprinted vascularized skin substitute with fibroblasts, keratinocytes, and endothelial progenitor cells for skin wound healing</t>
        </is>
      </c>
      <c r="E165" s="5" t="inlineStr">
        <is>
          <t>10.1016/j.bprint.2022.e00237</t>
        </is>
      </c>
      <c r="F165" s="5" t="inlineStr">
        <is>
          <t>Bioprinted models</t>
        </is>
      </c>
      <c r="G165" s="5" t="inlineStr">
        <is>
          <t>Barrier/permeability</t>
        </is>
      </c>
      <c r="H165" s="6" t="inlineStr">
        <is>
          <t>0</t>
        </is>
      </c>
      <c r="K165" s="5" t="inlineStr">
        <is>
          <t>From 28-study Table S1 source extraction; zero means not evidenced in extracted record</t>
        </is>
      </c>
      <c r="L165" s="5" t="inlineStr">
        <is>
          <t>https://www.sciencedirect.com/science/article/pii/S2405886622000471</t>
        </is>
      </c>
      <c r="M165" s="5" t="inlineStr">
        <is>
          <t>100.0</t>
        </is>
      </c>
      <c r="N165" s="5" t="inlineStr">
        <is>
          <t>YES</t>
        </is>
      </c>
    </row>
    <row r="166">
      <c r="A166" s="6" t="n">
        <v>136</v>
      </c>
      <c r="B166" s="5" t="inlineStr">
        <is>
          <t>S1</t>
        </is>
      </c>
      <c r="C166" s="5" t="inlineStr">
        <is>
          <t>18: PRP-functionalized and vascularized printed wound substitutes</t>
        </is>
      </c>
      <c r="D166" s="5" t="inlineStr">
        <is>
          <t>A bioprinted vascularized skin substitute with fibroblasts, keratinocytes, and endothelial progenitor cells for skin wound healing</t>
        </is>
      </c>
      <c r="E166" s="5" t="inlineStr">
        <is>
          <t>10.1016/j.bprint.2022.e00237</t>
        </is>
      </c>
      <c r="F166" s="5" t="inlineStr">
        <is>
          <t>Bioprinted models</t>
        </is>
      </c>
      <c r="G166" s="5" t="inlineStr">
        <is>
          <t>Molecular/inflammatory</t>
        </is>
      </c>
      <c r="H166" s="6" t="inlineStr">
        <is>
          <t>1</t>
        </is>
      </c>
      <c r="K166" s="5" t="inlineStr">
        <is>
          <t>From 28-study Table S1 source extraction; zero means not evidenced in extracted record</t>
        </is>
      </c>
      <c r="L166" s="5" t="inlineStr">
        <is>
          <t>https://www.sciencedirect.com/science/article/pii/S2405886622000471</t>
        </is>
      </c>
      <c r="M166" s="5" t="inlineStr">
        <is>
          <t>100.0</t>
        </is>
      </c>
      <c r="N166" s="5" t="inlineStr">
        <is>
          <t>YES</t>
        </is>
      </c>
    </row>
    <row r="167">
      <c r="A167" s="6" t="n">
        <v>136</v>
      </c>
      <c r="B167" s="5" t="inlineStr">
        <is>
          <t>S1</t>
        </is>
      </c>
      <c r="C167" s="5" t="inlineStr">
        <is>
          <t>18: PRP-functionalized and vascularized printed wound substitutes</t>
        </is>
      </c>
      <c r="D167" s="5" t="inlineStr">
        <is>
          <t>A bioprinted vascularized skin substitute with fibroblasts, keratinocytes, and endothelial progenitor cells for skin wound healing</t>
        </is>
      </c>
      <c r="E167" s="5" t="inlineStr">
        <is>
          <t>10.1016/j.bprint.2022.e00237</t>
        </is>
      </c>
      <c r="F167" s="5" t="inlineStr">
        <is>
          <t>Bioprinted models</t>
        </is>
      </c>
      <c r="G167" s="5" t="inlineStr">
        <is>
          <t>Histology/IHC</t>
        </is>
      </c>
      <c r="H167" s="6" t="inlineStr">
        <is>
          <t>1</t>
        </is>
      </c>
      <c r="K167" s="5" t="inlineStr">
        <is>
          <t>From 28-study Table S1 source extraction; zero means not evidenced in extracted record</t>
        </is>
      </c>
      <c r="L167" s="5" t="inlineStr">
        <is>
          <t>https://www.sciencedirect.com/science/article/pii/S2405886622000471</t>
        </is>
      </c>
      <c r="M167" s="5" t="inlineStr">
        <is>
          <t>100.0</t>
        </is>
      </c>
      <c r="N167" s="5" t="inlineStr">
        <is>
          <t>YES</t>
        </is>
      </c>
    </row>
    <row r="168">
      <c r="A168" s="6" t="n">
        <v>136</v>
      </c>
      <c r="B168" s="5" t="inlineStr">
        <is>
          <t>S1</t>
        </is>
      </c>
      <c r="C168" s="5" t="inlineStr">
        <is>
          <t>18: PRP-functionalized and vascularized printed wound substitutes</t>
        </is>
      </c>
      <c r="D168" s="5" t="inlineStr">
        <is>
          <t>A bioprinted vascularized skin substitute with fibroblasts, keratinocytes, and endothelial progenitor cells for skin wound healing</t>
        </is>
      </c>
      <c r="E168" s="5" t="inlineStr">
        <is>
          <t>10.1016/j.bprint.2022.e00237</t>
        </is>
      </c>
      <c r="F168" s="5" t="inlineStr">
        <is>
          <t>Bioprinted models</t>
        </is>
      </c>
      <c r="G168" s="5" t="inlineStr">
        <is>
          <t>Mechanical/material</t>
        </is>
      </c>
      <c r="H168" s="6" t="inlineStr">
        <is>
          <t>1</t>
        </is>
      </c>
      <c r="K168" s="5" t="inlineStr">
        <is>
          <t>From 28-study Table S1 source extraction; zero means not evidenced in extracted record</t>
        </is>
      </c>
      <c r="L168" s="5" t="inlineStr">
        <is>
          <t>https://www.sciencedirect.com/science/article/pii/S2405886622000471</t>
        </is>
      </c>
      <c r="M168" s="5" t="inlineStr">
        <is>
          <t>100.0</t>
        </is>
      </c>
      <c r="N168" s="5" t="inlineStr">
        <is>
          <t>YES</t>
        </is>
      </c>
    </row>
    <row r="169">
      <c r="A169" s="6" t="n">
        <v>136</v>
      </c>
      <c r="B169" s="5" t="inlineStr">
        <is>
          <t>S1</t>
        </is>
      </c>
      <c r="C169" s="5" t="inlineStr">
        <is>
          <t>18: PRP-functionalized and vascularized printed wound substitutes</t>
        </is>
      </c>
      <c r="D169" s="5" t="inlineStr">
        <is>
          <t>A bioprinted vascularized skin substitute with fibroblasts, keratinocytes, and endothelial progenitor cells for skin wound healing</t>
        </is>
      </c>
      <c r="E169" s="5" t="inlineStr">
        <is>
          <t>10.1016/j.bprint.2022.e00237</t>
        </is>
      </c>
      <c r="F169" s="5" t="inlineStr">
        <is>
          <t>Bioprinted models</t>
        </is>
      </c>
      <c r="G169" s="5" t="inlineStr">
        <is>
          <t>Vascular/perfusion</t>
        </is>
      </c>
      <c r="H169" s="6" t="inlineStr">
        <is>
          <t>1</t>
        </is>
      </c>
      <c r="K169" s="5" t="inlineStr">
        <is>
          <t>From 28-study Table S1 source extraction; zero means not evidenced in extracted record</t>
        </is>
      </c>
      <c r="L169" s="5" t="inlineStr">
        <is>
          <t>https://www.sciencedirect.com/science/article/pii/S2405886622000471</t>
        </is>
      </c>
      <c r="M169" s="5" t="inlineStr">
        <is>
          <t>100.0</t>
        </is>
      </c>
      <c r="N169" s="5" t="inlineStr">
        <is>
          <t>YES</t>
        </is>
      </c>
    </row>
    <row r="170">
      <c r="A170" s="6" t="n">
        <v>137</v>
      </c>
      <c r="B170" s="5" t="inlineStr">
        <is>
          <t>S1</t>
        </is>
      </c>
      <c r="C170" s="5" t="inlineStr">
        <is>
          <t>18: PRP-functionalized and vascularized printed wound substitutes</t>
        </is>
      </c>
      <c r="D170" s="5" t="inlineStr">
        <is>
          <t>Three dimensional bioprinting of a vascularized and perfusable skin graft using human keratinocytes, fibroblasts, pericytes, and endothelial cells</t>
        </is>
      </c>
      <c r="E170" s="5" t="inlineStr">
        <is>
          <t>10.1089/ten.TEA.2019.0201</t>
        </is>
      </c>
      <c r="F170" s="5" t="inlineStr">
        <is>
          <t>Bioprinted models</t>
        </is>
      </c>
      <c r="G170" s="5" t="inlineStr">
        <is>
          <t>Longitudinal/time-resolved</t>
        </is>
      </c>
      <c r="H170" s="6" t="inlineStr">
        <is>
          <t>1</t>
        </is>
      </c>
      <c r="K170" s="5" t="inlineStr">
        <is>
          <t>From 28-study Table S1 source extraction; zero means not evidenced in extracted record</t>
        </is>
      </c>
      <c r="L170" s="5" t="inlineStr">
        <is>
          <t>https://pmc.ncbi.nlm.nih.gov/articles/PMC7476394/</t>
        </is>
      </c>
      <c r="M170" s="5" t="inlineStr">
        <is>
          <t>100.0</t>
        </is>
      </c>
      <c r="N170" s="5" t="inlineStr">
        <is>
          <t>YES</t>
        </is>
      </c>
    </row>
    <row r="171">
      <c r="A171" s="6" t="n">
        <v>137</v>
      </c>
      <c r="B171" s="5" t="inlineStr">
        <is>
          <t>S1</t>
        </is>
      </c>
      <c r="C171" s="5" t="inlineStr">
        <is>
          <t>18: PRP-functionalized and vascularized printed wound substitutes</t>
        </is>
      </c>
      <c r="D171" s="5" t="inlineStr">
        <is>
          <t>Three dimensional bioprinting of a vascularized and perfusable skin graft using human keratinocytes, fibroblasts, pericytes, and endothelial cells</t>
        </is>
      </c>
      <c r="E171" s="5" t="inlineStr">
        <is>
          <t>10.1089/ten.TEA.2019.0201</t>
        </is>
      </c>
      <c r="F171" s="5" t="inlineStr">
        <is>
          <t>Bioprinted models</t>
        </is>
      </c>
      <c r="G171" s="5" t="inlineStr">
        <is>
          <t>Image/segmentation</t>
        </is>
      </c>
      <c r="H171" s="6" t="inlineStr">
        <is>
          <t>1</t>
        </is>
      </c>
      <c r="K171" s="5" t="inlineStr">
        <is>
          <t>From 28-study Table S1 source extraction; zero means not evidenced in extracted record</t>
        </is>
      </c>
      <c r="L171" s="5" t="inlineStr">
        <is>
          <t>https://pmc.ncbi.nlm.nih.gov/articles/PMC7476394/</t>
        </is>
      </c>
      <c r="M171" s="5" t="inlineStr">
        <is>
          <t>100.0</t>
        </is>
      </c>
      <c r="N171" s="5" t="inlineStr">
        <is>
          <t>YES</t>
        </is>
      </c>
    </row>
    <row r="172">
      <c r="A172" s="6" t="n">
        <v>137</v>
      </c>
      <c r="B172" s="5" t="inlineStr">
        <is>
          <t>S1</t>
        </is>
      </c>
      <c r="C172" s="5" t="inlineStr">
        <is>
          <t>18: PRP-functionalized and vascularized printed wound substitutes</t>
        </is>
      </c>
      <c r="D172" s="5" t="inlineStr">
        <is>
          <t>Three dimensional bioprinting of a vascularized and perfusable skin graft using human keratinocytes, fibroblasts, pericytes, and endothelial cells</t>
        </is>
      </c>
      <c r="E172" s="5" t="inlineStr">
        <is>
          <t>10.1089/ten.TEA.2019.0201</t>
        </is>
      </c>
      <c r="F172" s="5" t="inlineStr">
        <is>
          <t>Bioprinted models</t>
        </is>
      </c>
      <c r="G172" s="5" t="inlineStr">
        <is>
          <t>Barrier/permeability</t>
        </is>
      </c>
      <c r="H172" s="6" t="inlineStr">
        <is>
          <t>0</t>
        </is>
      </c>
      <c r="K172" s="5" t="inlineStr">
        <is>
          <t>From 28-study Table S1 source extraction; zero means not evidenced in extracted record</t>
        </is>
      </c>
      <c r="L172" s="5" t="inlineStr">
        <is>
          <t>https://pmc.ncbi.nlm.nih.gov/articles/PMC7476394/</t>
        </is>
      </c>
      <c r="M172" s="5" t="inlineStr">
        <is>
          <t>100.0</t>
        </is>
      </c>
      <c r="N172" s="5" t="inlineStr">
        <is>
          <t>YES</t>
        </is>
      </c>
    </row>
    <row r="173">
      <c r="A173" s="6" t="n">
        <v>137</v>
      </c>
      <c r="B173" s="5" t="inlineStr">
        <is>
          <t>S1</t>
        </is>
      </c>
      <c r="C173" s="5" t="inlineStr">
        <is>
          <t>18: PRP-functionalized and vascularized printed wound substitutes</t>
        </is>
      </c>
      <c r="D173" s="5" t="inlineStr">
        <is>
          <t>Three dimensional bioprinting of a vascularized and perfusable skin graft using human keratinocytes, fibroblasts, pericytes, and endothelial cells</t>
        </is>
      </c>
      <c r="E173" s="5" t="inlineStr">
        <is>
          <t>10.1089/ten.TEA.2019.0201</t>
        </is>
      </c>
      <c r="F173" s="5" t="inlineStr">
        <is>
          <t>Bioprinted models</t>
        </is>
      </c>
      <c r="G173" s="5" t="inlineStr">
        <is>
          <t>Molecular/inflammatory</t>
        </is>
      </c>
      <c r="H173" s="6" t="inlineStr">
        <is>
          <t>1</t>
        </is>
      </c>
      <c r="K173" s="5" t="inlineStr">
        <is>
          <t>From 28-study Table S1 source extraction; zero means not evidenced in extracted record</t>
        </is>
      </c>
      <c r="L173" s="5" t="inlineStr">
        <is>
          <t>https://pmc.ncbi.nlm.nih.gov/articles/PMC7476394/</t>
        </is>
      </c>
      <c r="M173" s="5" t="inlineStr">
        <is>
          <t>100.0</t>
        </is>
      </c>
      <c r="N173" s="5" t="inlineStr">
        <is>
          <t>YES</t>
        </is>
      </c>
    </row>
    <row r="174">
      <c r="A174" s="6" t="n">
        <v>137</v>
      </c>
      <c r="B174" s="5" t="inlineStr">
        <is>
          <t>S1</t>
        </is>
      </c>
      <c r="C174" s="5" t="inlineStr">
        <is>
          <t>18: PRP-functionalized and vascularized printed wound substitutes</t>
        </is>
      </c>
      <c r="D174" s="5" t="inlineStr">
        <is>
          <t>Three dimensional bioprinting of a vascularized and perfusable skin graft using human keratinocytes, fibroblasts, pericytes, and endothelial cells</t>
        </is>
      </c>
      <c r="E174" s="5" t="inlineStr">
        <is>
          <t>10.1089/ten.TEA.2019.0201</t>
        </is>
      </c>
      <c r="F174" s="5" t="inlineStr">
        <is>
          <t>Bioprinted models</t>
        </is>
      </c>
      <c r="G174" s="5" t="inlineStr">
        <is>
          <t>Histology/IHC</t>
        </is>
      </c>
      <c r="H174" s="6" t="inlineStr">
        <is>
          <t>1</t>
        </is>
      </c>
      <c r="K174" s="5" t="inlineStr">
        <is>
          <t>From 28-study Table S1 source extraction; zero means not evidenced in extracted record</t>
        </is>
      </c>
      <c r="L174" s="5" t="inlineStr">
        <is>
          <t>https://pmc.ncbi.nlm.nih.gov/articles/PMC7476394/</t>
        </is>
      </c>
      <c r="M174" s="5" t="inlineStr">
        <is>
          <t>100.0</t>
        </is>
      </c>
      <c r="N174" s="5" t="inlineStr">
        <is>
          <t>YES</t>
        </is>
      </c>
    </row>
    <row r="175">
      <c r="A175" s="6" t="n">
        <v>137</v>
      </c>
      <c r="B175" s="5" t="inlineStr">
        <is>
          <t>S1</t>
        </is>
      </c>
      <c r="C175" s="5" t="inlineStr">
        <is>
          <t>18: PRP-functionalized and vascularized printed wound substitutes</t>
        </is>
      </c>
      <c r="D175" s="5" t="inlineStr">
        <is>
          <t>Three dimensional bioprinting of a vascularized and perfusable skin graft using human keratinocytes, fibroblasts, pericytes, and endothelial cells</t>
        </is>
      </c>
      <c r="E175" s="5" t="inlineStr">
        <is>
          <t>10.1089/ten.TEA.2019.0201</t>
        </is>
      </c>
      <c r="F175" s="5" t="inlineStr">
        <is>
          <t>Bioprinted models</t>
        </is>
      </c>
      <c r="G175" s="5" t="inlineStr">
        <is>
          <t>Mechanical/material</t>
        </is>
      </c>
      <c r="H175" s="6" t="inlineStr">
        <is>
          <t>0</t>
        </is>
      </c>
      <c r="K175" s="5" t="inlineStr">
        <is>
          <t>From 28-study Table S1 source extraction; zero means not evidenced in extracted record</t>
        </is>
      </c>
      <c r="L175" s="5" t="inlineStr">
        <is>
          <t>https://pmc.ncbi.nlm.nih.gov/articles/PMC7476394/</t>
        </is>
      </c>
      <c r="M175" s="5" t="inlineStr">
        <is>
          <t>100.0</t>
        </is>
      </c>
      <c r="N175" s="5" t="inlineStr">
        <is>
          <t>YES</t>
        </is>
      </c>
    </row>
    <row r="176">
      <c r="A176" s="6" t="n">
        <v>137</v>
      </c>
      <c r="B176" s="5" t="inlineStr">
        <is>
          <t>S1</t>
        </is>
      </c>
      <c r="C176" s="5" t="inlineStr">
        <is>
          <t>18: PRP-functionalized and vascularized printed wound substitutes</t>
        </is>
      </c>
      <c r="D176" s="5" t="inlineStr">
        <is>
          <t>Three dimensional bioprinting of a vascularized and perfusable skin graft using human keratinocytes, fibroblasts, pericytes, and endothelial cells</t>
        </is>
      </c>
      <c r="E176" s="5" t="inlineStr">
        <is>
          <t>10.1089/ten.TEA.2019.0201</t>
        </is>
      </c>
      <c r="F176" s="5" t="inlineStr">
        <is>
          <t>Bioprinted models</t>
        </is>
      </c>
      <c r="G176" s="5" t="inlineStr">
        <is>
          <t>Vascular/perfusion</t>
        </is>
      </c>
      <c r="H176" s="6" t="inlineStr">
        <is>
          <t>1</t>
        </is>
      </c>
      <c r="K176" s="5" t="inlineStr">
        <is>
          <t>From 28-study Table S1 source extraction; zero means not evidenced in extracted record</t>
        </is>
      </c>
      <c r="L176" s="5" t="inlineStr">
        <is>
          <t>https://pmc.ncbi.nlm.nih.gov/articles/PMC7476394/</t>
        </is>
      </c>
      <c r="M176" s="5" t="inlineStr">
        <is>
          <t>100.0</t>
        </is>
      </c>
      <c r="N176" s="5" t="inlineStr">
        <is>
          <t>YES</t>
        </is>
      </c>
    </row>
    <row r="177">
      <c r="A177" s="6" t="n">
        <v>138</v>
      </c>
      <c r="B177" s="5" t="inlineStr">
        <is>
          <t>S1</t>
        </is>
      </c>
      <c r="C177" s="5" t="inlineStr">
        <is>
          <t>18: PRP-functionalized and vascularized printed wound substitutes</t>
        </is>
      </c>
      <c r="D177" s="5" t="inlineStr">
        <is>
          <t>3D bioprinting bioglass to construct vascularized full-thickness skin substitutes for wound healing</t>
        </is>
      </c>
      <c r="E177" s="5" t="inlineStr">
        <is>
          <t>10.1016/j.mtbio.2023.100899</t>
        </is>
      </c>
      <c r="F177" s="5" t="inlineStr">
        <is>
          <t>Bioprinted models</t>
        </is>
      </c>
      <c r="G177" s="5" t="inlineStr">
        <is>
          <t>Longitudinal/time-resolved</t>
        </is>
      </c>
      <c r="H177" s="6" t="inlineStr">
        <is>
          <t>1</t>
        </is>
      </c>
      <c r="K177" s="5" t="inlineStr">
        <is>
          <t>From 28-study Table S1 source extraction; zero means not evidenced in extracted record</t>
        </is>
      </c>
      <c r="L177" s="5" t="inlineStr">
        <is>
          <t>https://pmc.ncbi.nlm.nih.gov/articles/PMC10770530/</t>
        </is>
      </c>
      <c r="M177" s="5" t="inlineStr">
        <is>
          <t>100.0</t>
        </is>
      </c>
      <c r="N177" s="5" t="inlineStr">
        <is>
          <t>YES</t>
        </is>
      </c>
    </row>
    <row r="178">
      <c r="A178" s="6" t="n">
        <v>138</v>
      </c>
      <c r="B178" s="5" t="inlineStr">
        <is>
          <t>S1</t>
        </is>
      </c>
      <c r="C178" s="5" t="inlineStr">
        <is>
          <t>18: PRP-functionalized and vascularized printed wound substitutes</t>
        </is>
      </c>
      <c r="D178" s="5" t="inlineStr">
        <is>
          <t>3D bioprinting bioglass to construct vascularized full-thickness skin substitutes for wound healing</t>
        </is>
      </c>
      <c r="E178" s="5" t="inlineStr">
        <is>
          <t>10.1016/j.mtbio.2023.100899</t>
        </is>
      </c>
      <c r="F178" s="5" t="inlineStr">
        <is>
          <t>Bioprinted models</t>
        </is>
      </c>
      <c r="G178" s="5" t="inlineStr">
        <is>
          <t>Image/segmentation</t>
        </is>
      </c>
      <c r="H178" s="6" t="inlineStr">
        <is>
          <t>1</t>
        </is>
      </c>
      <c r="K178" s="5" t="inlineStr">
        <is>
          <t>From 28-study Table S1 source extraction; zero means not evidenced in extracted record</t>
        </is>
      </c>
      <c r="L178" s="5" t="inlineStr">
        <is>
          <t>https://pmc.ncbi.nlm.nih.gov/articles/PMC10770530/</t>
        </is>
      </c>
      <c r="M178" s="5" t="inlineStr">
        <is>
          <t>100.0</t>
        </is>
      </c>
      <c r="N178" s="5" t="inlineStr">
        <is>
          <t>YES</t>
        </is>
      </c>
    </row>
    <row r="179">
      <c r="A179" s="6" t="n">
        <v>138</v>
      </c>
      <c r="B179" s="5" t="inlineStr">
        <is>
          <t>S1</t>
        </is>
      </c>
      <c r="C179" s="5" t="inlineStr">
        <is>
          <t>18: PRP-functionalized and vascularized printed wound substitutes</t>
        </is>
      </c>
      <c r="D179" s="5" t="inlineStr">
        <is>
          <t>3D bioprinting bioglass to construct vascularized full-thickness skin substitutes for wound healing</t>
        </is>
      </c>
      <c r="E179" s="5" t="inlineStr">
        <is>
          <t>10.1016/j.mtbio.2023.100899</t>
        </is>
      </c>
      <c r="F179" s="5" t="inlineStr">
        <is>
          <t>Bioprinted models</t>
        </is>
      </c>
      <c r="G179" s="5" t="inlineStr">
        <is>
          <t>Barrier/permeability</t>
        </is>
      </c>
      <c r="H179" s="6" t="inlineStr">
        <is>
          <t>0</t>
        </is>
      </c>
      <c r="K179" s="5" t="inlineStr">
        <is>
          <t>From 28-study Table S1 source extraction; zero means not evidenced in extracted record</t>
        </is>
      </c>
      <c r="L179" s="5" t="inlineStr">
        <is>
          <t>https://pmc.ncbi.nlm.nih.gov/articles/PMC10770530/</t>
        </is>
      </c>
      <c r="M179" s="5" t="inlineStr">
        <is>
          <t>100.0</t>
        </is>
      </c>
      <c r="N179" s="5" t="inlineStr">
        <is>
          <t>YES</t>
        </is>
      </c>
    </row>
    <row r="180">
      <c r="A180" s="6" t="n">
        <v>138</v>
      </c>
      <c r="B180" s="5" t="inlineStr">
        <is>
          <t>S1</t>
        </is>
      </c>
      <c r="C180" s="5" t="inlineStr">
        <is>
          <t>18: PRP-functionalized and vascularized printed wound substitutes</t>
        </is>
      </c>
      <c r="D180" s="5" t="inlineStr">
        <is>
          <t>3D bioprinting bioglass to construct vascularized full-thickness skin substitutes for wound healing</t>
        </is>
      </c>
      <c r="E180" s="5" t="inlineStr">
        <is>
          <t>10.1016/j.mtbio.2023.100899</t>
        </is>
      </c>
      <c r="F180" s="5" t="inlineStr">
        <is>
          <t>Bioprinted models</t>
        </is>
      </c>
      <c r="G180" s="5" t="inlineStr">
        <is>
          <t>Molecular/inflammatory</t>
        </is>
      </c>
      <c r="H180" s="6" t="inlineStr">
        <is>
          <t>1</t>
        </is>
      </c>
      <c r="K180" s="5" t="inlineStr">
        <is>
          <t>From 28-study Table S1 source extraction; zero means not evidenced in extracted record</t>
        </is>
      </c>
      <c r="L180" s="5" t="inlineStr">
        <is>
          <t>https://pmc.ncbi.nlm.nih.gov/articles/PMC10770530/</t>
        </is>
      </c>
      <c r="M180" s="5" t="inlineStr">
        <is>
          <t>100.0</t>
        </is>
      </c>
      <c r="N180" s="5" t="inlineStr">
        <is>
          <t>YES</t>
        </is>
      </c>
    </row>
    <row r="181">
      <c r="A181" s="6" t="n">
        <v>138</v>
      </c>
      <c r="B181" s="5" t="inlineStr">
        <is>
          <t>S1</t>
        </is>
      </c>
      <c r="C181" s="5" t="inlineStr">
        <is>
          <t>18: PRP-functionalized and vascularized printed wound substitutes</t>
        </is>
      </c>
      <c r="D181" s="5" t="inlineStr">
        <is>
          <t>3D bioprinting bioglass to construct vascularized full-thickness skin substitutes for wound healing</t>
        </is>
      </c>
      <c r="E181" s="5" t="inlineStr">
        <is>
          <t>10.1016/j.mtbio.2023.100899</t>
        </is>
      </c>
      <c r="F181" s="5" t="inlineStr">
        <is>
          <t>Bioprinted models</t>
        </is>
      </c>
      <c r="G181" s="5" t="inlineStr">
        <is>
          <t>Histology/IHC</t>
        </is>
      </c>
      <c r="H181" s="6" t="inlineStr">
        <is>
          <t>1</t>
        </is>
      </c>
      <c r="K181" s="5" t="inlineStr">
        <is>
          <t>From 28-study Table S1 source extraction; zero means not evidenced in extracted record</t>
        </is>
      </c>
      <c r="L181" s="5" t="inlineStr">
        <is>
          <t>https://pmc.ncbi.nlm.nih.gov/articles/PMC10770530/</t>
        </is>
      </c>
      <c r="M181" s="5" t="inlineStr">
        <is>
          <t>100.0</t>
        </is>
      </c>
      <c r="N181" s="5" t="inlineStr">
        <is>
          <t>YES</t>
        </is>
      </c>
    </row>
    <row r="182">
      <c r="A182" s="6" t="n">
        <v>138</v>
      </c>
      <c r="B182" s="5" t="inlineStr">
        <is>
          <t>S1</t>
        </is>
      </c>
      <c r="C182" s="5" t="inlineStr">
        <is>
          <t>18: PRP-functionalized and vascularized printed wound substitutes</t>
        </is>
      </c>
      <c r="D182" s="5" t="inlineStr">
        <is>
          <t>3D bioprinting bioglass to construct vascularized full-thickness skin substitutes for wound healing</t>
        </is>
      </c>
      <c r="E182" s="5" t="inlineStr">
        <is>
          <t>10.1016/j.mtbio.2023.100899</t>
        </is>
      </c>
      <c r="F182" s="5" t="inlineStr">
        <is>
          <t>Bioprinted models</t>
        </is>
      </c>
      <c r="G182" s="5" t="inlineStr">
        <is>
          <t>Mechanical/material</t>
        </is>
      </c>
      <c r="H182" s="6" t="inlineStr">
        <is>
          <t>1</t>
        </is>
      </c>
      <c r="K182" s="5" t="inlineStr">
        <is>
          <t>From 28-study Table S1 source extraction; zero means not evidenced in extracted record</t>
        </is>
      </c>
      <c r="L182" s="5" t="inlineStr">
        <is>
          <t>https://pmc.ncbi.nlm.nih.gov/articles/PMC10770530/</t>
        </is>
      </c>
      <c r="M182" s="5" t="inlineStr">
        <is>
          <t>100.0</t>
        </is>
      </c>
      <c r="N182" s="5" t="inlineStr">
        <is>
          <t>YES</t>
        </is>
      </c>
    </row>
    <row r="183">
      <c r="A183" s="6" t="n">
        <v>138</v>
      </c>
      <c r="B183" s="5" t="inlineStr">
        <is>
          <t>S1</t>
        </is>
      </c>
      <c r="C183" s="5" t="inlineStr">
        <is>
          <t>18: PRP-functionalized and vascularized printed wound substitutes</t>
        </is>
      </c>
      <c r="D183" s="5" t="inlineStr">
        <is>
          <t>3D bioprinting bioglass to construct vascularized full-thickness skin substitutes for wound healing</t>
        </is>
      </c>
      <c r="E183" s="5" t="inlineStr">
        <is>
          <t>10.1016/j.mtbio.2023.100899</t>
        </is>
      </c>
      <c r="F183" s="5" t="inlineStr">
        <is>
          <t>Bioprinted models</t>
        </is>
      </c>
      <c r="G183" s="5" t="inlineStr">
        <is>
          <t>Vascular/perfusion</t>
        </is>
      </c>
      <c r="H183" s="6" t="inlineStr">
        <is>
          <t>1</t>
        </is>
      </c>
      <c r="K183" s="5" t="inlineStr">
        <is>
          <t>From 28-study Table S1 source extraction; zero means not evidenced in extracted record</t>
        </is>
      </c>
      <c r="L183" s="5" t="inlineStr">
        <is>
          <t>https://pmc.ncbi.nlm.nih.gov/articles/PMC10770530/</t>
        </is>
      </c>
      <c r="M183" s="5" t="inlineStr">
        <is>
          <t>100.0</t>
        </is>
      </c>
      <c r="N183" s="5" t="inlineStr">
        <is>
          <t>YES</t>
        </is>
      </c>
    </row>
    <row r="184">
      <c r="A184" s="6" t="n">
        <v>140</v>
      </c>
      <c r="B184" s="5" t="inlineStr">
        <is>
          <t>S1</t>
        </is>
      </c>
      <c r="C184" s="5" t="inlineStr">
        <is>
          <t>13: Controlled injury and inflammatory 3D wound models</t>
        </is>
      </c>
      <c r="D184" s="5" t="inlineStr">
        <is>
          <t>Macrophages significantly enhance wound healing in a vascularized skin model</t>
        </is>
      </c>
      <c r="E184" s="5" t="inlineStr">
        <is>
          <t>10.1002/jbm.a.36648</t>
        </is>
      </c>
      <c r="F184" s="5" t="inlineStr">
        <is>
          <t>3D wound models</t>
        </is>
      </c>
      <c r="G184" s="5" t="inlineStr">
        <is>
          <t>Longitudinal/time-resolved</t>
        </is>
      </c>
      <c r="H184" s="6" t="inlineStr">
        <is>
          <t>1</t>
        </is>
      </c>
      <c r="K184" s="5" t="inlineStr">
        <is>
          <t>From 28-study Table S1 source extraction; zero means not evidenced in extracted record</t>
        </is>
      </c>
      <c r="L184" s="5" t="inlineStr">
        <is>
          <t>https://pubmed.ncbi.nlm.nih.gov/30724457/</t>
        </is>
      </c>
      <c r="M184" s="5" t="inlineStr">
        <is>
          <t>100.0</t>
        </is>
      </c>
      <c r="N184" s="5" t="inlineStr">
        <is>
          <t>YES</t>
        </is>
      </c>
    </row>
    <row r="185">
      <c r="A185" s="6" t="n">
        <v>140</v>
      </c>
      <c r="B185" s="5" t="inlineStr">
        <is>
          <t>S1</t>
        </is>
      </c>
      <c r="C185" s="5" t="inlineStr">
        <is>
          <t>13: Controlled injury and inflammatory 3D wound models</t>
        </is>
      </c>
      <c r="D185" s="5" t="inlineStr">
        <is>
          <t>Macrophages significantly enhance wound healing in a vascularized skin model</t>
        </is>
      </c>
      <c r="E185" s="5" t="inlineStr">
        <is>
          <t>10.1002/jbm.a.36648</t>
        </is>
      </c>
      <c r="F185" s="5" t="inlineStr">
        <is>
          <t>3D wound models</t>
        </is>
      </c>
      <c r="G185" s="5" t="inlineStr">
        <is>
          <t>Image/segmentation</t>
        </is>
      </c>
      <c r="H185" s="6" t="inlineStr">
        <is>
          <t>1</t>
        </is>
      </c>
      <c r="K185" s="5" t="inlineStr">
        <is>
          <t>From 28-study Table S1 source extraction; zero means not evidenced in extracted record</t>
        </is>
      </c>
      <c r="L185" s="5" t="inlineStr">
        <is>
          <t>https://pubmed.ncbi.nlm.nih.gov/30724457/</t>
        </is>
      </c>
      <c r="M185" s="5" t="inlineStr">
        <is>
          <t>100.0</t>
        </is>
      </c>
      <c r="N185" s="5" t="inlineStr">
        <is>
          <t>YES</t>
        </is>
      </c>
    </row>
    <row r="186">
      <c r="A186" s="6" t="n">
        <v>140</v>
      </c>
      <c r="B186" s="5" t="inlineStr">
        <is>
          <t>S1</t>
        </is>
      </c>
      <c r="C186" s="5" t="inlineStr">
        <is>
          <t>13: Controlled injury and inflammatory 3D wound models</t>
        </is>
      </c>
      <c r="D186" s="5" t="inlineStr">
        <is>
          <t>Macrophages significantly enhance wound healing in a vascularized skin model</t>
        </is>
      </c>
      <c r="E186" s="5" t="inlineStr">
        <is>
          <t>10.1002/jbm.a.36648</t>
        </is>
      </c>
      <c r="F186" s="5" t="inlineStr">
        <is>
          <t>3D wound models</t>
        </is>
      </c>
      <c r="G186" s="5" t="inlineStr">
        <is>
          <t>Barrier/permeability</t>
        </is>
      </c>
      <c r="H186" s="6" t="inlineStr">
        <is>
          <t>0</t>
        </is>
      </c>
      <c r="K186" s="5" t="inlineStr">
        <is>
          <t>From 28-study Table S1 source extraction; zero means not evidenced in extracted record</t>
        </is>
      </c>
      <c r="L186" s="5" t="inlineStr">
        <is>
          <t>https://pubmed.ncbi.nlm.nih.gov/30724457/</t>
        </is>
      </c>
      <c r="M186" s="5" t="inlineStr">
        <is>
          <t>100.0</t>
        </is>
      </c>
      <c r="N186" s="5" t="inlineStr">
        <is>
          <t>YES</t>
        </is>
      </c>
    </row>
    <row r="187">
      <c r="A187" s="6" t="n">
        <v>140</v>
      </c>
      <c r="B187" s="5" t="inlineStr">
        <is>
          <t>S1</t>
        </is>
      </c>
      <c r="C187" s="5" t="inlineStr">
        <is>
          <t>13: Controlled injury and inflammatory 3D wound models</t>
        </is>
      </c>
      <c r="D187" s="5" t="inlineStr">
        <is>
          <t>Macrophages significantly enhance wound healing in a vascularized skin model</t>
        </is>
      </c>
      <c r="E187" s="5" t="inlineStr">
        <is>
          <t>10.1002/jbm.a.36648</t>
        </is>
      </c>
      <c r="F187" s="5" t="inlineStr">
        <is>
          <t>3D wound models</t>
        </is>
      </c>
      <c r="G187" s="5" t="inlineStr">
        <is>
          <t>Molecular/inflammatory</t>
        </is>
      </c>
      <c r="H187" s="6" t="inlineStr">
        <is>
          <t>1</t>
        </is>
      </c>
      <c r="K187" s="5" t="inlineStr">
        <is>
          <t>From 28-study Table S1 source extraction; zero means not evidenced in extracted record</t>
        </is>
      </c>
      <c r="L187" s="5" t="inlineStr">
        <is>
          <t>https://pubmed.ncbi.nlm.nih.gov/30724457/</t>
        </is>
      </c>
      <c r="M187" s="5" t="inlineStr">
        <is>
          <t>100.0</t>
        </is>
      </c>
      <c r="N187" s="5" t="inlineStr">
        <is>
          <t>YES</t>
        </is>
      </c>
    </row>
    <row r="188">
      <c r="A188" s="6" t="n">
        <v>140</v>
      </c>
      <c r="B188" s="5" t="inlineStr">
        <is>
          <t>S1</t>
        </is>
      </c>
      <c r="C188" s="5" t="inlineStr">
        <is>
          <t>13: Controlled injury and inflammatory 3D wound models</t>
        </is>
      </c>
      <c r="D188" s="5" t="inlineStr">
        <is>
          <t>Macrophages significantly enhance wound healing in a vascularized skin model</t>
        </is>
      </c>
      <c r="E188" s="5" t="inlineStr">
        <is>
          <t>10.1002/jbm.a.36648</t>
        </is>
      </c>
      <c r="F188" s="5" t="inlineStr">
        <is>
          <t>3D wound models</t>
        </is>
      </c>
      <c r="G188" s="5" t="inlineStr">
        <is>
          <t>Histology/IHC</t>
        </is>
      </c>
      <c r="H188" s="6" t="inlineStr">
        <is>
          <t>1</t>
        </is>
      </c>
      <c r="K188" s="5" t="inlineStr">
        <is>
          <t>From 28-study Table S1 source extraction; zero means not evidenced in extracted record</t>
        </is>
      </c>
      <c r="L188" s="5" t="inlineStr">
        <is>
          <t>https://pubmed.ncbi.nlm.nih.gov/30724457/</t>
        </is>
      </c>
      <c r="M188" s="5" t="inlineStr">
        <is>
          <t>100.0</t>
        </is>
      </c>
      <c r="N188" s="5" t="inlineStr">
        <is>
          <t>YES</t>
        </is>
      </c>
    </row>
    <row r="189">
      <c r="A189" s="6" t="n">
        <v>140</v>
      </c>
      <c r="B189" s="5" t="inlineStr">
        <is>
          <t>S1</t>
        </is>
      </c>
      <c r="C189" s="5" t="inlineStr">
        <is>
          <t>13: Controlled injury and inflammatory 3D wound models</t>
        </is>
      </c>
      <c r="D189" s="5" t="inlineStr">
        <is>
          <t>Macrophages significantly enhance wound healing in a vascularized skin model</t>
        </is>
      </c>
      <c r="E189" s="5" t="inlineStr">
        <is>
          <t>10.1002/jbm.a.36648</t>
        </is>
      </c>
      <c r="F189" s="5" t="inlineStr">
        <is>
          <t>3D wound models</t>
        </is>
      </c>
      <c r="G189" s="5" t="inlineStr">
        <is>
          <t>Mechanical/material</t>
        </is>
      </c>
      <c r="H189" s="6" t="inlineStr">
        <is>
          <t>0</t>
        </is>
      </c>
      <c r="K189" s="5" t="inlineStr">
        <is>
          <t>From 28-study Table S1 source extraction; zero means not evidenced in extracted record</t>
        </is>
      </c>
      <c r="L189" s="5" t="inlineStr">
        <is>
          <t>https://pubmed.ncbi.nlm.nih.gov/30724457/</t>
        </is>
      </c>
      <c r="M189" s="5" t="inlineStr">
        <is>
          <t>100.0</t>
        </is>
      </c>
      <c r="N189" s="5" t="inlineStr">
        <is>
          <t>YES</t>
        </is>
      </c>
    </row>
    <row r="190">
      <c r="A190" s="6" t="n">
        <v>140</v>
      </c>
      <c r="B190" s="5" t="inlineStr">
        <is>
          <t>S1</t>
        </is>
      </c>
      <c r="C190" s="5" t="inlineStr">
        <is>
          <t>13: Controlled injury and inflammatory 3D wound models</t>
        </is>
      </c>
      <c r="D190" s="5" t="inlineStr">
        <is>
          <t>Macrophages significantly enhance wound healing in a vascularized skin model</t>
        </is>
      </c>
      <c r="E190" s="5" t="inlineStr">
        <is>
          <t>10.1002/jbm.a.36648</t>
        </is>
      </c>
      <c r="F190" s="5" t="inlineStr">
        <is>
          <t>3D wound models</t>
        </is>
      </c>
      <c r="G190" s="5" t="inlineStr">
        <is>
          <t>Vascular/perfusion</t>
        </is>
      </c>
      <c r="H190" s="6" t="inlineStr">
        <is>
          <t>1</t>
        </is>
      </c>
      <c r="K190" s="5" t="inlineStr">
        <is>
          <t>From 28-study Table S1 source extraction; zero means not evidenced in extracted record</t>
        </is>
      </c>
      <c r="L190" s="5" t="inlineStr">
        <is>
          <t>https://pubmed.ncbi.nlm.nih.gov/30724457/</t>
        </is>
      </c>
      <c r="M190" s="5" t="inlineStr">
        <is>
          <t>100.0</t>
        </is>
      </c>
      <c r="N190" s="5" t="inlineStr">
        <is>
          <t>YES</t>
        </is>
      </c>
    </row>
    <row r="191">
      <c r="A191" s="6" t="n">
        <v>142</v>
      </c>
      <c r="B191" s="5" t="inlineStr">
        <is>
          <t>S1</t>
        </is>
      </c>
      <c r="C191" s="5" t="inlineStr">
        <is>
          <t>19: Disease-relevant diabetic bioprinted skin</t>
        </is>
      </c>
      <c r="D191" s="5" t="inlineStr">
        <is>
          <t>Engineering of diseased human skin equivalent using 3D cell printing for representing pathophysiological hallmarks of type 2 diabetes in vitro</t>
        </is>
      </c>
      <c r="E191" s="5" t="inlineStr">
        <is>
          <t>10.1016/j.biomaterials.2021.120776</t>
        </is>
      </c>
      <c r="F191" s="5" t="inlineStr">
        <is>
          <t>Bioprinted models</t>
        </is>
      </c>
      <c r="G191" s="5" t="inlineStr">
        <is>
          <t>Longitudinal/time-resolved</t>
        </is>
      </c>
      <c r="H191" s="6" t="inlineStr">
        <is>
          <t>1</t>
        </is>
      </c>
      <c r="K191" s="5" t="inlineStr">
        <is>
          <t>From 28-study Table S1 source extraction; zero means not evidenced in extracted record</t>
        </is>
      </c>
      <c r="L191" s="5" t="inlineStr">
        <is>
          <t>https://pubmed.ncbi.nlm.nih.gov/33798956/</t>
        </is>
      </c>
      <c r="M191" s="5" t="inlineStr">
        <is>
          <t>100.0</t>
        </is>
      </c>
      <c r="N191" s="5" t="inlineStr">
        <is>
          <t>YES</t>
        </is>
      </c>
    </row>
    <row r="192">
      <c r="A192" s="6" t="n">
        <v>142</v>
      </c>
      <c r="B192" s="5" t="inlineStr">
        <is>
          <t>S1</t>
        </is>
      </c>
      <c r="C192" s="5" t="inlineStr">
        <is>
          <t>19: Disease-relevant diabetic bioprinted skin</t>
        </is>
      </c>
      <c r="D192" s="5" t="inlineStr">
        <is>
          <t>Engineering of diseased human skin equivalent using 3D cell printing for representing pathophysiological hallmarks of type 2 diabetes in vitro</t>
        </is>
      </c>
      <c r="E192" s="5" t="inlineStr">
        <is>
          <t>10.1016/j.biomaterials.2021.120776</t>
        </is>
      </c>
      <c r="F192" s="5" t="inlineStr">
        <is>
          <t>Bioprinted models</t>
        </is>
      </c>
      <c r="G192" s="5" t="inlineStr">
        <is>
          <t>Image/segmentation</t>
        </is>
      </c>
      <c r="H192" s="6" t="inlineStr">
        <is>
          <t>1</t>
        </is>
      </c>
      <c r="K192" s="5" t="inlineStr">
        <is>
          <t>From 28-study Table S1 source extraction; zero means not evidenced in extracted record</t>
        </is>
      </c>
      <c r="L192" s="5" t="inlineStr">
        <is>
          <t>https://pubmed.ncbi.nlm.nih.gov/33798956/</t>
        </is>
      </c>
      <c r="M192" s="5" t="inlineStr">
        <is>
          <t>100.0</t>
        </is>
      </c>
      <c r="N192" s="5" t="inlineStr">
        <is>
          <t>YES</t>
        </is>
      </c>
    </row>
    <row r="193">
      <c r="A193" s="6" t="n">
        <v>142</v>
      </c>
      <c r="B193" s="5" t="inlineStr">
        <is>
          <t>S1</t>
        </is>
      </c>
      <c r="C193" s="5" t="inlineStr">
        <is>
          <t>19: Disease-relevant diabetic bioprinted skin</t>
        </is>
      </c>
      <c r="D193" s="5" t="inlineStr">
        <is>
          <t>Engineering of diseased human skin equivalent using 3D cell printing for representing pathophysiological hallmarks of type 2 diabetes in vitro</t>
        </is>
      </c>
      <c r="E193" s="5" t="inlineStr">
        <is>
          <t>10.1016/j.biomaterials.2021.120776</t>
        </is>
      </c>
      <c r="F193" s="5" t="inlineStr">
        <is>
          <t>Bioprinted models</t>
        </is>
      </c>
      <c r="G193" s="5" t="inlineStr">
        <is>
          <t>Barrier/permeability</t>
        </is>
      </c>
      <c r="H193" s="6" t="inlineStr">
        <is>
          <t>1</t>
        </is>
      </c>
      <c r="K193" s="5" t="inlineStr">
        <is>
          <t>From 28-study Table S1 source extraction; zero means not evidenced in extracted record</t>
        </is>
      </c>
      <c r="L193" s="5" t="inlineStr">
        <is>
          <t>https://pubmed.ncbi.nlm.nih.gov/33798956/</t>
        </is>
      </c>
      <c r="M193" s="5" t="inlineStr">
        <is>
          <t>100.0</t>
        </is>
      </c>
      <c r="N193" s="5" t="inlineStr">
        <is>
          <t>YES</t>
        </is>
      </c>
    </row>
    <row r="194">
      <c r="A194" s="6" t="n">
        <v>142</v>
      </c>
      <c r="B194" s="5" t="inlineStr">
        <is>
          <t>S1</t>
        </is>
      </c>
      <c r="C194" s="5" t="inlineStr">
        <is>
          <t>19: Disease-relevant diabetic bioprinted skin</t>
        </is>
      </c>
      <c r="D194" s="5" t="inlineStr">
        <is>
          <t>Engineering of diseased human skin equivalent using 3D cell printing for representing pathophysiological hallmarks of type 2 diabetes in vitro</t>
        </is>
      </c>
      <c r="E194" s="5" t="inlineStr">
        <is>
          <t>10.1016/j.biomaterials.2021.120776</t>
        </is>
      </c>
      <c r="F194" s="5" t="inlineStr">
        <is>
          <t>Bioprinted models</t>
        </is>
      </c>
      <c r="G194" s="5" t="inlineStr">
        <is>
          <t>Molecular/inflammatory</t>
        </is>
      </c>
      <c r="H194" s="6" t="inlineStr">
        <is>
          <t>1</t>
        </is>
      </c>
      <c r="K194" s="5" t="inlineStr">
        <is>
          <t>From 28-study Table S1 source extraction; zero means not evidenced in extracted record</t>
        </is>
      </c>
      <c r="L194" s="5" t="inlineStr">
        <is>
          <t>https://pubmed.ncbi.nlm.nih.gov/33798956/</t>
        </is>
      </c>
      <c r="M194" s="5" t="inlineStr">
        <is>
          <t>100.0</t>
        </is>
      </c>
      <c r="N194" s="5" t="inlineStr">
        <is>
          <t>YES</t>
        </is>
      </c>
    </row>
    <row r="195">
      <c r="A195" s="6" t="n">
        <v>142</v>
      </c>
      <c r="B195" s="5" t="inlineStr">
        <is>
          <t>S1</t>
        </is>
      </c>
      <c r="C195" s="5" t="inlineStr">
        <is>
          <t>19: Disease-relevant diabetic bioprinted skin</t>
        </is>
      </c>
      <c r="D195" s="5" t="inlineStr">
        <is>
          <t>Engineering of diseased human skin equivalent using 3D cell printing for representing pathophysiological hallmarks of type 2 diabetes in vitro</t>
        </is>
      </c>
      <c r="E195" s="5" t="inlineStr">
        <is>
          <t>10.1016/j.biomaterials.2021.120776</t>
        </is>
      </c>
      <c r="F195" s="5" t="inlineStr">
        <is>
          <t>Bioprinted models</t>
        </is>
      </c>
      <c r="G195" s="5" t="inlineStr">
        <is>
          <t>Histology/IHC</t>
        </is>
      </c>
      <c r="H195" s="6" t="inlineStr">
        <is>
          <t>1</t>
        </is>
      </c>
      <c r="K195" s="5" t="inlineStr">
        <is>
          <t>From 28-study Table S1 source extraction; zero means not evidenced in extracted record</t>
        </is>
      </c>
      <c r="L195" s="5" t="inlineStr">
        <is>
          <t>https://pubmed.ncbi.nlm.nih.gov/33798956/</t>
        </is>
      </c>
      <c r="M195" s="5" t="inlineStr">
        <is>
          <t>100.0</t>
        </is>
      </c>
      <c r="N195" s="5" t="inlineStr">
        <is>
          <t>YES</t>
        </is>
      </c>
    </row>
    <row r="196">
      <c r="A196" s="6" t="n">
        <v>142</v>
      </c>
      <c r="B196" s="5" t="inlineStr">
        <is>
          <t>S1</t>
        </is>
      </c>
      <c r="C196" s="5" t="inlineStr">
        <is>
          <t>19: Disease-relevant diabetic bioprinted skin</t>
        </is>
      </c>
      <c r="D196" s="5" t="inlineStr">
        <is>
          <t>Engineering of diseased human skin equivalent using 3D cell printing for representing pathophysiological hallmarks of type 2 diabetes in vitro</t>
        </is>
      </c>
      <c r="E196" s="5" t="inlineStr">
        <is>
          <t>10.1016/j.biomaterials.2021.120776</t>
        </is>
      </c>
      <c r="F196" s="5" t="inlineStr">
        <is>
          <t>Bioprinted models</t>
        </is>
      </c>
      <c r="G196" s="5" t="inlineStr">
        <is>
          <t>Mechanical/material</t>
        </is>
      </c>
      <c r="H196" s="6" t="inlineStr">
        <is>
          <t>1</t>
        </is>
      </c>
      <c r="K196" s="5" t="inlineStr">
        <is>
          <t>From 28-study Table S1 source extraction; zero means not evidenced in extracted record</t>
        </is>
      </c>
      <c r="L196" s="5" t="inlineStr">
        <is>
          <t>https://pubmed.ncbi.nlm.nih.gov/33798956/</t>
        </is>
      </c>
      <c r="M196" s="5" t="inlineStr">
        <is>
          <t>100.0</t>
        </is>
      </c>
      <c r="N196" s="5" t="inlineStr">
        <is>
          <t>YES</t>
        </is>
      </c>
    </row>
    <row r="197">
      <c r="A197" s="6" t="n">
        <v>142</v>
      </c>
      <c r="B197" s="5" t="inlineStr">
        <is>
          <t>S1</t>
        </is>
      </c>
      <c r="C197" s="5" t="inlineStr">
        <is>
          <t>19: Disease-relevant diabetic bioprinted skin</t>
        </is>
      </c>
      <c r="D197" s="5" t="inlineStr">
        <is>
          <t>Engineering of diseased human skin equivalent using 3D cell printing for representing pathophysiological hallmarks of type 2 diabetes in vitro</t>
        </is>
      </c>
      <c r="E197" s="5" t="inlineStr">
        <is>
          <t>10.1016/j.biomaterials.2021.120776</t>
        </is>
      </c>
      <c r="F197" s="5" t="inlineStr">
        <is>
          <t>Bioprinted models</t>
        </is>
      </c>
      <c r="G197" s="5" t="inlineStr">
        <is>
          <t>Vascular/perfusion</t>
        </is>
      </c>
      <c r="H197" s="6" t="inlineStr">
        <is>
          <t>1</t>
        </is>
      </c>
      <c r="K197" s="5" t="inlineStr">
        <is>
          <t>From 28-study Table S1 source extraction; zero means not evidenced in extracted record</t>
        </is>
      </c>
      <c r="L197" s="5" t="inlineStr">
        <is>
          <t>https://pubmed.ncbi.nlm.nih.gov/33798956/</t>
        </is>
      </c>
      <c r="M197" s="5" t="inlineStr">
        <is>
          <t>100.0</t>
        </is>
      </c>
      <c r="N197" s="5" t="inlineStr">
        <is>
          <t>YES</t>
        </is>
      </c>
    </row>
  </sheetData>
  <autoFilter ref="A1:N197"/>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s>
  <pageMargins left="0.7" right="0.7" top="0.75" bottom="0.75" header="0.3" footer="0.3"/>
</worksheet>
</file>

<file path=xl/worksheets/sheet7.xml><?xml version="1.0" encoding="utf-8"?>
<worksheet xmlns="http://schemas.openxmlformats.org/spreadsheetml/2006/main">
  <sheetPr>
    <tabColor rgb="FF23678D"/>
    <outlinePr summaryBelow="1" summaryRight="1"/>
    <pageSetUpPr/>
  </sheetPr>
  <dimension ref="A1:I5"/>
  <sheetViews>
    <sheetView showGridLines="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56.7109375" customWidth="1" min="1" max="1"/>
    <col width="19.7109375" customWidth="1" min="2" max="9"/>
  </cols>
  <sheetData>
    <row r="1" ht="75" customHeight="1">
      <c r="A1" s="2" t="inlineStr">
        <is>
          <t>Model class</t>
        </is>
      </c>
      <c r="B1" s="2" t="inlineStr">
        <is>
          <t>Longitudinal/time-resolved</t>
        </is>
      </c>
      <c r="C1" s="2" t="inlineStr">
        <is>
          <t>Image/segmentation</t>
        </is>
      </c>
      <c r="D1" s="2" t="inlineStr">
        <is>
          <t>Barrier/permeability</t>
        </is>
      </c>
      <c r="E1" s="2" t="inlineStr">
        <is>
          <t>Molecular/inflammatory</t>
        </is>
      </c>
      <c r="F1" s="2" t="inlineStr">
        <is>
          <t>Histology/IHC</t>
        </is>
      </c>
      <c r="G1" s="2" t="inlineStr">
        <is>
          <t>Mechanical/material</t>
        </is>
      </c>
      <c r="H1" s="2" t="inlineStr">
        <is>
          <t>Vascular/perfusion</t>
        </is>
      </c>
      <c r="I1" s="2" t="inlineStr">
        <is>
          <t>Unique studies in class</t>
        </is>
      </c>
    </row>
    <row r="2">
      <c r="A2" s="5" t="inlineStr">
        <is>
          <t>2D early screening models</t>
        </is>
      </c>
      <c r="B2" s="7" t="n">
        <f>COUNTIFS('Code_S01'!$F$2:$F$197,SUBSTITUTE($A2,CHAR(10)," "),'Code_S01'!$G$2:$G$197,SUBSTITUTE(B$1,CHAR(10)," "),'Code_S01'!$H$2:$H$197,1)</f>
        <v>4</v>
      </c>
      <c r="C2" s="7" t="n">
        <f>COUNTIFS('Code_S01'!$F$2:$F$197,SUBSTITUTE($A2,CHAR(10)," "),'Code_S01'!$G$2:$G$197,SUBSTITUTE(C$1,CHAR(10)," "),'Code_S01'!$H$2:$H$197,1)</f>
        <v>5</v>
      </c>
      <c r="D2" s="7" t="n">
        <f>COUNTIFS('Code_S01'!$F$2:$F$197,SUBSTITUTE($A2,CHAR(10)," "),'Code_S01'!$G$2:$G$197,SUBSTITUTE(D$1,CHAR(10)," "),'Code_S01'!$H$2:$H$197,1)</f>
        <v>0</v>
      </c>
      <c r="E2" s="7" t="n">
        <f>COUNTIFS('Code_S01'!$F$2:$F$197,SUBSTITUTE($A2,CHAR(10)," "),'Code_S01'!$G$2:$G$197,SUBSTITUTE(E$1,CHAR(10)," "),'Code_S01'!$H$2:$H$197,1)</f>
        <v>4</v>
      </c>
      <c r="F2" s="7" t="n">
        <f>COUNTIFS('Code_S01'!$F$2:$F$197,SUBSTITUTE($A2,CHAR(10)," "),'Code_S01'!$G$2:$G$197,SUBSTITUTE(F$1,CHAR(10)," "),'Code_S01'!$H$2:$H$197,1)</f>
        <v>3</v>
      </c>
      <c r="G2" s="7" t="n">
        <f>COUNTIFS('Code_S01'!$F$2:$F$197,SUBSTITUTE($A2,CHAR(10)," "),'Code_S01'!$G$2:$G$197,SUBSTITUTE(G$1,CHAR(10)," "),'Code_S01'!$H$2:$H$197,1)</f>
        <v>0</v>
      </c>
      <c r="H2" s="7" t="n">
        <f>COUNTIFS('Code_S01'!$F$2:$F$197,SUBSTITUTE($A2,CHAR(10)," "),'Code_S01'!$G$2:$G$197,SUBSTITUTE(H$1,CHAR(10)," "),'Code_S01'!$H$2:$H$197,1)</f>
        <v>1</v>
      </c>
      <c r="I2" s="7" t="n">
        <f>COUNTIFS('08_Study_Cohorts'!$A$2:$A$365,"S1",'08_Study_Cohorts'!$C$2:$C$365,SUBSTITUTE($A2,CHAR(10)," "))</f>
        <v>5</v>
      </c>
    </row>
    <row r="3">
      <c r="A3" s="5" t="inlineStr">
        <is>
          <t>3D epidermal models</t>
        </is>
      </c>
      <c r="B3" s="7" t="n">
        <f>COUNTIFS('Code_S01'!$F$2:$F$197,SUBSTITUTE($A3,CHAR(10)," "),'Code_S01'!$G$2:$G$197,SUBSTITUTE(B$1,CHAR(10)," "),'Code_S01'!$H$2:$H$197,1)</f>
        <v>0</v>
      </c>
      <c r="C3" s="7" t="n">
        <f>COUNTIFS('Code_S01'!$F$2:$F$197,SUBSTITUTE($A3,CHAR(10)," "),'Code_S01'!$G$2:$G$197,SUBSTITUTE(C$1,CHAR(10)," "),'Code_S01'!$H$2:$H$197,1)</f>
        <v>5</v>
      </c>
      <c r="D3" s="7" t="n">
        <f>COUNTIFS('Code_S01'!$F$2:$F$197,SUBSTITUTE($A3,CHAR(10)," "),'Code_S01'!$G$2:$G$197,SUBSTITUTE(D$1,CHAR(10)," "),'Code_S01'!$H$2:$H$197,1)</f>
        <v>3</v>
      </c>
      <c r="E3" s="7" t="n">
        <f>COUNTIFS('Code_S01'!$F$2:$F$197,SUBSTITUTE($A3,CHAR(10)," "),'Code_S01'!$G$2:$G$197,SUBSTITUTE(E$1,CHAR(10)," "),'Code_S01'!$H$2:$H$197,1)</f>
        <v>1</v>
      </c>
      <c r="F3" s="7" t="n">
        <f>COUNTIFS('Code_S01'!$F$2:$F$197,SUBSTITUTE($A3,CHAR(10)," "),'Code_S01'!$G$2:$G$197,SUBSTITUTE(F$1,CHAR(10)," "),'Code_S01'!$H$2:$H$197,1)</f>
        <v>5</v>
      </c>
      <c r="G3" s="7" t="n">
        <f>COUNTIFS('Code_S01'!$F$2:$F$197,SUBSTITUTE($A3,CHAR(10)," "),'Code_S01'!$G$2:$G$197,SUBSTITUTE(G$1,CHAR(10)," "),'Code_S01'!$H$2:$H$197,1)</f>
        <v>0</v>
      </c>
      <c r="H3" s="7" t="n">
        <f>COUNTIFS('Code_S01'!$F$2:$F$197,SUBSTITUTE($A3,CHAR(10)," "),'Code_S01'!$G$2:$G$197,SUBSTITUTE(H$1,CHAR(10)," "),'Code_S01'!$H$2:$H$197,1)</f>
        <v>0</v>
      </c>
      <c r="I3" s="7" t="n">
        <f>COUNTIFS('08_Study_Cohorts'!$A$2:$A$365,"S1",'08_Study_Cohorts'!$C$2:$C$365,SUBSTITUTE($A3,CHAR(10)," "))</f>
        <v>5</v>
      </c>
    </row>
    <row r="4">
      <c r="A4" s="5" t="inlineStr">
        <is>
          <t>3D wound models</t>
        </is>
      </c>
      <c r="B4" s="7" t="n">
        <f>COUNTIFS('Code_S01'!$F$2:$F$197,SUBSTITUTE($A4,CHAR(10)," "),'Code_S01'!$G$2:$G$197,SUBSTITUTE(B$1,CHAR(10)," "),'Code_S01'!$H$2:$H$197,1)</f>
        <v>8</v>
      </c>
      <c r="C4" s="7" t="n">
        <f>COUNTIFS('Code_S01'!$F$2:$F$197,SUBSTITUTE($A4,CHAR(10)," "),'Code_S01'!$G$2:$G$197,SUBSTITUTE(C$1,CHAR(10)," "),'Code_S01'!$H$2:$H$197,1)</f>
        <v>8</v>
      </c>
      <c r="D4" s="7" t="n">
        <f>COUNTIFS('Code_S01'!$F$2:$F$197,SUBSTITUTE($A4,CHAR(10)," "),'Code_S01'!$G$2:$G$197,SUBSTITUTE(D$1,CHAR(10)," "),'Code_S01'!$H$2:$H$197,1)</f>
        <v>1</v>
      </c>
      <c r="E4" s="7" t="n">
        <f>COUNTIFS('Code_S01'!$F$2:$F$197,SUBSTITUTE($A4,CHAR(10)," "),'Code_S01'!$G$2:$G$197,SUBSTITUTE(E$1,CHAR(10)," "),'Code_S01'!$H$2:$H$197,1)</f>
        <v>5</v>
      </c>
      <c r="F4" s="7" t="n">
        <f>COUNTIFS('Code_S01'!$F$2:$F$197,SUBSTITUTE($A4,CHAR(10)," "),'Code_S01'!$G$2:$G$197,SUBSTITUTE(F$1,CHAR(10)," "),'Code_S01'!$H$2:$H$197,1)</f>
        <v>7</v>
      </c>
      <c r="G4" s="7" t="n">
        <f>COUNTIFS('Code_S01'!$F$2:$F$197,SUBSTITUTE($A4,CHAR(10)," "),'Code_S01'!$G$2:$G$197,SUBSTITUTE(G$1,CHAR(10)," "),'Code_S01'!$H$2:$H$197,1)</f>
        <v>2</v>
      </c>
      <c r="H4" s="7" t="n">
        <f>COUNTIFS('Code_S01'!$F$2:$F$197,SUBSTITUTE($A4,CHAR(10)," "),'Code_S01'!$G$2:$G$197,SUBSTITUTE(H$1,CHAR(10)," "),'Code_S01'!$H$2:$H$197,1)</f>
        <v>2</v>
      </c>
      <c r="I4" s="7" t="n">
        <f>COUNTIFS('08_Study_Cohorts'!$A$2:$A$365,"S1",'08_Study_Cohorts'!$C$2:$C$365,SUBSTITUTE($A4,CHAR(10)," "))</f>
        <v>8</v>
      </c>
    </row>
    <row r="5">
      <c r="A5" s="5" t="inlineStr">
        <is>
          <t>Bioprinted models</t>
        </is>
      </c>
      <c r="B5" s="7" t="n">
        <f>COUNTIFS('Code_S01'!$F$2:$F$197,SUBSTITUTE($A5,CHAR(10)," "),'Code_S01'!$G$2:$G$197,SUBSTITUTE(B$1,CHAR(10)," "),'Code_S01'!$H$2:$H$197,1)</f>
        <v>10</v>
      </c>
      <c r="C5" s="7" t="n">
        <f>COUNTIFS('Code_S01'!$F$2:$F$197,SUBSTITUTE($A5,CHAR(10)," "),'Code_S01'!$G$2:$G$197,SUBSTITUTE(C$1,CHAR(10)," "),'Code_S01'!$H$2:$H$197,1)</f>
        <v>10</v>
      </c>
      <c r="D5" s="7" t="n">
        <f>COUNTIFS('Code_S01'!$F$2:$F$197,SUBSTITUTE($A5,CHAR(10)," "),'Code_S01'!$G$2:$G$197,SUBSTITUTE(D$1,CHAR(10)," "),'Code_S01'!$H$2:$H$197,1)</f>
        <v>1</v>
      </c>
      <c r="E5" s="7" t="n">
        <f>COUNTIFS('Code_S01'!$F$2:$F$197,SUBSTITUTE($A5,CHAR(10)," "),'Code_S01'!$G$2:$G$197,SUBSTITUTE(E$1,CHAR(10)," "),'Code_S01'!$H$2:$H$197,1)</f>
        <v>5</v>
      </c>
      <c r="F5" s="7" t="n">
        <f>COUNTIFS('Code_S01'!$F$2:$F$197,SUBSTITUTE($A5,CHAR(10)," "),'Code_S01'!$G$2:$G$197,SUBSTITUTE(F$1,CHAR(10)," "),'Code_S01'!$H$2:$H$197,1)</f>
        <v>10</v>
      </c>
      <c r="G5" s="7" t="n">
        <f>COUNTIFS('Code_S01'!$F$2:$F$197,SUBSTITUTE($A5,CHAR(10)," "),'Code_S01'!$G$2:$G$197,SUBSTITUTE(G$1,CHAR(10)," "),'Code_S01'!$H$2:$H$197,1)</f>
        <v>9</v>
      </c>
      <c r="H5" s="7" t="n">
        <f>COUNTIFS('Code_S01'!$F$2:$F$197,SUBSTITUTE($A5,CHAR(10)," "),'Code_S01'!$G$2:$G$197,SUBSTITUTE(H$1,CHAR(10)," "),'Code_S01'!$H$2:$H$197,1)</f>
        <v>7</v>
      </c>
      <c r="I5" s="7" t="n">
        <f>COUNTIFS('08_Study_Cohorts'!$A$2:$A$365,"S1",'08_Study_Cohorts'!$C$2:$C$365,SUBSTITUTE($A5,CHAR(10)," "))</f>
        <v>10</v>
      </c>
    </row>
  </sheetData>
  <pageMargins left="0.7" right="0.7" top="0.75" bottom="0.75" header="0.3" footer="0.3"/>
</worksheet>
</file>

<file path=xl/worksheets/sheet8.xml><?xml version="1.0" encoding="utf-8"?>
<worksheet xmlns="http://schemas.openxmlformats.org/spreadsheetml/2006/main">
  <sheetPr>
    <tabColor rgb="FF2B8C83"/>
    <outlinePr summaryBelow="1" summaryRight="1"/>
    <pageSetUpPr/>
  </sheetPr>
  <dimension ref="A1:N29"/>
  <sheetViews>
    <sheetView showGridLines="0" workbookViewId="0">
      <pane xSplit="3" ySplit="1" topLeftCell="D2" activePane="bottomRight" state="frozen"/>
      <selection pane="topRight" activeCell="D1" sqref="D1"/>
      <selection pane="bottomLeft" activeCell="A2" sqref="A2"/>
      <selection pane="bottomRight" activeCell="A1" sqref="A1"/>
    </sheetView>
  </sheetViews>
  <sheetFormatPr baseColWidth="8" defaultRowHeight="15"/>
  <cols>
    <col width="14.7109375" customWidth="1" min="1" max="1"/>
    <col width="15.7109375" customWidth="1" min="2" max="2"/>
    <col width="50.7109375" customWidth="1" min="3" max="3"/>
    <col width="65.7109375" customWidth="1" min="4" max="4"/>
    <col width="25.7109375" customWidth="1" min="5" max="5"/>
    <col width="60.7109375" customWidth="1" min="6" max="6"/>
    <col width="43.7109375" customWidth="1" min="7" max="7"/>
    <col width="15.7109375" customWidth="1" min="8" max="8"/>
    <col width="17.7109375" customWidth="1" min="9" max="10"/>
    <col width="58.7109375" customWidth="1" min="11" max="11"/>
    <col width="57.7109375" customWidth="1" min="12" max="12"/>
    <col width="22.7109375" customWidth="1" min="13" max="13"/>
    <col width="20.7109375" customWidth="1" min="14" max="14"/>
  </cols>
  <sheetData>
    <row r="1" ht="51" customHeight="1">
      <c r="A1" s="2" t="inlineStr">
        <is>
          <t>Main_ref</t>
        </is>
      </c>
      <c r="B1" s="2" t="inlineStr">
        <is>
          <t>SI_source_table</t>
        </is>
      </c>
      <c r="C1" s="2" t="inlineStr">
        <is>
          <t>SI_table_row</t>
        </is>
      </c>
      <c r="D1" s="2" t="inlineStr">
        <is>
          <t>Main_article_title</t>
        </is>
      </c>
      <c r="E1" s="2" t="inlineStr">
        <is>
          <t>DOI_in_main_register</t>
        </is>
      </c>
      <c r="F1" s="2" t="inlineStr">
        <is>
          <t>Group</t>
        </is>
      </c>
      <c r="G1" s="2" t="inlineStr">
        <is>
          <t>Domain</t>
        </is>
      </c>
      <c r="H1" s="2" t="inlineStr">
        <is>
          <t>Code_0_1</t>
        </is>
      </c>
      <c r="I1" s="2" t="inlineStr">
        <is>
          <t>Proposed_structural_score</t>
        </is>
      </c>
      <c r="J1" s="2" t="inlineStr">
        <is>
          <t>Proposed_disease_score</t>
        </is>
      </c>
      <c r="K1" s="2" t="inlineStr">
        <is>
          <t>Provenance_note</t>
        </is>
      </c>
      <c r="L1" s="2" t="inlineStr">
        <is>
          <t>Source_URL</t>
        </is>
      </c>
      <c r="M1" s="2" t="inlineStr">
        <is>
          <t>Bibliography_title_match_pct</t>
        </is>
      </c>
      <c r="N1" s="2" t="inlineStr">
        <is>
          <t>Citation_present_in_main</t>
        </is>
      </c>
    </row>
    <row r="2">
      <c r="A2" s="6" t="n">
        <v>105</v>
      </c>
      <c r="B2" s="5" t="inlineStr">
        <is>
          <t>S1</t>
        </is>
      </c>
      <c r="C2" s="5" t="inlineStr">
        <is>
          <t>2: Migration assay standardization</t>
        </is>
      </c>
      <c r="D2" s="5" t="inlineStr">
        <is>
          <t>Comparison of in vitro scratch wound assay experimental procedures</t>
        </is>
      </c>
      <c r="E2" s="5" t="inlineStr">
        <is>
          <t>10.1016/j.bbrep.2023.101423</t>
        </is>
      </c>
      <c r="F2" s="5" t="inlineStr">
        <is>
          <t>2D early screening models</t>
        </is>
      </c>
      <c r="G2" s="5" t="inlineStr">
        <is>
          <t>Non-destructive same-sample serial tracking</t>
        </is>
      </c>
      <c r="H2" s="6" t="inlineStr">
        <is>
          <t>1</t>
        </is>
      </c>
      <c r="K2" s="5" t="inlineStr">
        <is>
          <t>IncuCyte repeated live-cell imaging every 4 h for 72 h (same monolayer).</t>
        </is>
      </c>
      <c r="L2" s="5" t="inlineStr">
        <is>
          <t>https://pmc.ncbi.nlm.nih.gov/articles/PMC9840221/</t>
        </is>
      </c>
      <c r="M2" s="5" t="inlineStr">
        <is>
          <t>100.0</t>
        </is>
      </c>
      <c r="N2" s="5" t="inlineStr">
        <is>
          <t>YES</t>
        </is>
      </c>
    </row>
    <row r="3">
      <c r="A3" s="6" t="n">
        <v>106</v>
      </c>
      <c r="B3" s="5" t="inlineStr">
        <is>
          <t>S1</t>
        </is>
      </c>
      <c r="C3" s="5" t="inlineStr">
        <is>
          <t>4: 2D assays with acute in vivo validation</t>
        </is>
      </c>
      <c r="D3" s="5" t="inlineStr">
        <is>
          <t>ERK activating peptide, AES16-2M promotes wound healing through accelerating migration of keratinocytes</t>
        </is>
      </c>
      <c r="E3" s="5" t="inlineStr">
        <is>
          <t>10.1038/s41598-018-32851-y</t>
        </is>
      </c>
      <c r="F3" s="5" t="inlineStr">
        <is>
          <t>2D early screening models</t>
        </is>
      </c>
      <c r="G3" s="5" t="inlineStr">
        <is>
          <t>3+ sampling times</t>
        </is>
      </c>
      <c r="H3" s="6" t="inlineStr">
        <is>
          <t>1</t>
        </is>
      </c>
      <c r="K3" s="5" t="inlineStr">
        <is>
          <t>In vivo wound monitoring across days; 2D in-vitro assay is predominantly before/after. This uses study-level scope, not 2D-only scope.</t>
        </is>
      </c>
      <c r="L3" s="5" t="inlineStr">
        <is>
          <t>https://www.nature.com/articles/s41598-018-32851-y</t>
        </is>
      </c>
      <c r="M3" s="5" t="inlineStr">
        <is>
          <t>100.0</t>
        </is>
      </c>
      <c r="N3" s="5" t="inlineStr">
        <is>
          <t>YES</t>
        </is>
      </c>
    </row>
    <row r="4">
      <c r="A4" s="6" t="n">
        <v>107</v>
      </c>
      <c r="B4" s="5" t="inlineStr">
        <is>
          <t>S1</t>
        </is>
      </c>
      <c r="C4" s="5" t="inlineStr">
        <is>
          <t>3: 2D therapeutic-response assays</t>
        </is>
      </c>
      <c r="D4" s="5" t="inlineStr">
        <is>
          <t>Effects of Periploca forrestii Schltr on wound healing by Src meditated Mek/Erk and PI3K/Akt signals</t>
        </is>
      </c>
      <c r="E4" s="5" t="inlineStr">
        <is>
          <t>10.1016/j.jep.2019.03.046</t>
        </is>
      </c>
      <c r="F4" s="5" t="inlineStr">
        <is>
          <t>2D early screening models</t>
        </is>
      </c>
      <c r="G4" s="5" t="inlineStr">
        <is>
          <t>3+ sampling times</t>
        </is>
      </c>
      <c r="H4" s="6" t="inlineStr">
        <is>
          <t>1</t>
        </is>
      </c>
      <c r="K4" s="5" t="inlineStr">
        <is>
          <t>Scratch images at 0,12,24,48 h and serial acute in vivo images.</t>
        </is>
      </c>
      <c r="L4" s="5" t="inlineStr">
        <is>
          <t>https://pubmed.ncbi.nlm.nih.gov/30905787/</t>
        </is>
      </c>
      <c r="M4" s="5" t="inlineStr">
        <is>
          <t>100.0</t>
        </is>
      </c>
      <c r="N4" s="5" t="inlineStr">
        <is>
          <t>YES</t>
        </is>
      </c>
    </row>
    <row r="5">
      <c r="A5" s="6" t="n">
        <v>108</v>
      </c>
      <c r="B5" s="5" t="inlineStr">
        <is>
          <t>S1</t>
        </is>
      </c>
      <c r="C5" s="5" t="inlineStr">
        <is>
          <t>2: Migration assay standardization</t>
        </is>
      </c>
      <c r="D5" s="5" t="inlineStr">
        <is>
          <t>Microscopy based methods for the assessment of epithelial cell migration during in vitro wound healing</t>
        </is>
      </c>
      <c r="E5" s="5" t="inlineStr">
        <is>
          <t>10.3791/56799</t>
        </is>
      </c>
      <c r="F5" s="5" t="inlineStr">
        <is>
          <t>2D early screening models</t>
        </is>
      </c>
      <c r="G5" s="5" t="inlineStr">
        <is>
          <t>Two-point pre/post</t>
        </is>
      </c>
      <c r="H5" s="6" t="inlineStr">
        <is>
          <t>1</t>
        </is>
      </c>
      <c r="K5" s="5" t="inlineStr">
        <is>
          <t>Gap measured before/after (approximately 19 h), without a documented three-point series.</t>
        </is>
      </c>
      <c r="L5" s="5" t="inlineStr">
        <is>
          <t>https://pmc.ncbi.nlm.nih.gov/articles/PMC5908412/</t>
        </is>
      </c>
      <c r="M5" s="5" t="inlineStr">
        <is>
          <t>100.0</t>
        </is>
      </c>
      <c r="N5" s="5" t="inlineStr">
        <is>
          <t>YES</t>
        </is>
      </c>
    </row>
    <row r="6">
      <c r="A6" s="6" t="n">
        <v>109</v>
      </c>
      <c r="B6" s="5" t="inlineStr">
        <is>
          <t>S1</t>
        </is>
      </c>
      <c r="C6" s="5" t="inlineStr">
        <is>
          <t>3: 2D therapeutic-response assays</t>
        </is>
      </c>
      <c r="D6" s="5" t="inlineStr">
        <is>
          <t>Establishment of a cell-based wound healing assay for bio-relevant testing of wound therapeutics</t>
        </is>
      </c>
      <c r="E6" s="5" t="inlineStr">
        <is>
          <t>10.1016/j.vascn.2017.10.003</t>
        </is>
      </c>
      <c r="F6" s="5" t="inlineStr">
        <is>
          <t>2D early screening models</t>
        </is>
      </c>
      <c r="G6" s="5" t="inlineStr">
        <is>
          <t>3+ sampling times</t>
        </is>
      </c>
      <c r="H6" s="6" t="inlineStr">
        <is>
          <t>1</t>
        </is>
      </c>
      <c r="K6" s="5" t="inlineStr">
        <is>
          <t>Wound size measured serially up to 48-96 h.</t>
        </is>
      </c>
      <c r="L6" s="5" t="inlineStr">
        <is>
          <t>https://www.sciencedirect.com/science/article/abs/pii/S1056871917301363</t>
        </is>
      </c>
      <c r="M6" s="5" t="inlineStr">
        <is>
          <t>100.0</t>
        </is>
      </c>
      <c r="N6" s="5" t="inlineStr">
        <is>
          <t>YES</t>
        </is>
      </c>
    </row>
    <row r="7">
      <c r="A7" s="6" t="n">
        <v>110</v>
      </c>
      <c r="B7" s="5" t="inlineStr">
        <is>
          <t>S1</t>
        </is>
      </c>
      <c r="C7" s="5" t="inlineStr">
        <is>
          <t>6: Reconstructed epidermis for barrier and irritation testing</t>
        </is>
      </c>
      <c r="D7" s="5" t="inlineStr">
        <is>
          <t>Property characterization of reconstructed human epidermis equivalents, and performance as a skin irritation model</t>
        </is>
      </c>
      <c r="E7" s="5" t="inlineStr">
        <is>
          <t>10.1016/j.tiv.2018.07.005</t>
        </is>
      </c>
      <c r="F7" s="5" t="inlineStr">
        <is>
          <t>3D epidermal models</t>
        </is>
      </c>
      <c r="G7" s="5" t="inlineStr">
        <is>
          <t>Endpoint-dominant</t>
        </is>
      </c>
      <c r="H7" s="6" t="inlineStr">
        <is>
          <t>1</t>
        </is>
      </c>
      <c r="K7" s="5" t="inlineStr">
        <is>
          <t>Culture followed over days, but wound/irritation effects are endpoint tests; culture age not time-depth.</t>
        </is>
      </c>
      <c r="L7" s="5" t="inlineStr">
        <is>
          <t>https://pubmed.ncbi.nlm.nih.gov/30053440/</t>
        </is>
      </c>
      <c r="M7" s="5" t="inlineStr">
        <is>
          <t>100.0</t>
        </is>
      </c>
      <c r="N7" s="5" t="inlineStr">
        <is>
          <t>YES</t>
        </is>
      </c>
    </row>
    <row r="8">
      <c r="A8" s="6" t="n">
        <v>111</v>
      </c>
      <c r="B8" s="5" t="inlineStr">
        <is>
          <t>S1</t>
        </is>
      </c>
      <c r="C8" s="5" t="inlineStr">
        <is>
          <t>6: Reconstructed epidermis for barrier and irritation testing</t>
        </is>
      </c>
      <c r="D8" s="5" t="inlineStr">
        <is>
          <t>A new reconstructed human epidermis for in vitro skin irritation testing</t>
        </is>
      </c>
      <c r="E8" s="5" t="inlineStr">
        <is>
          <t>10.1016/j.tiv.2017.03.010</t>
        </is>
      </c>
      <c r="F8" s="5" t="inlineStr">
        <is>
          <t>3D epidermal models</t>
        </is>
      </c>
      <c r="G8" s="5" t="inlineStr">
        <is>
          <t>Endpoint-dominant</t>
        </is>
      </c>
      <c r="H8" s="6" t="inlineStr">
        <is>
          <t>1</t>
        </is>
      </c>
      <c r="K8" s="5" t="inlineStr">
        <is>
          <t>Repeated replicates are not outcome time-series; irritation has terminal viability.</t>
        </is>
      </c>
      <c r="L8" s="5" t="inlineStr">
        <is>
          <t>https://www.sciencedirect.com/science/article/pii/S0887233317300747</t>
        </is>
      </c>
      <c r="M8" s="5" t="inlineStr">
        <is>
          <t>100.0</t>
        </is>
      </c>
      <c r="N8" s="5" t="inlineStr">
        <is>
          <t>YES</t>
        </is>
      </c>
    </row>
    <row r="9">
      <c r="A9" s="6" t="n">
        <v>112</v>
      </c>
      <c r="B9" s="5" t="inlineStr">
        <is>
          <t>S1</t>
        </is>
      </c>
      <c r="C9" s="5" t="inlineStr">
        <is>
          <t>7: Epidermal and full-thickness toxicity comparison</t>
        </is>
      </c>
      <c r="D9" s="5" t="inlineStr">
        <is>
          <t>Skin corrosion test: A comparison between reconstructed human epidermis and full thickness skin models</t>
        </is>
      </c>
      <c r="E9" s="5" t="inlineStr">
        <is>
          <t>10.1016/j.ejpb.2018.01.002</t>
        </is>
      </c>
      <c r="F9" s="5" t="inlineStr">
        <is>
          <t>3D epidermal models</t>
        </is>
      </c>
      <c r="G9" s="5" t="inlineStr">
        <is>
          <t>Endpoint-dominant</t>
        </is>
      </c>
      <c r="H9" s="6" t="inlineStr">
        <is>
          <t>1</t>
        </is>
      </c>
      <c r="K9" s="5" t="inlineStr">
        <is>
          <t>Different corrosive exposure durations are separate terminal tests, not a longitudinal response trajectory.</t>
        </is>
      </c>
      <c r="L9" s="5" t="inlineStr">
        <is>
          <t>https://www.sciencedirect.com/science/article/pii/S0939641117312821</t>
        </is>
      </c>
      <c r="M9" s="5" t="inlineStr">
        <is>
          <t>100.0</t>
        </is>
      </c>
      <c r="N9" s="5" t="inlineStr">
        <is>
          <t>YES</t>
        </is>
      </c>
    </row>
    <row r="10">
      <c r="A10" s="6" t="n">
        <v>115</v>
      </c>
      <c r="B10" s="5" t="inlineStr">
        <is>
          <t>S1</t>
        </is>
      </c>
      <c r="C10" s="5" t="inlineStr">
        <is>
          <t>7: Epidermal and full-thickness toxicity comparison</t>
        </is>
      </c>
      <c r="D10" s="5" t="inlineStr">
        <is>
          <t>Skin toxicity assessment of silver nanoparticles in a 3D epidermal model compared to 2D keratinocytes</t>
        </is>
      </c>
      <c r="E10" s="5" t="inlineStr">
        <is>
          <t>10.2147/IJN.S225451</t>
        </is>
      </c>
      <c r="F10" s="5" t="inlineStr">
        <is>
          <t>3D epidermal models</t>
        </is>
      </c>
      <c r="G10" s="5" t="inlineStr">
        <is>
          <t>Endpoint-dominant</t>
        </is>
      </c>
      <c r="H10" s="6" t="inlineStr">
        <is>
          <t>1</t>
        </is>
      </c>
      <c r="K10" s="5" t="inlineStr">
        <is>
          <t>Acute 24 h nanoparticle exposure assessed at endpoint; culture duration does not count.</t>
        </is>
      </c>
      <c r="L10" s="5" t="inlineStr">
        <is>
          <t>https://pmc.ncbi.nlm.nih.gov/articles/PMC6910103/</t>
        </is>
      </c>
      <c r="M10" s="5" t="inlineStr">
        <is>
          <t>100.0</t>
        </is>
      </c>
      <c r="N10" s="5" t="inlineStr">
        <is>
          <t>YES</t>
        </is>
      </c>
    </row>
    <row r="11">
      <c r="A11" s="6" t="n">
        <v>122</v>
      </c>
      <c r="B11" s="5" t="inlineStr">
        <is>
          <t>S1</t>
        </is>
      </c>
      <c r="C11" s="5" t="inlineStr">
        <is>
          <t>10: Matrix-based 3D wound constructs</t>
        </is>
      </c>
      <c r="D11" s="5" t="inlineStr">
        <is>
          <t>Keratinocyte migration in a three-dimensional in vitro wound healing model co-cultured with fibroblasts</t>
        </is>
      </c>
      <c r="E11" s="5" t="inlineStr">
        <is>
          <t>10.1007/s13770-018-0145-7</t>
        </is>
      </c>
      <c r="F11" s="5" t="inlineStr">
        <is>
          <t>3D wound models</t>
        </is>
      </c>
      <c r="G11" s="5" t="inlineStr">
        <is>
          <t>Non-destructive same-sample serial tracking</t>
        </is>
      </c>
      <c r="H11" s="6" t="inlineStr">
        <is>
          <t>1</t>
        </is>
      </c>
      <c r="K11" s="5" t="inlineStr">
        <is>
          <t>Bright-field keratinocyte migration followed daily in the SAME 3D culture (non-destructive), so score 3 rather than original score 2.</t>
        </is>
      </c>
      <c r="L11" s="5" t="inlineStr">
        <is>
          <t>https://pmc.ncbi.nlm.nih.gov/articles/PMC6250652/</t>
        </is>
      </c>
      <c r="M11" s="5" t="inlineStr">
        <is>
          <t>100.0</t>
        </is>
      </c>
      <c r="N11" s="5" t="inlineStr">
        <is>
          <t>YES</t>
        </is>
      </c>
    </row>
    <row r="12">
      <c r="A12" s="6" t="n">
        <v>118</v>
      </c>
      <c r="B12" s="5" t="inlineStr">
        <is>
          <t>S1</t>
        </is>
      </c>
      <c r="C12" s="5" t="inlineStr">
        <is>
          <t>11: Longitudinal non-invasive wound monitoring</t>
        </is>
      </c>
      <c r="D12" s="5" t="inlineStr">
        <is>
          <t>New Methodological Approach to Follow the Re‐Epithelialisation Phase in the Wound Healing Process on a 3D Full Thickness Skin Model</t>
        </is>
      </c>
      <c r="E12" s="5" t="inlineStr">
        <is>
          <t>10.1111/exd.70137</t>
        </is>
      </c>
      <c r="F12" s="5" t="inlineStr">
        <is>
          <t>3D wound models</t>
        </is>
      </c>
      <c r="G12" s="5" t="inlineStr">
        <is>
          <t>Non-destructive same-sample serial tracking</t>
        </is>
      </c>
      <c r="H12" s="6" t="inlineStr">
        <is>
          <t>1</t>
        </is>
      </c>
      <c r="K12" s="5" t="inlineStr">
        <is>
          <t>Non-invasive OCT repeatedly evaluated the 3D wound model on D13-D17 and D20.</t>
        </is>
      </c>
      <c r="L12" s="5" t="inlineStr">
        <is>
          <t>https://onlinelibrary.wiley.com/doi/10.1111/exd.70137</t>
        </is>
      </c>
      <c r="M12" s="5" t="inlineStr">
        <is>
          <t>100.0</t>
        </is>
      </c>
      <c r="N12" s="5" t="inlineStr">
        <is>
          <t>YES</t>
        </is>
      </c>
    </row>
    <row r="13">
      <c r="A13" s="6" t="n">
        <v>119</v>
      </c>
      <c r="B13" s="5" t="inlineStr">
        <is>
          <t>S1</t>
        </is>
      </c>
      <c r="C13" s="5" t="inlineStr">
        <is>
          <t>8: Automated epidermal digital pathology</t>
        </is>
      </c>
      <c r="D13" s="5" t="inlineStr">
        <is>
          <t>Assessment of skin toxicity in an in vitro reconstituted human epidermis model using deep learning</t>
        </is>
      </c>
      <c r="E13" s="5" t="inlineStr">
        <is>
          <t>10.1016/j.ajpath.2021.12.007</t>
        </is>
      </c>
      <c r="F13" s="5" t="inlineStr">
        <is>
          <t>3D epidermal models</t>
        </is>
      </c>
      <c r="G13" s="5" t="inlineStr">
        <is>
          <t>Endpoint-dominant</t>
        </is>
      </c>
      <c r="H13" s="6" t="inlineStr">
        <is>
          <t>1</t>
        </is>
      </c>
      <c r="K13" s="5" t="inlineStr">
        <is>
          <t>Drug dosed daily for four days but tissue thickness quantified at terminal histology only.</t>
        </is>
      </c>
      <c r="L13" s="5" t="inlineStr">
        <is>
          <t>https://www.sciencedirect.com/science/article/pii/S0002944022000074</t>
        </is>
      </c>
      <c r="M13" s="5" t="inlineStr">
        <is>
          <t>100.0</t>
        </is>
      </c>
      <c r="N13" s="5" t="inlineStr">
        <is>
          <t>YES</t>
        </is>
      </c>
    </row>
    <row r="14">
      <c r="A14" s="6" t="n">
        <v>123</v>
      </c>
      <c r="B14" s="5" t="inlineStr">
        <is>
          <t>S1</t>
        </is>
      </c>
      <c r="C14" s="5" t="inlineStr">
        <is>
          <t>11: Longitudinal non-invasive wound monitoring</t>
        </is>
      </c>
      <c r="D14" s="5" t="inlineStr">
        <is>
          <t>Reepithelialization in focus: Non-invasive monitoring of epidermal wound healing in vitro</t>
        </is>
      </c>
      <c r="E14" s="5" t="inlineStr">
        <is>
          <t>10.1016/j.bios.2019.111555</t>
        </is>
      </c>
      <c r="F14" s="5" t="inlineStr">
        <is>
          <t>3D wound models</t>
        </is>
      </c>
      <c r="G14" s="5" t="inlineStr">
        <is>
          <t>Non-destructive same-sample serial tracking</t>
        </is>
      </c>
      <c r="H14" s="6" t="inlineStr">
        <is>
          <t>1</t>
        </is>
      </c>
      <c r="K14" s="5" t="inlineStr">
        <is>
          <t>Impedance continuously/repeatedly monitors barrier recovery over 14 days in the same wounded RHE.</t>
        </is>
      </c>
      <c r="L14" s="5" t="inlineStr">
        <is>
          <t>https://www.sciencedirect.com/science/article/abs/pii/S0956566319306347</t>
        </is>
      </c>
      <c r="M14" s="5" t="inlineStr">
        <is>
          <t>100.0</t>
        </is>
      </c>
      <c r="N14" s="5" t="inlineStr">
        <is>
          <t>YES</t>
        </is>
      </c>
    </row>
    <row r="15">
      <c r="A15" s="6" t="n">
        <v>124</v>
      </c>
      <c r="B15" s="5" t="inlineStr">
        <is>
          <t>S1</t>
        </is>
      </c>
      <c r="C15" s="5" t="inlineStr">
        <is>
          <t>11: Longitudinal non-invasive wound monitoring</t>
        </is>
      </c>
      <c r="D15" s="5" t="inlineStr">
        <is>
          <t>Fluorescent cell tracer dye permits real‐time assessment of re‐epithelialization in a serum‐free ex vivo human skin wound assay</t>
        </is>
      </c>
      <c r="E15" s="5" t="inlineStr">
        <is>
          <t>10.1111/wrr.12688</t>
        </is>
      </c>
      <c r="F15" s="5" t="inlineStr">
        <is>
          <t>3D wound models</t>
        </is>
      </c>
      <c r="G15" s="5" t="inlineStr">
        <is>
          <t>Non-destructive same-sample serial tracking</t>
        </is>
      </c>
      <c r="H15" s="6" t="inlineStr">
        <is>
          <t>1</t>
        </is>
      </c>
      <c r="K15" s="5" t="inlineStr">
        <is>
          <t>Fluorescent lineage/wound imaging daily for six days on the same explants.</t>
        </is>
      </c>
      <c r="L15" s="5" t="inlineStr">
        <is>
          <t>https://pubmed.ncbi.nlm.nih.gov/30575205/</t>
        </is>
      </c>
      <c r="M15" s="5" t="inlineStr">
        <is>
          <t>100.0</t>
        </is>
      </c>
      <c r="N15" s="5" t="inlineStr">
        <is>
          <t>YES</t>
        </is>
      </c>
    </row>
    <row r="16">
      <c r="A16" s="6" t="n">
        <v>125</v>
      </c>
      <c r="B16" s="5" t="inlineStr">
        <is>
          <t>S1</t>
        </is>
      </c>
      <c r="C16" s="5" t="inlineStr">
        <is>
          <t>13: Controlled injury and inflammatory 3D wound models</t>
        </is>
      </c>
      <c r="D16" s="5" t="inlineStr">
        <is>
          <t>A standardized in vitro bioengineered skin for penetrating wound modeling</t>
        </is>
      </c>
      <c r="E16" s="5" t="inlineStr">
        <is>
          <t>10.1007/s44164-025-00082-x</t>
        </is>
      </c>
      <c r="F16" s="5" t="inlineStr">
        <is>
          <t>3D wound models</t>
        </is>
      </c>
      <c r="G16" s="5" t="inlineStr">
        <is>
          <t>3+ sampling times</t>
        </is>
      </c>
      <c r="H16" s="6" t="inlineStr">
        <is>
          <t>1</t>
        </is>
      </c>
      <c r="K16" s="5" t="inlineStr">
        <is>
          <t>IL-1alpha sampled 0,8,24,48,72 h; terminal morphology assays remain destructive.</t>
        </is>
      </c>
      <c r="L16" s="5" t="inlineStr">
        <is>
          <t>https://link.springer.com/article/10.1007/s44164-025-00082-x</t>
        </is>
      </c>
      <c r="M16" s="5" t="inlineStr">
        <is>
          <t>100.0</t>
        </is>
      </c>
      <c r="N16" s="5" t="inlineStr">
        <is>
          <t>YES</t>
        </is>
      </c>
    </row>
    <row r="17">
      <c r="A17" s="6" t="n">
        <v>126</v>
      </c>
      <c r="B17" s="5" t="inlineStr">
        <is>
          <t>S1</t>
        </is>
      </c>
      <c r="C17" s="5" t="inlineStr">
        <is>
          <t>13: Controlled injury and inflammatory 3D wound models</t>
        </is>
      </c>
      <c r="D17" s="5" t="inlineStr">
        <is>
          <t>Novel leukocyte-depleted platelet-rich plasma-based skin equivalent as an in vitro model of chronic wounds: a preliminary study</t>
        </is>
      </c>
      <c r="E17" s="5" t="inlineStr">
        <is>
          <t>10.1186/s12860-021-00366-6</t>
        </is>
      </c>
      <c r="F17" s="5" t="inlineStr">
        <is>
          <t>3D wound models</t>
        </is>
      </c>
      <c r="G17" s="5" t="inlineStr">
        <is>
          <t>3+ sampling times</t>
        </is>
      </c>
      <c r="H17" s="6" t="inlineStr">
        <is>
          <t>1</t>
        </is>
      </c>
      <c r="K17" s="5" t="inlineStr">
        <is>
          <t>Separate timepoint IL8/TGFA qPCR/ELISA observations through 8 days; not demonstrated same-sample non-destructive imaging.</t>
        </is>
      </c>
      <c r="L17" s="5" t="inlineStr">
        <is>
          <t>https://link.springer.com/article/10.1186/s12860-021-00366-6</t>
        </is>
      </c>
      <c r="M17" s="5" t="inlineStr">
        <is>
          <t>100.0</t>
        </is>
      </c>
      <c r="N17" s="5" t="inlineStr">
        <is>
          <t>YES</t>
        </is>
      </c>
    </row>
    <row r="18">
      <c r="A18" s="6" t="n">
        <v>128</v>
      </c>
      <c r="B18" s="5" t="inlineStr">
        <is>
          <t>S1</t>
        </is>
      </c>
      <c r="C18" s="5" t="inlineStr">
        <is>
          <t>16: Bioink-optimized printed skin equivalents</t>
        </is>
      </c>
      <c r="D18" s="5" t="inlineStr">
        <is>
          <t>Fibrinogen-based bioink for application in skin equivalent 3D bioprinting</t>
        </is>
      </c>
      <c r="E18" s="5" t="inlineStr">
        <is>
          <t>10.3390/jfb14090459</t>
        </is>
      </c>
      <c r="F18" s="5" t="inlineStr">
        <is>
          <t>Bioprinted models</t>
        </is>
      </c>
      <c r="G18" s="5" t="inlineStr">
        <is>
          <t>3+ sampling times</t>
        </is>
      </c>
      <c r="H18" s="6" t="inlineStr">
        <is>
          <t>1</t>
        </is>
      </c>
      <c r="K18" s="5" t="inlineStr">
        <is>
          <t>Separate assay cohorts/timepoints are reported but there is no validated same-sample non-destructive wound response series.</t>
        </is>
      </c>
      <c r="L18" s="5" t="inlineStr">
        <is>
          <t>https://www.mdpi.com/2079-4983/14/9/459</t>
        </is>
      </c>
      <c r="M18" s="5" t="inlineStr">
        <is>
          <t>100.0</t>
        </is>
      </c>
      <c r="N18" s="5" t="inlineStr">
        <is>
          <t>YES</t>
        </is>
      </c>
    </row>
    <row r="19">
      <c r="A19" s="6" t="n">
        <v>129</v>
      </c>
      <c r="B19" s="5" t="inlineStr">
        <is>
          <t>S1</t>
        </is>
      </c>
      <c r="C19" s="5" t="inlineStr">
        <is>
          <t>16: Bioink-optimized printed skin equivalents</t>
        </is>
      </c>
      <c r="D19" s="5" t="inlineStr">
        <is>
          <t>Properties of collagen/sodium alginate hydrogels for bioprinting of skin models</t>
        </is>
      </c>
      <c r="E19" s="5" t="inlineStr">
        <is>
          <t>10.1007/s42235-022-00251-8</t>
        </is>
      </c>
      <c r="F19" s="5" t="inlineStr">
        <is>
          <t>Bioprinted models</t>
        </is>
      </c>
      <c r="G19" s="5" t="inlineStr">
        <is>
          <t>3+ sampling times</t>
        </is>
      </c>
      <c r="H19" s="6" t="inlineStr">
        <is>
          <t>1</t>
        </is>
      </c>
      <c r="K19" s="5" t="inlineStr">
        <is>
          <t>Separate assay cohorts/timepoints are reported but there is no validated same-sample non-destructive wound response series.</t>
        </is>
      </c>
      <c r="L19" s="5" t="inlineStr">
        <is>
          <t>https://agris.fao.org/search/en/providers/125157/records/67497a928834da021e383de0</t>
        </is>
      </c>
      <c r="M19" s="5" t="inlineStr">
        <is>
          <t>100.0</t>
        </is>
      </c>
      <c r="N19" s="5" t="inlineStr">
        <is>
          <t>YES</t>
        </is>
      </c>
    </row>
    <row r="20">
      <c r="A20" s="6" t="n">
        <v>130</v>
      </c>
      <c r="B20" s="5" t="inlineStr">
        <is>
          <t>S1</t>
        </is>
      </c>
      <c r="C20" s="5" t="inlineStr">
        <is>
          <t>16: Bioink-optimized printed skin equivalents</t>
        </is>
      </c>
      <c r="D20" s="5" t="inlineStr">
        <is>
          <t>3D Bioprinting a Novel Skin Co‐Culture Model Using Human Keratinocytes and Fibroblasts</t>
        </is>
      </c>
      <c r="E20" s="5" t="inlineStr">
        <is>
          <t>10.1002/jbm.a.37831</t>
        </is>
      </c>
      <c r="F20" s="5" t="inlineStr">
        <is>
          <t>Bioprinted models</t>
        </is>
      </c>
      <c r="G20" s="5" t="inlineStr">
        <is>
          <t>3+ sampling times</t>
        </is>
      </c>
      <c r="H20" s="6" t="inlineStr">
        <is>
          <t>1</t>
        </is>
      </c>
      <c r="K20" s="5" t="inlineStr">
        <is>
          <t>Separate assay cohorts/timepoints are reported but there is no validated same-sample non-destructive wound response series.</t>
        </is>
      </c>
      <c r="L20" s="5" t="inlineStr">
        <is>
          <t>https://onlinelibrary.wiley.com/doi/full/10.1002/jbm.a.37831</t>
        </is>
      </c>
      <c r="M20" s="5" t="inlineStr">
        <is>
          <t>100.0</t>
        </is>
      </c>
      <c r="N20" s="5" t="inlineStr">
        <is>
          <t>YES</t>
        </is>
      </c>
    </row>
    <row r="21">
      <c r="A21" s="6" t="n">
        <v>131</v>
      </c>
      <c r="B21" s="5" t="inlineStr">
        <is>
          <t>S1</t>
        </is>
      </c>
      <c r="C21" s="5" t="inlineStr">
        <is>
          <t>14: Mechanically guided bilayer tissue-engineered skin</t>
        </is>
      </c>
      <c r="D21" s="5" t="inlineStr">
        <is>
          <t>Bilayer tissue-engineered skin loaded with confining forces enhances epidermal proliferation to promote full-thickness wound healing</t>
        </is>
      </c>
      <c r="E21" s="5" t="inlineStr">
        <is>
          <t>10.1016/j.mtcomm.2025.113049</t>
        </is>
      </c>
      <c r="F21" s="5" t="inlineStr">
        <is>
          <t>3D wound models</t>
        </is>
      </c>
      <c r="G21" s="5" t="inlineStr">
        <is>
          <t>3+ sampling times</t>
        </is>
      </c>
      <c r="H21" s="6" t="inlineStr">
        <is>
          <t>1</t>
        </is>
      </c>
      <c r="K21" s="5" t="inlineStr">
        <is>
          <t>Animal wound imaging on days 0,7,9,11,14, while tissue-derived readouts at endpoint; primary engineered model not same-sample in vitro monitoring.</t>
        </is>
      </c>
      <c r="L21" s="5" t="inlineStr">
        <is>
          <t>https://www.sciencedirect.com/science/article/pii/S2352492825015612</t>
        </is>
      </c>
      <c r="M21" s="5" t="inlineStr">
        <is>
          <t>100.0</t>
        </is>
      </c>
      <c r="N21" s="5" t="inlineStr">
        <is>
          <t>YES</t>
        </is>
      </c>
    </row>
    <row r="22">
      <c r="A22" s="6" t="n">
        <v>132</v>
      </c>
      <c r="B22" s="5" t="inlineStr">
        <is>
          <t>S1</t>
        </is>
      </c>
      <c r="C22" s="5" t="inlineStr">
        <is>
          <t>17: Printed skin substitutes and in situ wound bioprinting</t>
        </is>
      </c>
      <c r="D22" s="5" t="inlineStr">
        <is>
          <t>3D bioprinted skin substitutes for accelerated wound healing and reduced scar</t>
        </is>
      </c>
      <c r="E22" s="5" t="inlineStr">
        <is>
          <t>10.1007/s42235-021-0053-8</t>
        </is>
      </c>
      <c r="F22" s="5" t="inlineStr">
        <is>
          <t>Bioprinted models</t>
        </is>
      </c>
      <c r="G22" s="5" t="inlineStr">
        <is>
          <t>3+ sampling times</t>
        </is>
      </c>
      <c r="H22" s="6" t="inlineStr">
        <is>
          <t>1</t>
        </is>
      </c>
      <c r="K22" s="5" t="inlineStr">
        <is>
          <t>Separate assay cohorts/timepoints are reported but there is no validated same-sample non-destructive wound response series.</t>
        </is>
      </c>
      <c r="L22" s="5" t="inlineStr">
        <is>
          <t>https://www.isbe-online.com/?act=view&amp;id=4324&amp;mod=info&amp;ui=english</t>
        </is>
      </c>
      <c r="M22" s="5" t="inlineStr">
        <is>
          <t>100.0</t>
        </is>
      </c>
      <c r="N22" s="5" t="inlineStr">
        <is>
          <t>YES</t>
        </is>
      </c>
    </row>
    <row r="23">
      <c r="A23" s="6" t="n">
        <v>133</v>
      </c>
      <c r="B23" s="5" t="inlineStr">
        <is>
          <t>S1</t>
        </is>
      </c>
      <c r="C23" s="5" t="inlineStr">
        <is>
          <t>17: Printed skin substitutes and in situ wound bioprinting</t>
        </is>
      </c>
      <c r="D23" s="5" t="inlineStr">
        <is>
          <t>Development and application of a mechanical arm-based in situ 3D bioprinting method for the repair of skin wounds</t>
        </is>
      </c>
      <c r="E23" s="5" t="inlineStr">
        <is>
          <t>10.1007/s42452-024-06043-5</t>
        </is>
      </c>
      <c r="F23" s="5" t="inlineStr">
        <is>
          <t>Bioprinted models</t>
        </is>
      </c>
      <c r="G23" s="5" t="inlineStr">
        <is>
          <t>3+ sampling times</t>
        </is>
      </c>
      <c r="H23" s="6" t="inlineStr">
        <is>
          <t>1</t>
        </is>
      </c>
      <c r="K23" s="5" t="inlineStr">
        <is>
          <t>Separate assay cohorts/timepoints are reported but there is no validated same-sample non-destructive wound response series.</t>
        </is>
      </c>
      <c r="L23" s="5" t="inlineStr">
        <is>
          <t>https://link.springer.com/article/10.1007/s42452-024-06043-5</t>
        </is>
      </c>
      <c r="M23" s="5" t="inlineStr">
        <is>
          <t>100.0</t>
        </is>
      </c>
      <c r="N23" s="5" t="inlineStr">
        <is>
          <t>YES</t>
        </is>
      </c>
    </row>
    <row r="24">
      <c r="A24" s="6" t="n">
        <v>134</v>
      </c>
      <c r="B24" s="5" t="inlineStr">
        <is>
          <t>S1</t>
        </is>
      </c>
      <c r="C24" s="5" t="inlineStr">
        <is>
          <t>18: PRP-functionalized and vascularized printed wound substitutes</t>
        </is>
      </c>
      <c r="D24" s="5" t="inlineStr">
        <is>
          <t>Functionalizing multi-component bioink with platelet-rich plasma for customized in-situ bilayer bioprinting for wound healing</t>
        </is>
      </c>
      <c r="E24" s="5" t="inlineStr">
        <is>
          <t>10.1016/j.mtbio.2022.100334</t>
        </is>
      </c>
      <c r="F24" s="5" t="inlineStr">
        <is>
          <t>Bioprinted models</t>
        </is>
      </c>
      <c r="G24" s="5" t="inlineStr">
        <is>
          <t>3+ sampling times</t>
        </is>
      </c>
      <c r="H24" s="6" t="inlineStr">
        <is>
          <t>1</t>
        </is>
      </c>
      <c r="K24" s="5" t="inlineStr">
        <is>
          <t>Separate assay cohorts/timepoints are reported but there is no validated same-sample non-destructive wound response series.</t>
        </is>
      </c>
      <c r="L24" s="5" t="inlineStr">
        <is>
          <t>https://pubmed.ncbi.nlm.nih.gov/35799896/</t>
        </is>
      </c>
      <c r="M24" s="5" t="inlineStr">
        <is>
          <t>100.0</t>
        </is>
      </c>
      <c r="N24" s="5" t="inlineStr">
        <is>
          <t>YES</t>
        </is>
      </c>
    </row>
    <row r="25">
      <c r="A25" s="6" t="n">
        <v>136</v>
      </c>
      <c r="B25" s="5" t="inlineStr">
        <is>
          <t>S1</t>
        </is>
      </c>
      <c r="C25" s="5" t="inlineStr">
        <is>
          <t>18: PRP-functionalized and vascularized printed wound substitutes</t>
        </is>
      </c>
      <c r="D25" s="5" t="inlineStr">
        <is>
          <t>A bioprinted vascularized skin substitute with fibroblasts, keratinocytes, and endothelial progenitor cells for skin wound healing</t>
        </is>
      </c>
      <c r="E25" s="5" t="inlineStr">
        <is>
          <t>10.1016/j.bprint.2022.e00237</t>
        </is>
      </c>
      <c r="F25" s="5" t="inlineStr">
        <is>
          <t>Bioprinted models</t>
        </is>
      </c>
      <c r="G25" s="5" t="inlineStr">
        <is>
          <t>3+ sampling times</t>
        </is>
      </c>
      <c r="H25" s="6" t="inlineStr">
        <is>
          <t>1</t>
        </is>
      </c>
      <c r="K25" s="5" t="inlineStr">
        <is>
          <t>Separate assay cohorts/timepoints are reported but there is no validated same-sample non-destructive wound response series.</t>
        </is>
      </c>
      <c r="L25" s="5" t="inlineStr">
        <is>
          <t>https://www.sciencedirect.com/science/article/pii/S2405886622000471</t>
        </is>
      </c>
      <c r="M25" s="5" t="inlineStr">
        <is>
          <t>100.0</t>
        </is>
      </c>
      <c r="N25" s="5" t="inlineStr">
        <is>
          <t>YES</t>
        </is>
      </c>
    </row>
    <row r="26">
      <c r="A26" s="6" t="n">
        <v>137</v>
      </c>
      <c r="B26" s="5" t="inlineStr">
        <is>
          <t>S1</t>
        </is>
      </c>
      <c r="C26" s="5" t="inlineStr">
        <is>
          <t>18: PRP-functionalized and vascularized printed wound substitutes</t>
        </is>
      </c>
      <c r="D26" s="5" t="inlineStr">
        <is>
          <t>Three dimensional bioprinting of a vascularized and perfusable skin graft using human keratinocytes, fibroblasts, pericytes, and endothelial cells</t>
        </is>
      </c>
      <c r="E26" s="5" t="inlineStr">
        <is>
          <t>10.1089/ten.TEA.2019.0201</t>
        </is>
      </c>
      <c r="F26" s="5" t="inlineStr">
        <is>
          <t>Bioprinted models</t>
        </is>
      </c>
      <c r="G26" s="5" t="inlineStr">
        <is>
          <t>3+ sampling times</t>
        </is>
      </c>
      <c r="H26" s="6" t="inlineStr">
        <is>
          <t>1</t>
        </is>
      </c>
      <c r="K26" s="5" t="inlineStr">
        <is>
          <t>In-vitro vessel maturation and ex vivo engraftment observations at various times; no consistent nondestructive response trajectory reported for graft same-site follow-up.</t>
        </is>
      </c>
      <c r="L26" s="5" t="inlineStr">
        <is>
          <t>https://pmc.ncbi.nlm.nih.gov/articles/PMC7476394/</t>
        </is>
      </c>
      <c r="M26" s="5" t="inlineStr">
        <is>
          <t>100.0</t>
        </is>
      </c>
      <c r="N26" s="5" t="inlineStr">
        <is>
          <t>YES</t>
        </is>
      </c>
    </row>
    <row r="27">
      <c r="A27" s="6" t="n">
        <v>138</v>
      </c>
      <c r="B27" s="5" t="inlineStr">
        <is>
          <t>S1</t>
        </is>
      </c>
      <c r="C27" s="5" t="inlineStr">
        <is>
          <t>18: PRP-functionalized and vascularized printed wound substitutes</t>
        </is>
      </c>
      <c r="D27" s="5" t="inlineStr">
        <is>
          <t>3D bioprinting bioglass to construct vascularized full-thickness skin substitutes for wound healing</t>
        </is>
      </c>
      <c r="E27" s="5" t="inlineStr">
        <is>
          <t>10.1016/j.mtbio.2023.100899</t>
        </is>
      </c>
      <c r="F27" s="5" t="inlineStr">
        <is>
          <t>Bioprinted models</t>
        </is>
      </c>
      <c r="G27" s="5" t="inlineStr">
        <is>
          <t>3+ sampling times</t>
        </is>
      </c>
      <c r="H27" s="6" t="inlineStr">
        <is>
          <t>1</t>
        </is>
      </c>
      <c r="K27" s="5" t="inlineStr">
        <is>
          <t>Separate assay cohorts/timepoints are reported but there is no validated same-sample non-destructive wound response series.</t>
        </is>
      </c>
      <c r="L27" s="5" t="inlineStr">
        <is>
          <t>https://pmc.ncbi.nlm.nih.gov/articles/PMC10770530/</t>
        </is>
      </c>
      <c r="M27" s="5" t="inlineStr">
        <is>
          <t>100.0</t>
        </is>
      </c>
      <c r="N27" s="5" t="inlineStr">
        <is>
          <t>YES</t>
        </is>
      </c>
    </row>
    <row r="28">
      <c r="A28" s="6" t="n">
        <v>140</v>
      </c>
      <c r="B28" s="5" t="inlineStr">
        <is>
          <t>S1</t>
        </is>
      </c>
      <c r="C28" s="5" t="inlineStr">
        <is>
          <t>13: Controlled injury and inflammatory 3D wound models</t>
        </is>
      </c>
      <c r="D28" s="5" t="inlineStr">
        <is>
          <t>Macrophages significantly enhance wound healing in a vascularized skin model</t>
        </is>
      </c>
      <c r="E28" s="5" t="inlineStr">
        <is>
          <t>10.1002/jbm.a.36648</t>
        </is>
      </c>
      <c r="F28" s="5" t="inlineStr">
        <is>
          <t>3D wound models</t>
        </is>
      </c>
      <c r="G28" s="5" t="inlineStr">
        <is>
          <t>3+ sampling times</t>
        </is>
      </c>
      <c r="H28" s="6" t="inlineStr">
        <is>
          <t>1</t>
        </is>
      </c>
      <c r="K28" s="5" t="inlineStr">
        <is>
          <t>Separate assay cohorts/timepoints are reported but there is no validated same-sample non-destructive wound response series.</t>
        </is>
      </c>
      <c r="L28" s="5" t="inlineStr">
        <is>
          <t>https://pubmed.ncbi.nlm.nih.gov/30724457/</t>
        </is>
      </c>
      <c r="M28" s="5" t="inlineStr">
        <is>
          <t>100.0</t>
        </is>
      </c>
      <c r="N28" s="5" t="inlineStr">
        <is>
          <t>YES</t>
        </is>
      </c>
    </row>
    <row r="29">
      <c r="A29" s="6" t="n">
        <v>142</v>
      </c>
      <c r="B29" s="5" t="inlineStr">
        <is>
          <t>S1</t>
        </is>
      </c>
      <c r="C29" s="5" t="inlineStr">
        <is>
          <t>19: Disease-relevant diabetic bioprinted skin</t>
        </is>
      </c>
      <c r="D29" s="5" t="inlineStr">
        <is>
          <t>Engineering of diseased human skin equivalent using 3D cell printing for representing pathophysiological hallmarks of type 2 diabetes in vitro</t>
        </is>
      </c>
      <c r="E29" s="5" t="inlineStr">
        <is>
          <t>10.1016/j.biomaterials.2021.120776</t>
        </is>
      </c>
      <c r="F29" s="5" t="inlineStr">
        <is>
          <t>Bioprinted models</t>
        </is>
      </c>
      <c r="G29" s="5" t="inlineStr">
        <is>
          <t>3+ sampling times</t>
        </is>
      </c>
      <c r="H29" s="6" t="inlineStr">
        <is>
          <t>1</t>
        </is>
      </c>
      <c r="K29" s="5" t="inlineStr">
        <is>
          <t>Metabolic/inflammatory measurements over 6,12,24 h and distinct treatment windows; no validated same-sample non-destructive wound trajectory.</t>
        </is>
      </c>
      <c r="L29" s="5" t="inlineStr">
        <is>
          <t>https://pubmed.ncbi.nlm.nih.gov/33798956/</t>
        </is>
      </c>
      <c r="M29" s="5" t="inlineStr">
        <is>
          <t>100.0</t>
        </is>
      </c>
      <c r="N29" s="5" t="inlineStr">
        <is>
          <t>YES</t>
        </is>
      </c>
    </row>
  </sheetData>
  <autoFilter ref="A1:N29"/>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s>
  <pageMargins left="0.7" right="0.7" top="0.75" bottom="0.75" header="0.3" footer="0.3"/>
</worksheet>
</file>

<file path=xl/worksheets/sheet9.xml><?xml version="1.0" encoding="utf-8"?>
<worksheet xmlns="http://schemas.openxmlformats.org/spreadsheetml/2006/main">
  <sheetPr>
    <tabColor rgb="FF23678D"/>
    <outlinePr summaryBelow="1" summaryRight="1"/>
    <pageSetUpPr/>
  </sheetPr>
  <dimension ref="A1:F5"/>
  <sheetViews>
    <sheetView showGridLines="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56.7109375" customWidth="1" min="1" max="1"/>
    <col width="19.7109375" customWidth="1" min="2" max="6"/>
  </cols>
  <sheetData>
    <row r="1" ht="75" customHeight="1">
      <c r="A1" s="2" t="inlineStr">
        <is>
          <t>Model class</t>
        </is>
      </c>
      <c r="B1" s="2" t="inlineStr">
        <is>
          <t>Endpoint-dominant</t>
        </is>
      </c>
      <c r="C1" s="2" t="inlineStr">
        <is>
          <t>Two-point pre/post</t>
        </is>
      </c>
      <c r="D1" s="2" t="inlineStr">
        <is>
          <t>3+ sampling times</t>
        </is>
      </c>
      <c r="E1" s="2" t="inlineStr">
        <is>
          <t>Non-destructive same-sample serial tracking</t>
        </is>
      </c>
      <c r="F1" s="2" t="inlineStr">
        <is>
          <t>Unique studies in class</t>
        </is>
      </c>
    </row>
    <row r="2">
      <c r="A2" s="5" t="inlineStr">
        <is>
          <t>2D early screening models</t>
        </is>
      </c>
      <c r="B2" s="7" t="n">
        <f>COUNTIFS('Code_S02'!$F$2:$F$29,SUBSTITUTE($A2,CHAR(10)," "),'Code_S02'!$G$2:$G$29,SUBSTITUTE(B$1,CHAR(10)," "),'Code_S02'!$H$2:$H$29,1)</f>
        <v>0</v>
      </c>
      <c r="C2" s="7" t="n">
        <f>COUNTIFS('Code_S02'!$F$2:$F$29,SUBSTITUTE($A2,CHAR(10)," "),'Code_S02'!$G$2:$G$29,SUBSTITUTE(C$1,CHAR(10)," "),'Code_S02'!$H$2:$H$29,1)</f>
        <v>1</v>
      </c>
      <c r="D2" s="7" t="n">
        <f>COUNTIFS('Code_S02'!$F$2:$F$29,SUBSTITUTE($A2,CHAR(10)," "),'Code_S02'!$G$2:$G$29,SUBSTITUTE(D$1,CHAR(10)," "),'Code_S02'!$H$2:$H$29,1)</f>
        <v>3</v>
      </c>
      <c r="E2" s="7" t="n">
        <f>COUNTIFS('Code_S02'!$F$2:$F$29,SUBSTITUTE($A2,CHAR(10)," "),'Code_S02'!$G$2:$G$29,SUBSTITUTE(E$1,CHAR(10)," "),'Code_S02'!$H$2:$H$29,1)</f>
        <v>1</v>
      </c>
      <c r="F2" s="7" t="n">
        <f>COUNTIFS('08_Study_Cohorts'!$A$2:$A$365,"S2",'08_Study_Cohorts'!$C$2:$C$365,SUBSTITUTE($A2,CHAR(10)," "))</f>
        <v>5</v>
      </c>
    </row>
    <row r="3">
      <c r="A3" s="5" t="inlineStr">
        <is>
          <t>3D epidermal models</t>
        </is>
      </c>
      <c r="B3" s="7" t="n">
        <f>COUNTIFS('Code_S02'!$F$2:$F$29,SUBSTITUTE($A3,CHAR(10)," "),'Code_S02'!$G$2:$G$29,SUBSTITUTE(B$1,CHAR(10)," "),'Code_S02'!$H$2:$H$29,1)</f>
        <v>5</v>
      </c>
      <c r="C3" s="7" t="n">
        <f>COUNTIFS('Code_S02'!$F$2:$F$29,SUBSTITUTE($A3,CHAR(10)," "),'Code_S02'!$G$2:$G$29,SUBSTITUTE(C$1,CHAR(10)," "),'Code_S02'!$H$2:$H$29,1)</f>
        <v>0</v>
      </c>
      <c r="D3" s="7" t="n">
        <f>COUNTIFS('Code_S02'!$F$2:$F$29,SUBSTITUTE($A3,CHAR(10)," "),'Code_S02'!$G$2:$G$29,SUBSTITUTE(D$1,CHAR(10)," "),'Code_S02'!$H$2:$H$29,1)</f>
        <v>0</v>
      </c>
      <c r="E3" s="7" t="n">
        <f>COUNTIFS('Code_S02'!$F$2:$F$29,SUBSTITUTE($A3,CHAR(10)," "),'Code_S02'!$G$2:$G$29,SUBSTITUTE(E$1,CHAR(10)," "),'Code_S02'!$H$2:$H$29,1)</f>
        <v>0</v>
      </c>
      <c r="F3" s="7" t="n">
        <f>COUNTIFS('08_Study_Cohorts'!$A$2:$A$365,"S2",'08_Study_Cohorts'!$C$2:$C$365,SUBSTITUTE($A3,CHAR(10)," "))</f>
        <v>5</v>
      </c>
    </row>
    <row r="4">
      <c r="A4" s="5" t="inlineStr">
        <is>
          <t>3D wound models</t>
        </is>
      </c>
      <c r="B4" s="7" t="n">
        <f>COUNTIFS('Code_S02'!$F$2:$F$29,SUBSTITUTE($A4,CHAR(10)," "),'Code_S02'!$G$2:$G$29,SUBSTITUTE(B$1,CHAR(10)," "),'Code_S02'!$H$2:$H$29,1)</f>
        <v>0</v>
      </c>
      <c r="C4" s="7" t="n">
        <f>COUNTIFS('Code_S02'!$F$2:$F$29,SUBSTITUTE($A4,CHAR(10)," "),'Code_S02'!$G$2:$G$29,SUBSTITUTE(C$1,CHAR(10)," "),'Code_S02'!$H$2:$H$29,1)</f>
        <v>0</v>
      </c>
      <c r="D4" s="7" t="n">
        <f>COUNTIFS('Code_S02'!$F$2:$F$29,SUBSTITUTE($A4,CHAR(10)," "),'Code_S02'!$G$2:$G$29,SUBSTITUTE(D$1,CHAR(10)," "),'Code_S02'!$H$2:$H$29,1)</f>
        <v>4</v>
      </c>
      <c r="E4" s="7" t="n">
        <f>COUNTIFS('Code_S02'!$F$2:$F$29,SUBSTITUTE($A4,CHAR(10)," "),'Code_S02'!$G$2:$G$29,SUBSTITUTE(E$1,CHAR(10)," "),'Code_S02'!$H$2:$H$29,1)</f>
        <v>4</v>
      </c>
      <c r="F4" s="7" t="n">
        <f>COUNTIFS('08_Study_Cohorts'!$A$2:$A$365,"S2",'08_Study_Cohorts'!$C$2:$C$365,SUBSTITUTE($A4,CHAR(10)," "))</f>
        <v>8</v>
      </c>
    </row>
    <row r="5">
      <c r="A5" s="5" t="inlineStr">
        <is>
          <t>Bioprinted models</t>
        </is>
      </c>
      <c r="B5" s="7" t="n">
        <f>COUNTIFS('Code_S02'!$F$2:$F$29,SUBSTITUTE($A5,CHAR(10)," "),'Code_S02'!$G$2:$G$29,SUBSTITUTE(B$1,CHAR(10)," "),'Code_S02'!$H$2:$H$29,1)</f>
        <v>0</v>
      </c>
      <c r="C5" s="7" t="n">
        <f>COUNTIFS('Code_S02'!$F$2:$F$29,SUBSTITUTE($A5,CHAR(10)," "),'Code_S02'!$G$2:$G$29,SUBSTITUTE(C$1,CHAR(10)," "),'Code_S02'!$H$2:$H$29,1)</f>
        <v>0</v>
      </c>
      <c r="D5" s="7" t="n">
        <f>COUNTIFS('Code_S02'!$F$2:$F$29,SUBSTITUTE($A5,CHAR(10)," "),'Code_S02'!$G$2:$G$29,SUBSTITUTE(D$1,CHAR(10)," "),'Code_S02'!$H$2:$H$29,1)</f>
        <v>10</v>
      </c>
      <c r="E5" s="7" t="n">
        <f>COUNTIFS('Code_S02'!$F$2:$F$29,SUBSTITUTE($A5,CHAR(10)," "),'Code_S02'!$G$2:$G$29,SUBSTITUTE(E$1,CHAR(10)," "),'Code_S02'!$H$2:$H$29,1)</f>
        <v>0</v>
      </c>
      <c r="F5" s="7" t="n">
        <f>COUNTIFS('08_Study_Cohorts'!$A$2:$A$365,"S2",'08_Study_Cohorts'!$C$2:$C$365,SUBSTITUTE($A5,CHAR(10)," "))</f>
        <v>10</v>
      </c>
    </row>
  </sheetData>
  <pageMargins left="0.7" right="0.7" top="0.75" bottom="0.75" header="0.3" footer="0.3"/>
</worksheet>
</file>

<file path=xl/worksheets/sheet10.xml><?xml version="1.0" encoding="utf-8"?>
<worksheet xmlns="http://schemas.openxmlformats.org/spreadsheetml/2006/main">
  <sheetPr>
    <tabColor rgb="FF2B8C83"/>
    <outlinePr summaryBelow="1" summaryRight="1"/>
    <pageSetUpPr/>
  </sheetPr>
  <dimension ref="A1:N45"/>
  <sheetViews>
    <sheetView showGridLines="0" workbookViewId="0">
      <pane xSplit="3" ySplit="1" topLeftCell="D2" activePane="bottomRight" state="frozen"/>
      <selection pane="topRight" activeCell="D1" sqref="D1"/>
      <selection pane="bottomLeft" activeCell="A2" sqref="A2"/>
      <selection pane="bottomRight" activeCell="A1" sqref="A1"/>
    </sheetView>
  </sheetViews>
  <sheetFormatPr baseColWidth="8" defaultRowHeight="15"/>
  <cols>
    <col width="14.7109375" customWidth="1" min="1" max="1"/>
    <col width="15.7109375" customWidth="1" min="2" max="2"/>
    <col width="50.7109375" customWidth="1" min="3" max="3"/>
    <col width="65.7109375" customWidth="1" min="4" max="4"/>
    <col width="25.7109375" customWidth="1" min="5" max="5"/>
    <col width="60.7109375" customWidth="1" min="6" max="6"/>
    <col width="43.7109375" customWidth="1" min="7" max="7"/>
    <col width="15.7109375" customWidth="1" min="8" max="8"/>
    <col width="17.7109375" customWidth="1" min="9" max="10"/>
    <col width="58.7109375" customWidth="1" min="11" max="11"/>
    <col width="57.7109375" customWidth="1" min="12" max="12"/>
    <col width="22.7109375" customWidth="1" min="13" max="13"/>
    <col width="20.7109375" customWidth="1" min="14" max="14"/>
  </cols>
  <sheetData>
    <row r="1" ht="51" customHeight="1">
      <c r="A1" s="2" t="inlineStr">
        <is>
          <t>Main_ref</t>
        </is>
      </c>
      <c r="B1" s="2" t="inlineStr">
        <is>
          <t>SI_source_table</t>
        </is>
      </c>
      <c r="C1" s="2" t="inlineStr">
        <is>
          <t>SI_table_row</t>
        </is>
      </c>
      <c r="D1" s="2" t="inlineStr">
        <is>
          <t>Main_article_title</t>
        </is>
      </c>
      <c r="E1" s="2" t="inlineStr">
        <is>
          <t>DOI_in_main_register</t>
        </is>
      </c>
      <c r="F1" s="2" t="inlineStr">
        <is>
          <t>Group</t>
        </is>
      </c>
      <c r="G1" s="2" t="inlineStr">
        <is>
          <t>Domain</t>
        </is>
      </c>
      <c r="H1" s="2" t="inlineStr">
        <is>
          <t>Code_0_1</t>
        </is>
      </c>
      <c r="I1" s="2" t="inlineStr">
        <is>
          <t>Proposed_structural_score</t>
        </is>
      </c>
      <c r="J1" s="2" t="inlineStr">
        <is>
          <t>Proposed_disease_score</t>
        </is>
      </c>
      <c r="K1" s="2" t="inlineStr">
        <is>
          <t>Provenance_note</t>
        </is>
      </c>
      <c r="L1" s="2" t="inlineStr">
        <is>
          <t>Source_URL</t>
        </is>
      </c>
      <c r="M1" s="2" t="inlineStr">
        <is>
          <t>Bibliography_title_match_pct</t>
        </is>
      </c>
      <c r="N1" s="2" t="inlineStr">
        <is>
          <t>Citation_present_in_main</t>
        </is>
      </c>
    </row>
    <row r="2">
      <c r="A2" s="6" t="n">
        <v>166</v>
      </c>
      <c r="B2" s="5" t="inlineStr">
        <is>
          <t>S2</t>
        </is>
      </c>
      <c r="C2" s="5" t="inlineStr">
        <is>
          <t>7: Perfused reconstructed skin-on-chip for transdermal diffusion</t>
        </is>
      </c>
      <c r="D2" s="5" t="inlineStr">
        <is>
          <t>In silico approach for validating organ-on-chips: exemplifying through a skin-on-chip device</t>
        </is>
      </c>
      <c r="E2" s="5" t="inlineStr">
        <is>
          <t>10.1007/s10404-025-02863-y</t>
        </is>
      </c>
      <c r="F2" s="5" t="inlineStr">
        <is>
          <t>Barrier/permeation exposure</t>
        </is>
      </c>
      <c r="G2" s="5" t="inlineStr">
        <is>
          <t>Barrier or permeation</t>
        </is>
      </c>
      <c r="H2" s="6" t="inlineStr">
        <is>
          <t>1</t>
        </is>
      </c>
      <c r="K2" s="5" t="inlineStr">
        <is>
          <t>Provided article-level Table S2 coding (renumbered to current main bibliography)</t>
        </is>
      </c>
      <c r="L2" s="5" t="inlineStr">
        <is>
          <t>https://doi.org/10.1007/s10404-025-02863-y</t>
        </is>
      </c>
      <c r="M2" s="5" t="inlineStr">
        <is>
          <t>100.0</t>
        </is>
      </c>
      <c r="N2" s="5" t="inlineStr">
        <is>
          <t>YES</t>
        </is>
      </c>
    </row>
    <row r="3">
      <c r="A3" s="6" t="n">
        <v>181</v>
      </c>
      <c r="B3" s="5" t="inlineStr">
        <is>
          <t>S2</t>
        </is>
      </c>
      <c r="C3" s="5" t="inlineStr">
        <is>
          <t>8: Perfused 3D skin-on-chip for barrier validation and drug permeation</t>
        </is>
      </c>
      <c r="D3" s="5" t="inlineStr">
        <is>
          <t>A 3D microfluidic model for preclinical drug permeation studies: Advancing validation of skin-on-chip technology</t>
        </is>
      </c>
      <c r="E3" s="5" t="inlineStr">
        <is>
          <t>10.1016/j.jpba.2025.117187</t>
        </is>
      </c>
      <c r="F3" s="5" t="inlineStr">
        <is>
          <t>Barrier/permeation exposure</t>
        </is>
      </c>
      <c r="G3" s="5" t="inlineStr">
        <is>
          <t>Barrier or permeation</t>
        </is>
      </c>
      <c r="H3" s="6" t="inlineStr">
        <is>
          <t>1</t>
        </is>
      </c>
      <c r="K3" s="5" t="inlineStr">
        <is>
          <t>Provided article-level Table S2 coding (renumbered to current main bibliography)</t>
        </is>
      </c>
      <c r="L3" s="5" t="inlineStr">
        <is>
          <t>https://doi.org/10.1016/j.jpba.2025.117187</t>
        </is>
      </c>
      <c r="M3" s="5" t="inlineStr">
        <is>
          <t>100.0</t>
        </is>
      </c>
      <c r="N3" s="5" t="inlineStr">
        <is>
          <t>YES</t>
        </is>
      </c>
    </row>
    <row r="4">
      <c r="A4" s="6" t="n">
        <v>192</v>
      </c>
      <c r="B4" s="5" t="inlineStr">
        <is>
          <t>S2</t>
        </is>
      </c>
      <c r="C4" s="5" t="inlineStr">
        <is>
          <t>9: Ex vivo and surrogate skin dynamic permeation platforms</t>
        </is>
      </c>
      <c r="D4" s="5" t="inlineStr">
        <is>
          <t>Skin-on-a-chip device for ex vivo monitoring of transdermal delivery of drugs—design, fabrication, and testing</t>
        </is>
      </c>
      <c r="E4" s="5" t="inlineStr">
        <is>
          <t>10.3390/pharmaceutics11090445</t>
        </is>
      </c>
      <c r="F4" s="5" t="inlineStr">
        <is>
          <t>Barrier/permeation exposure</t>
        </is>
      </c>
      <c r="G4" s="5" t="inlineStr">
        <is>
          <t>Barrier or permeation</t>
        </is>
      </c>
      <c r="H4" s="6" t="inlineStr">
        <is>
          <t>1</t>
        </is>
      </c>
      <c r="K4" s="5" t="inlineStr">
        <is>
          <t>Provided article-level Table S2 coding (renumbered to current main bibliography)</t>
        </is>
      </c>
      <c r="L4" s="5" t="inlineStr">
        <is>
          <t>https://doi.org/10.3390/pharmaceutics11090445</t>
        </is>
      </c>
      <c r="M4" s="5" t="inlineStr">
        <is>
          <t>100.0</t>
        </is>
      </c>
      <c r="N4" s="5" t="inlineStr">
        <is>
          <t>YES</t>
        </is>
      </c>
    </row>
    <row r="5">
      <c r="A5" s="6" t="n">
        <v>193</v>
      </c>
      <c r="B5" s="5" t="inlineStr">
        <is>
          <t>S2</t>
        </is>
      </c>
      <c r="C5" s="5" t="inlineStr">
        <is>
          <t>9: Ex vivo and surrogate skin dynamic permeation platforms</t>
        </is>
      </c>
      <c r="D5" s="5" t="inlineStr">
        <is>
          <t>Comparison between Franz diffusion cell and a novel micro-physiological system for in vitro penetration assay using different skin models</t>
        </is>
      </c>
      <c r="E5" s="5" t="inlineStr">
        <is>
          <t>10.1016/j.slast.2021.12.006</t>
        </is>
      </c>
      <c r="F5" s="5" t="inlineStr">
        <is>
          <t>Barrier/permeation exposure</t>
        </is>
      </c>
      <c r="G5" s="5" t="inlineStr">
        <is>
          <t>Barrier or permeation</t>
        </is>
      </c>
      <c r="H5" s="6" t="inlineStr">
        <is>
          <t>1</t>
        </is>
      </c>
      <c r="K5" s="5" t="inlineStr">
        <is>
          <t>Provided article-level Table S2 coding (renumbered to current main bibliography)</t>
        </is>
      </c>
      <c r="L5" s="5" t="inlineStr">
        <is>
          <t>https://doi.org/10.1016/j.slast.2021.12.006</t>
        </is>
      </c>
      <c r="M5" s="5" t="inlineStr">
        <is>
          <t>100.0</t>
        </is>
      </c>
      <c r="N5" s="5" t="inlineStr">
        <is>
          <t>YES</t>
        </is>
      </c>
    </row>
    <row r="6">
      <c r="A6" s="6" t="n">
        <v>194</v>
      </c>
      <c r="B6" s="5" t="inlineStr">
        <is>
          <t>S2</t>
        </is>
      </c>
      <c r="C6" s="5" t="inlineStr">
        <is>
          <t>10: Skin-linked systemic toxicity chips</t>
        </is>
      </c>
      <c r="D6" s="5" t="inlineStr">
        <is>
          <t>Microphysiological heart–liver body-on-a-chip system with a skin mimic for evaluating topical drug delivery</t>
        </is>
      </c>
      <c r="E6" s="5" t="inlineStr">
        <is>
          <t>10.1039/c9lc00861f</t>
        </is>
      </c>
      <c r="F6" s="5" t="inlineStr">
        <is>
          <t>Barrier/permeation exposure</t>
        </is>
      </c>
      <c r="G6" s="5" t="inlineStr">
        <is>
          <t>Barrier or permeation</t>
        </is>
      </c>
      <c r="H6" s="6" t="inlineStr">
        <is>
          <t>1</t>
        </is>
      </c>
      <c r="K6" s="5" t="inlineStr">
        <is>
          <t>Provided article-level Table S2 coding (renumbered to current main bibliography)</t>
        </is>
      </c>
      <c r="L6" s="5" t="inlineStr">
        <is>
          <t>https://doi.org/10.1039/c9lc00861f</t>
        </is>
      </c>
      <c r="M6" s="5" t="inlineStr">
        <is>
          <t>100.0</t>
        </is>
      </c>
      <c r="N6" s="5" t="inlineStr">
        <is>
          <t>YES</t>
        </is>
      </c>
    </row>
    <row r="7">
      <c r="A7" s="6" t="n">
        <v>195</v>
      </c>
      <c r="B7" s="5" t="inlineStr">
        <is>
          <t>S2</t>
        </is>
      </c>
      <c r="C7" s="5" t="inlineStr">
        <is>
          <t>10: Skin-linked systemic toxicity chips</t>
        </is>
      </c>
      <c r="D7" s="5" t="inlineStr">
        <is>
          <t>Toxicity of topically applied drugs beyond skin irritation: Static skin model vs</t>
        </is>
      </c>
      <c r="E7" s="5" t="inlineStr">
        <is>
          <t>10.1016/j.ijpharm.2020.119788</t>
        </is>
      </c>
      <c r="F7" s="5" t="inlineStr">
        <is>
          <t>Barrier/permeation exposure</t>
        </is>
      </c>
      <c r="G7" s="5" t="inlineStr">
        <is>
          <t>Barrier or permeation</t>
        </is>
      </c>
      <c r="H7" s="6" t="inlineStr">
        <is>
          <t>1</t>
        </is>
      </c>
      <c r="K7" s="5" t="inlineStr">
        <is>
          <t>Provided article-level Table S2 coding (renumbered to current main bibliography)</t>
        </is>
      </c>
      <c r="L7" s="5" t="inlineStr">
        <is>
          <t>https://doi.org/10.1016/j.ijpharm.2020.119788</t>
        </is>
      </c>
      <c r="M7" s="5" t="inlineStr">
        <is>
          <t>100.0</t>
        </is>
      </c>
      <c r="N7" s="5" t="inlineStr">
        <is>
          <t>YES</t>
        </is>
      </c>
    </row>
    <row r="8">
      <c r="A8" s="6" t="n">
        <v>166</v>
      </c>
      <c r="B8" s="5" t="inlineStr">
        <is>
          <t>S2</t>
        </is>
      </c>
      <c r="C8" s="5" t="inlineStr">
        <is>
          <t>7: Perfused reconstructed skin-on-chip for transdermal diffusion</t>
        </is>
      </c>
      <c r="D8" s="5" t="inlineStr">
        <is>
          <t>In silico approach for validating organ-on-chips: exemplifying through a skin-on-chip device</t>
        </is>
      </c>
      <c r="E8" s="5" t="inlineStr">
        <is>
          <t>10.1007/s10404-025-02863-y</t>
        </is>
      </c>
      <c r="F8" s="5" t="inlineStr">
        <is>
          <t>Barrier/permeation exposure</t>
        </is>
      </c>
      <c r="G8" s="5" t="inlineStr">
        <is>
          <t>Flow or perfusion control</t>
        </is>
      </c>
      <c r="H8" s="6" t="inlineStr">
        <is>
          <t>1</t>
        </is>
      </c>
      <c r="K8" s="5" t="inlineStr">
        <is>
          <t>Provided article-level Table S2 coding (renumbered to current main bibliography)</t>
        </is>
      </c>
      <c r="L8" s="5" t="inlineStr">
        <is>
          <t>https://doi.org/10.1007/s10404-025-02863-y</t>
        </is>
      </c>
      <c r="M8" s="5" t="inlineStr">
        <is>
          <t>100.0</t>
        </is>
      </c>
      <c r="N8" s="5" t="inlineStr">
        <is>
          <t>YES</t>
        </is>
      </c>
    </row>
    <row r="9">
      <c r="A9" s="6" t="n">
        <v>181</v>
      </c>
      <c r="B9" s="5" t="inlineStr">
        <is>
          <t>S2</t>
        </is>
      </c>
      <c r="C9" s="5" t="inlineStr">
        <is>
          <t>8: Perfused 3D skin-on-chip for barrier validation and drug permeation</t>
        </is>
      </c>
      <c r="D9" s="5" t="inlineStr">
        <is>
          <t>A 3D microfluidic model for preclinical drug permeation studies: Advancing validation of skin-on-chip technology</t>
        </is>
      </c>
      <c r="E9" s="5" t="inlineStr">
        <is>
          <t>10.1016/j.jpba.2025.117187</t>
        </is>
      </c>
      <c r="F9" s="5" t="inlineStr">
        <is>
          <t>Barrier/permeation exposure</t>
        </is>
      </c>
      <c r="G9" s="5" t="inlineStr">
        <is>
          <t>Flow or perfusion control</t>
        </is>
      </c>
      <c r="H9" s="6" t="inlineStr">
        <is>
          <t>1</t>
        </is>
      </c>
      <c r="K9" s="5" t="inlineStr">
        <is>
          <t>Provided article-level Table S2 coding (renumbered to current main bibliography)</t>
        </is>
      </c>
      <c r="L9" s="5" t="inlineStr">
        <is>
          <t>https://doi.org/10.1016/j.jpba.2025.117187</t>
        </is>
      </c>
      <c r="M9" s="5" t="inlineStr">
        <is>
          <t>100.0</t>
        </is>
      </c>
      <c r="N9" s="5" t="inlineStr">
        <is>
          <t>YES</t>
        </is>
      </c>
    </row>
    <row r="10">
      <c r="A10" s="6" t="n">
        <v>192</v>
      </c>
      <c r="B10" s="5" t="inlineStr">
        <is>
          <t>S2</t>
        </is>
      </c>
      <c r="C10" s="5" t="inlineStr">
        <is>
          <t>9: Ex vivo and surrogate skin dynamic permeation platforms</t>
        </is>
      </c>
      <c r="D10" s="5" t="inlineStr">
        <is>
          <t>Skin-on-a-chip device for ex vivo monitoring of transdermal delivery of drugs—design, fabrication, and testing</t>
        </is>
      </c>
      <c r="E10" s="5" t="inlineStr">
        <is>
          <t>10.3390/pharmaceutics11090445</t>
        </is>
      </c>
      <c r="F10" s="5" t="inlineStr">
        <is>
          <t>Barrier/permeation exposure</t>
        </is>
      </c>
      <c r="G10" s="5" t="inlineStr">
        <is>
          <t>Flow or perfusion control</t>
        </is>
      </c>
      <c r="H10" s="6" t="inlineStr">
        <is>
          <t>1</t>
        </is>
      </c>
      <c r="K10" s="5" t="inlineStr">
        <is>
          <t>Provided article-level Table S2 coding (renumbered to current main bibliography)</t>
        </is>
      </c>
      <c r="L10" s="5" t="inlineStr">
        <is>
          <t>https://doi.org/10.3390/pharmaceutics11090445</t>
        </is>
      </c>
      <c r="M10" s="5" t="inlineStr">
        <is>
          <t>100.0</t>
        </is>
      </c>
      <c r="N10" s="5" t="inlineStr">
        <is>
          <t>YES</t>
        </is>
      </c>
    </row>
    <row r="11">
      <c r="A11" s="6" t="n">
        <v>193</v>
      </c>
      <c r="B11" s="5" t="inlineStr">
        <is>
          <t>S2</t>
        </is>
      </c>
      <c r="C11" s="5" t="inlineStr">
        <is>
          <t>9: Ex vivo and surrogate skin dynamic permeation platforms</t>
        </is>
      </c>
      <c r="D11" s="5" t="inlineStr">
        <is>
          <t>Comparison between Franz diffusion cell and a novel micro-physiological system for in vitro penetration assay using different skin models</t>
        </is>
      </c>
      <c r="E11" s="5" t="inlineStr">
        <is>
          <t>10.1016/j.slast.2021.12.006</t>
        </is>
      </c>
      <c r="F11" s="5" t="inlineStr">
        <is>
          <t>Barrier/permeation exposure</t>
        </is>
      </c>
      <c r="G11" s="5" t="inlineStr">
        <is>
          <t>Flow or perfusion control</t>
        </is>
      </c>
      <c r="H11" s="6" t="inlineStr">
        <is>
          <t>1</t>
        </is>
      </c>
      <c r="K11" s="5" t="inlineStr">
        <is>
          <t>Provided article-level Table S2 coding (renumbered to current main bibliography)</t>
        </is>
      </c>
      <c r="L11" s="5" t="inlineStr">
        <is>
          <t>https://doi.org/10.1016/j.slast.2021.12.006</t>
        </is>
      </c>
      <c r="M11" s="5" t="inlineStr">
        <is>
          <t>100.0</t>
        </is>
      </c>
      <c r="N11" s="5" t="inlineStr">
        <is>
          <t>YES</t>
        </is>
      </c>
    </row>
    <row r="12">
      <c r="A12" s="6" t="n">
        <v>194</v>
      </c>
      <c r="B12" s="5" t="inlineStr">
        <is>
          <t>S2</t>
        </is>
      </c>
      <c r="C12" s="5" t="inlineStr">
        <is>
          <t>10: Skin-linked systemic toxicity chips</t>
        </is>
      </c>
      <c r="D12" s="5" t="inlineStr">
        <is>
          <t>Microphysiological heart–liver body-on-a-chip system with a skin mimic for evaluating topical drug delivery</t>
        </is>
      </c>
      <c r="E12" s="5" t="inlineStr">
        <is>
          <t>10.1039/c9lc00861f</t>
        </is>
      </c>
      <c r="F12" s="5" t="inlineStr">
        <is>
          <t>Barrier/permeation exposure</t>
        </is>
      </c>
      <c r="G12" s="5" t="inlineStr">
        <is>
          <t>Flow or perfusion control</t>
        </is>
      </c>
      <c r="H12" s="6" t="inlineStr">
        <is>
          <t>1</t>
        </is>
      </c>
      <c r="K12" s="5" t="inlineStr">
        <is>
          <t>Provided article-level Table S2 coding (renumbered to current main bibliography)</t>
        </is>
      </c>
      <c r="L12" s="5" t="inlineStr">
        <is>
          <t>https://doi.org/10.1039/c9lc00861f</t>
        </is>
      </c>
      <c r="M12" s="5" t="inlineStr">
        <is>
          <t>100.0</t>
        </is>
      </c>
      <c r="N12" s="5" t="inlineStr">
        <is>
          <t>YES</t>
        </is>
      </c>
    </row>
    <row r="13">
      <c r="A13" s="6" t="n">
        <v>195</v>
      </c>
      <c r="B13" s="5" t="inlineStr">
        <is>
          <t>S2</t>
        </is>
      </c>
      <c r="C13" s="5" t="inlineStr">
        <is>
          <t>10: Skin-linked systemic toxicity chips</t>
        </is>
      </c>
      <c r="D13" s="5" t="inlineStr">
        <is>
          <t>Toxicity of topically applied drugs beyond skin irritation: Static skin model vs</t>
        </is>
      </c>
      <c r="E13" s="5" t="inlineStr">
        <is>
          <t>10.1016/j.ijpharm.2020.119788</t>
        </is>
      </c>
      <c r="F13" s="5" t="inlineStr">
        <is>
          <t>Barrier/permeation exposure</t>
        </is>
      </c>
      <c r="G13" s="5" t="inlineStr">
        <is>
          <t>Flow or perfusion control</t>
        </is>
      </c>
      <c r="H13" s="6" t="inlineStr">
        <is>
          <t>1</t>
        </is>
      </c>
      <c r="K13" s="5" t="inlineStr">
        <is>
          <t>Provided article-level Table S2 coding (renumbered to current main bibliography)</t>
        </is>
      </c>
      <c r="L13" s="5" t="inlineStr">
        <is>
          <t>https://doi.org/10.1016/j.ijpharm.2020.119788</t>
        </is>
      </c>
      <c r="M13" s="5" t="inlineStr">
        <is>
          <t>100.0</t>
        </is>
      </c>
      <c r="N13" s="5" t="inlineStr">
        <is>
          <t>YES</t>
        </is>
      </c>
    </row>
    <row r="14">
      <c r="A14" s="6" t="n">
        <v>187</v>
      </c>
      <c r="B14" s="5" t="inlineStr">
        <is>
          <t>S2</t>
        </is>
      </c>
      <c r="C14" s="5" t="inlineStr">
        <is>
          <t>21: Wireless smart bandage with sensing and electrical stimulation</t>
        </is>
      </c>
      <c r="D14" s="5" t="inlineStr">
        <is>
          <t>Wireless, closed-loop, smart bandage with integrated sensors and stimulators for advanced wound care and accelerated healing</t>
        </is>
      </c>
      <c r="E14" s="5" t="inlineStr">
        <is>
          <t>10.1038/s41587-022-01528-3</t>
        </is>
      </c>
      <c r="F14" s="5" t="inlineStr">
        <is>
          <t>Closed-loop therapy</t>
        </is>
      </c>
      <c r="G14" s="5" t="inlineStr">
        <is>
          <t>Closed-loop or active therapy</t>
        </is>
      </c>
      <c r="H14" s="6" t="inlineStr">
        <is>
          <t>1</t>
        </is>
      </c>
      <c r="K14" s="5" t="inlineStr">
        <is>
          <t>Provided article-level Table S2 coding (renumbered to current main bibliography)</t>
        </is>
      </c>
      <c r="L14" s="5" t="inlineStr">
        <is>
          <t>https://doi.org/10.1038/s41587-022-01528-3</t>
        </is>
      </c>
      <c r="M14" s="5" t="inlineStr">
        <is>
          <t>100.0</t>
        </is>
      </c>
      <c r="N14" s="5" t="inlineStr">
        <is>
          <t>YES</t>
        </is>
      </c>
    </row>
    <row r="15">
      <c r="A15" s="6" t="n">
        <v>188</v>
      </c>
      <c r="B15" s="5" t="inlineStr">
        <is>
          <t>S2</t>
        </is>
      </c>
      <c r="C15" s="5" t="inlineStr">
        <is>
          <t>22: Closed-loop wound-management platform with on-chip inference and drug delivery</t>
        </is>
      </c>
      <c r="D15" s="5" t="inlineStr">
        <is>
          <t>Smart Wound Management System Capable of On‐Chip Machine Learning and Closed‐Loop Therapeutic Feedback</t>
        </is>
      </c>
      <c r="E15" s="5" t="inlineStr">
        <is>
          <t>10.1002/adfm.202522329</t>
        </is>
      </c>
      <c r="F15" s="5" t="inlineStr">
        <is>
          <t>Closed-loop therapy</t>
        </is>
      </c>
      <c r="G15" s="5" t="inlineStr">
        <is>
          <t>Closed-loop or active therapy</t>
        </is>
      </c>
      <c r="H15" s="6" t="inlineStr">
        <is>
          <t>1</t>
        </is>
      </c>
      <c r="K15" s="5" t="inlineStr">
        <is>
          <t>Provided article-level Table S2 coding (renumbered to current main bibliography)</t>
        </is>
      </c>
      <c r="L15" s="5" t="inlineStr">
        <is>
          <t>https://doi.org/10.1002/adfm.202522329</t>
        </is>
      </c>
      <c r="M15" s="5" t="inlineStr">
        <is>
          <t>100.0</t>
        </is>
      </c>
      <c r="N15" s="5" t="inlineStr">
        <is>
          <t>YES</t>
        </is>
      </c>
    </row>
    <row r="16">
      <c r="A16" s="6" t="n">
        <v>187</v>
      </c>
      <c r="B16" s="5" t="inlineStr">
        <is>
          <t>S2</t>
        </is>
      </c>
      <c r="C16" s="5" t="inlineStr">
        <is>
          <t>21: Wireless smart bandage with sensing and electrical stimulation</t>
        </is>
      </c>
      <c r="D16" s="5" t="inlineStr">
        <is>
          <t>Wireless, closed-loop, smart bandage with integrated sensors and stimulators for advanced wound care and accelerated healing</t>
        </is>
      </c>
      <c r="E16" s="5" t="inlineStr">
        <is>
          <t>10.1038/s41587-022-01528-3</t>
        </is>
      </c>
      <c r="F16" s="5" t="inlineStr">
        <is>
          <t>Closed-loop therapy</t>
        </is>
      </c>
      <c r="G16" s="5" t="inlineStr">
        <is>
          <t>Infection or microbial state</t>
        </is>
      </c>
      <c r="H16" s="6" t="inlineStr">
        <is>
          <t>1</t>
        </is>
      </c>
      <c r="K16" s="5" t="inlineStr">
        <is>
          <t>Provided article-level Table S2 coding (renumbered to current main bibliography)</t>
        </is>
      </c>
      <c r="L16" s="5" t="inlineStr">
        <is>
          <t>https://doi.org/10.1038/s41587-022-01528-3</t>
        </is>
      </c>
      <c r="M16" s="5" t="inlineStr">
        <is>
          <t>100.0</t>
        </is>
      </c>
      <c r="N16" s="5" t="inlineStr">
        <is>
          <t>YES</t>
        </is>
      </c>
    </row>
    <row r="17">
      <c r="A17" s="6" t="n">
        <v>187</v>
      </c>
      <c r="B17" s="5" t="inlineStr">
        <is>
          <t>S2</t>
        </is>
      </c>
      <c r="C17" s="5" t="inlineStr">
        <is>
          <t>21: Wireless smart bandage with sensing and electrical stimulation</t>
        </is>
      </c>
      <c r="D17" s="5" t="inlineStr">
        <is>
          <t>Wireless, closed-loop, smart bandage with integrated sensors and stimulators for advanced wound care and accelerated healing</t>
        </is>
      </c>
      <c r="E17" s="5" t="inlineStr">
        <is>
          <t>10.1038/s41587-022-01528-3</t>
        </is>
      </c>
      <c r="F17" s="5" t="inlineStr">
        <is>
          <t>Closed-loop therapy</t>
        </is>
      </c>
      <c r="G17" s="5" t="inlineStr">
        <is>
          <t>Inflammation or immune state</t>
        </is>
      </c>
      <c r="H17" s="6" t="inlineStr">
        <is>
          <t>1</t>
        </is>
      </c>
      <c r="K17" s="5" t="inlineStr">
        <is>
          <t>Provided article-level Table S2 coding (renumbered to current main bibliography)</t>
        </is>
      </c>
      <c r="L17" s="5" t="inlineStr">
        <is>
          <t>https://doi.org/10.1038/s41587-022-01528-3</t>
        </is>
      </c>
      <c r="M17" s="5" t="inlineStr">
        <is>
          <t>100.0</t>
        </is>
      </c>
      <c r="N17" s="5" t="inlineStr">
        <is>
          <t>YES</t>
        </is>
      </c>
    </row>
    <row r="18">
      <c r="A18" s="6" t="n">
        <v>188</v>
      </c>
      <c r="B18" s="5" t="inlineStr">
        <is>
          <t>S2</t>
        </is>
      </c>
      <c r="C18" s="5" t="inlineStr">
        <is>
          <t>22: Closed-loop wound-management platform with on-chip inference and drug delivery</t>
        </is>
      </c>
      <c r="D18" s="5" t="inlineStr">
        <is>
          <t>Smart Wound Management System Capable of On‐Chip Machine Learning and Closed‐Loop Therapeutic Feedback</t>
        </is>
      </c>
      <c r="E18" s="5" t="inlineStr">
        <is>
          <t>10.1002/adfm.202522329</t>
        </is>
      </c>
      <c r="F18" s="5" t="inlineStr">
        <is>
          <t>Closed-loop therapy</t>
        </is>
      </c>
      <c r="G18" s="5" t="inlineStr">
        <is>
          <t>Inflammation or immune state</t>
        </is>
      </c>
      <c r="H18" s="6" t="inlineStr">
        <is>
          <t>1</t>
        </is>
      </c>
      <c r="K18" s="5" t="inlineStr">
        <is>
          <t>Provided article-level Table S2 coding (renumbered to current main bibliography)</t>
        </is>
      </c>
      <c r="L18" s="5" t="inlineStr">
        <is>
          <t>https://doi.org/10.1002/adfm.202522329</t>
        </is>
      </c>
      <c r="M18" s="5" t="inlineStr">
        <is>
          <t>100.0</t>
        </is>
      </c>
      <c r="N18" s="5" t="inlineStr">
        <is>
          <t>YES</t>
        </is>
      </c>
    </row>
    <row r="19">
      <c r="A19" s="6" t="n">
        <v>187</v>
      </c>
      <c r="B19" s="5" t="inlineStr">
        <is>
          <t>S2</t>
        </is>
      </c>
      <c r="C19" s="5" t="inlineStr">
        <is>
          <t>21: Wireless smart bandage with sensing and electrical stimulation</t>
        </is>
      </c>
      <c r="D19" s="5" t="inlineStr">
        <is>
          <t>Wireless, closed-loop, smart bandage with integrated sensors and stimulators for advanced wound care and accelerated healing</t>
        </is>
      </c>
      <c r="E19" s="5" t="inlineStr">
        <is>
          <t>10.1038/s41587-022-01528-3</t>
        </is>
      </c>
      <c r="F19" s="5" t="inlineStr">
        <is>
          <t>Closed-loop therapy</t>
        </is>
      </c>
      <c r="G19" s="5" t="inlineStr">
        <is>
          <t>Metabolic or biochemical sensing</t>
        </is>
      </c>
      <c r="H19" s="6" t="inlineStr">
        <is>
          <t>1</t>
        </is>
      </c>
      <c r="K19" s="5" t="inlineStr">
        <is>
          <t>Provided article-level Table S2 coding (renumbered to current main bibliography)</t>
        </is>
      </c>
      <c r="L19" s="5" t="inlineStr">
        <is>
          <t>https://doi.org/10.1038/s41587-022-01528-3</t>
        </is>
      </c>
      <c r="M19" s="5" t="inlineStr">
        <is>
          <t>100.0</t>
        </is>
      </c>
      <c r="N19" s="5" t="inlineStr">
        <is>
          <t>YES</t>
        </is>
      </c>
    </row>
    <row r="20">
      <c r="A20" s="6" t="n">
        <v>188</v>
      </c>
      <c r="B20" s="5" t="inlineStr">
        <is>
          <t>S2</t>
        </is>
      </c>
      <c r="C20" s="5" t="inlineStr">
        <is>
          <t>22: Closed-loop wound-management platform with on-chip inference and drug delivery</t>
        </is>
      </c>
      <c r="D20" s="5" t="inlineStr">
        <is>
          <t>Smart Wound Management System Capable of On‐Chip Machine Learning and Closed‐Loop Therapeutic Feedback</t>
        </is>
      </c>
      <c r="E20" s="5" t="inlineStr">
        <is>
          <t>10.1002/adfm.202522329</t>
        </is>
      </c>
      <c r="F20" s="5" t="inlineStr">
        <is>
          <t>Closed-loop therapy</t>
        </is>
      </c>
      <c r="G20" s="5" t="inlineStr">
        <is>
          <t>Metabolic or biochemical sensing</t>
        </is>
      </c>
      <c r="H20" s="6" t="inlineStr">
        <is>
          <t>1</t>
        </is>
      </c>
      <c r="K20" s="5" t="inlineStr">
        <is>
          <t>Provided article-level Table S2 coding (renumbered to current main bibliography)</t>
        </is>
      </c>
      <c r="L20" s="5" t="inlineStr">
        <is>
          <t>https://doi.org/10.1002/adfm.202522329</t>
        </is>
      </c>
      <c r="M20" s="5" t="inlineStr">
        <is>
          <t>100.0</t>
        </is>
      </c>
      <c r="N20" s="5" t="inlineStr">
        <is>
          <t>YES</t>
        </is>
      </c>
    </row>
    <row r="21">
      <c r="A21" s="6" t="n">
        <v>158</v>
      </c>
      <c r="B21" s="5" t="inlineStr">
        <is>
          <t>S2</t>
        </is>
      </c>
      <c r="C21" s="5" t="inlineStr">
        <is>
          <t>3: Ex vivo full-thickness human skin microbioreactor</t>
        </is>
      </c>
      <c r="D21" s="5" t="inlineStr">
        <is>
          <t>Design and evaluation of a skin-on-a-chip pumpless microfluidic device</t>
        </is>
      </c>
      <c r="E21" s="5" t="inlineStr">
        <is>
          <t>10.1038/s41598-023-34796-3</t>
        </is>
      </c>
      <c r="F21" s="5" t="inlineStr">
        <is>
          <t>Controlled microfluidic perturbation</t>
        </is>
      </c>
      <c r="G21" s="5" t="inlineStr">
        <is>
          <t>Barrier or permeation</t>
        </is>
      </c>
      <c r="H21" s="6" t="inlineStr">
        <is>
          <t>1</t>
        </is>
      </c>
      <c r="K21" s="5" t="inlineStr">
        <is>
          <t>Provided article-level Table S2 coding (renumbered to current main bibliography)</t>
        </is>
      </c>
      <c r="L21" s="5" t="inlineStr">
        <is>
          <t>https://doi.org/10.1038/s41598-023-34796-3</t>
        </is>
      </c>
      <c r="M21" s="5" t="inlineStr">
        <is>
          <t>100.0</t>
        </is>
      </c>
      <c r="N21" s="5" t="inlineStr">
        <is>
          <t>YES</t>
        </is>
      </c>
    </row>
    <row r="22">
      <c r="A22" s="6" t="n">
        <v>155</v>
      </c>
      <c r="B22" s="5" t="inlineStr">
        <is>
          <t>S2</t>
        </is>
      </c>
      <c r="C22" s="5" t="inlineStr">
        <is>
          <t>2: Perfused dermal perivascular angiogenesis chip</t>
        </is>
      </c>
      <c r="D22" s="5" t="inlineStr">
        <is>
          <t>A 3D millifluidic model of a dermal perivascular microenvironment on a chip</t>
        </is>
      </c>
      <c r="E22" s="5" t="inlineStr">
        <is>
          <t>10.1039/d4lc00898g</t>
        </is>
      </c>
      <c r="F22" s="5" t="inlineStr">
        <is>
          <t>Controlled microfluidic perturbation</t>
        </is>
      </c>
      <c r="G22" s="5" t="inlineStr">
        <is>
          <t>Flow or perfusion control</t>
        </is>
      </c>
      <c r="H22" s="6" t="inlineStr">
        <is>
          <t>1</t>
        </is>
      </c>
      <c r="K22" s="5" t="inlineStr">
        <is>
          <t>Provided article-level Table S2 coding (renumbered to current main bibliography)</t>
        </is>
      </c>
      <c r="L22" s="5" t="inlineStr">
        <is>
          <t>https://doi.org/10.1039/d4lc00898g</t>
        </is>
      </c>
      <c r="M22" s="5" t="inlineStr">
        <is>
          <t>100.0</t>
        </is>
      </c>
      <c r="N22" s="5" t="inlineStr">
        <is>
          <t>YES</t>
        </is>
      </c>
    </row>
    <row r="23">
      <c r="A23" s="6" t="n">
        <v>158</v>
      </c>
      <c r="B23" s="5" t="inlineStr">
        <is>
          <t>S2</t>
        </is>
      </c>
      <c r="C23" s="5" t="inlineStr">
        <is>
          <t>3: Ex vivo full-thickness human skin microbioreactor</t>
        </is>
      </c>
      <c r="D23" s="5" t="inlineStr">
        <is>
          <t>Design and evaluation of a skin-on-a-chip pumpless microfluidic device</t>
        </is>
      </c>
      <c r="E23" s="5" t="inlineStr">
        <is>
          <t>10.1038/s41598-023-34796-3</t>
        </is>
      </c>
      <c r="F23" s="5" t="inlineStr">
        <is>
          <t>Controlled microfluidic perturbation</t>
        </is>
      </c>
      <c r="G23" s="5" t="inlineStr">
        <is>
          <t>Flow or perfusion control</t>
        </is>
      </c>
      <c r="H23" s="6" t="inlineStr">
        <is>
          <t>1</t>
        </is>
      </c>
      <c r="K23" s="5" t="inlineStr">
        <is>
          <t>Provided article-level Table S2 coding (renumbered to current main bibliography)</t>
        </is>
      </c>
      <c r="L23" s="5" t="inlineStr">
        <is>
          <t>https://doi.org/10.1038/s41598-023-34796-3</t>
        </is>
      </c>
      <c r="M23" s="5" t="inlineStr">
        <is>
          <t>100.0</t>
        </is>
      </c>
      <c r="N23" s="5" t="inlineStr">
        <is>
          <t>YES</t>
        </is>
      </c>
    </row>
    <row r="24">
      <c r="A24" s="6" t="n">
        <v>159</v>
      </c>
      <c r="B24" s="5" t="inlineStr">
        <is>
          <t>S2</t>
        </is>
      </c>
      <c r="C24" s="5" t="inlineStr">
        <is>
          <t>4: Layered tissue-generation chip</t>
        </is>
      </c>
      <c r="D24" s="5" t="inlineStr">
        <is>
          <t>A new microfluidic method enabling the generation of multi-layered tissues-on-chips using skin cells as a proof of concept</t>
        </is>
      </c>
      <c r="E24" s="5" t="inlineStr">
        <is>
          <t>10.1038/s41598-021-91875-z</t>
        </is>
      </c>
      <c r="F24" s="5" t="inlineStr">
        <is>
          <t>Controlled microfluidic perturbation</t>
        </is>
      </c>
      <c r="G24" s="5" t="inlineStr">
        <is>
          <t>Flow or perfusion control</t>
        </is>
      </c>
      <c r="H24" s="6" t="inlineStr">
        <is>
          <t>1</t>
        </is>
      </c>
      <c r="K24" s="5" t="inlineStr">
        <is>
          <t>Provided article-level Table S2 coding (renumbered to current main bibliography)</t>
        </is>
      </c>
      <c r="L24" s="5" t="inlineStr">
        <is>
          <t>https://doi.org/10.1038/s41598-021-91875-z</t>
        </is>
      </c>
      <c r="M24" s="5" t="inlineStr">
        <is>
          <t>100.0</t>
        </is>
      </c>
      <c r="N24" s="5" t="inlineStr">
        <is>
          <t>YES</t>
        </is>
      </c>
    </row>
    <row r="25">
      <c r="A25" s="6" t="n">
        <v>155</v>
      </c>
      <c r="B25" s="5" t="inlineStr">
        <is>
          <t>S2</t>
        </is>
      </c>
      <c r="C25" s="5" t="inlineStr">
        <is>
          <t>2: Perfused dermal perivascular angiogenesis chip</t>
        </is>
      </c>
      <c r="D25" s="5" t="inlineStr">
        <is>
          <t>A 3D millifluidic model of a dermal perivascular microenvironment on a chip</t>
        </is>
      </c>
      <c r="E25" s="5" t="inlineStr">
        <is>
          <t>10.1039/d4lc00898g</t>
        </is>
      </c>
      <c r="F25" s="5" t="inlineStr">
        <is>
          <t>Controlled microfluidic perturbation</t>
        </is>
      </c>
      <c r="G25" s="5" t="inlineStr">
        <is>
          <t>Oxygen or angiogenic cues</t>
        </is>
      </c>
      <c r="H25" s="6" t="inlineStr">
        <is>
          <t>1</t>
        </is>
      </c>
      <c r="K25" s="5" t="inlineStr">
        <is>
          <t>Provided article-level Table S2 coding (renumbered to current main bibliography)</t>
        </is>
      </c>
      <c r="L25" s="5" t="inlineStr">
        <is>
          <t>https://doi.org/10.1039/d4lc00898g</t>
        </is>
      </c>
      <c r="M25" s="5" t="inlineStr">
        <is>
          <t>100.0</t>
        </is>
      </c>
      <c r="N25" s="5" t="inlineStr">
        <is>
          <t>YES</t>
        </is>
      </c>
    </row>
    <row r="26">
      <c r="A26" s="6" t="n">
        <v>164</v>
      </c>
      <c r="B26" s="5" t="inlineStr">
        <is>
          <t>S2</t>
        </is>
      </c>
      <c r="C26" s="5" t="inlineStr">
        <is>
          <t>5: Oxygen-gradient angiogenesis module</t>
        </is>
      </c>
      <c r="D26" s="5" t="inlineStr">
        <is>
          <t>Studying sprouting angiogenesis under combination of oxygen gradients and co-culture of fibroblasts using microfluidic cell culture model</t>
        </is>
      </c>
      <c r="E26" s="5" t="inlineStr">
        <is>
          <t>10.1016/j.mtbio.2023.100703</t>
        </is>
      </c>
      <c r="F26" s="5" t="inlineStr">
        <is>
          <t>Controlled microfluidic perturbation</t>
        </is>
      </c>
      <c r="G26" s="5" t="inlineStr">
        <is>
          <t>Oxygen or angiogenic cues</t>
        </is>
      </c>
      <c r="H26" s="6" t="inlineStr">
        <is>
          <t>1</t>
        </is>
      </c>
      <c r="K26" s="5" t="inlineStr">
        <is>
          <t>Provided article-level Table S2 coding (renumbered to current main bibliography)</t>
        </is>
      </c>
      <c r="L26" s="5" t="inlineStr">
        <is>
          <t>https://doi.org/10.1016/j.mtbio.2023.100703</t>
        </is>
      </c>
      <c r="M26" s="5" t="inlineStr">
        <is>
          <t>100.0</t>
        </is>
      </c>
      <c r="N26" s="5" t="inlineStr">
        <is>
          <t>YES</t>
        </is>
      </c>
    </row>
    <row r="27">
      <c r="A27" s="6" t="n">
        <v>58</v>
      </c>
      <c r="B27" s="5" t="inlineStr">
        <is>
          <t>S2</t>
        </is>
      </c>
      <c r="C27" s="5" t="inlineStr">
        <is>
          <t>12: Perfused inflammatory full-thickness skin-on-chip model for drug-response testing</t>
        </is>
      </c>
      <c r="D27" s="5" t="inlineStr">
        <is>
          <t>Analysis of drug efficacy for inflammatory skin on an organ-chip system</t>
        </is>
      </c>
      <c r="E27" s="5" t="n"/>
      <c r="F27" s="5" t="inlineStr">
        <is>
          <t>Disease/immune programming</t>
        </is>
      </c>
      <c r="G27" s="5" t="inlineStr">
        <is>
          <t>Barrier or permeation</t>
        </is>
      </c>
      <c r="H27" s="6" t="inlineStr">
        <is>
          <t>1</t>
        </is>
      </c>
      <c r="K27" s="5" t="inlineStr">
        <is>
          <t>Source-specific correction from Quan et al. 2022, not Gard et al. 2023; full-text primary source verified. Provided article-level Table S2 coding (renumbered to current main bibliography)</t>
        </is>
      </c>
      <c r="L27" s="5" t="inlineStr">
        <is>
          <t>https://doi.org/10.3389/fbioe.2022.939629</t>
        </is>
      </c>
      <c r="M27" s="5" t="inlineStr">
        <is>
          <t>100.0</t>
        </is>
      </c>
      <c r="N27" s="5" t="inlineStr">
        <is>
          <t>YES</t>
        </is>
      </c>
    </row>
    <row r="28">
      <c r="A28" s="6" t="n">
        <v>169</v>
      </c>
      <c r="B28" s="5" t="inlineStr">
        <is>
          <t>S2</t>
        </is>
      </c>
      <c r="C28" s="5" t="inlineStr">
        <is>
          <t>13: Infection-activated vessel-on-chip</t>
        </is>
      </c>
      <c r="D28" s="5" t="inlineStr">
        <is>
          <t>An in vitro human vessel model to study Neisseria meningitidis colonization and vascular damages</t>
        </is>
      </c>
      <c r="E28" s="5" t="inlineStr">
        <is>
          <t>10.7554/eLife.107813</t>
        </is>
      </c>
      <c r="F28" s="5" t="inlineStr">
        <is>
          <t>Disease/immune programming</t>
        </is>
      </c>
      <c r="G28" s="5" t="inlineStr">
        <is>
          <t>Barrier or permeation</t>
        </is>
      </c>
      <c r="H28" s="6" t="inlineStr">
        <is>
          <t>1</t>
        </is>
      </c>
      <c r="K28" s="5" t="inlineStr">
        <is>
          <t>Provided article-level Table S2 coding (renumbered to current main bibliography)</t>
        </is>
      </c>
      <c r="L28" s="5" t="inlineStr">
        <is>
          <t>https://doi.org/10.7554/eLife.107813</t>
        </is>
      </c>
      <c r="M28" s="5" t="inlineStr">
        <is>
          <t>100.0</t>
        </is>
      </c>
      <c r="N28" s="5" t="inlineStr">
        <is>
          <t>YES</t>
        </is>
      </c>
    </row>
    <row r="29">
      <c r="A29" s="6" t="n">
        <v>198</v>
      </c>
      <c r="B29" s="5" t="inlineStr">
        <is>
          <t>S2</t>
        </is>
      </c>
      <c r="C29" s="5" t="inlineStr">
        <is>
          <t>16: Epidermal pruritus and barrier-support skin-on-chip</t>
        </is>
      </c>
      <c r="D29" s="5" t="inlineStr">
        <is>
          <t>Skin-on-Chip and clinical evaluation of the soothing potential of a topical natural treatment for atopic-prone skin: An exploratory study</t>
        </is>
      </c>
      <c r="E29" s="5" t="inlineStr">
        <is>
          <t>10.1016/j.biopha.2025.118957</t>
        </is>
      </c>
      <c r="F29" s="5" t="inlineStr">
        <is>
          <t>Disease/immune programming</t>
        </is>
      </c>
      <c r="G29" s="5" t="inlineStr">
        <is>
          <t>Barrier or permeation</t>
        </is>
      </c>
      <c r="H29" s="6" t="inlineStr">
        <is>
          <t>1</t>
        </is>
      </c>
      <c r="K29" s="5" t="inlineStr">
        <is>
          <t>Provided article-level Table S2 coding (renumbered to current main bibliography)</t>
        </is>
      </c>
      <c r="L29" s="5" t="inlineStr">
        <is>
          <t>https://doi.org/10.1016/j.biopha.2025.118957</t>
        </is>
      </c>
      <c r="M29" s="5" t="inlineStr">
        <is>
          <t>100.0</t>
        </is>
      </c>
      <c r="N29" s="5" t="inlineStr">
        <is>
          <t>YES</t>
        </is>
      </c>
    </row>
    <row r="30">
      <c r="A30" s="6" t="n">
        <v>58</v>
      </c>
      <c r="B30" s="5" t="inlineStr">
        <is>
          <t>S2</t>
        </is>
      </c>
      <c r="C30" s="5" t="inlineStr">
        <is>
          <t>12: Perfused inflammatory full-thickness skin-on-chip model for drug-response testing</t>
        </is>
      </c>
      <c r="D30" s="5" t="inlineStr">
        <is>
          <t>Analysis of drug efficacy for inflammatory skin on an organ-chip system</t>
        </is>
      </c>
      <c r="E30" s="5" t="n"/>
      <c r="F30" s="5" t="inlineStr">
        <is>
          <t>Disease/immune programming</t>
        </is>
      </c>
      <c r="G30" s="5" t="inlineStr">
        <is>
          <t>Flow or perfusion control</t>
        </is>
      </c>
      <c r="H30" s="6" t="inlineStr">
        <is>
          <t>1</t>
        </is>
      </c>
      <c r="K30" s="5" t="inlineStr">
        <is>
          <t>Source-specific correction from Quan et al. 2022, not Gard et al. 2023; full-text primary source verified. Provided article-level Table S2 coding (renumbered to current main bibliography)</t>
        </is>
      </c>
      <c r="L30" s="5" t="inlineStr">
        <is>
          <t>https://doi.org/10.3389/fbioe.2022.939629</t>
        </is>
      </c>
      <c r="M30" s="5" t="inlineStr">
        <is>
          <t>100.0</t>
        </is>
      </c>
      <c r="N30" s="5" t="inlineStr">
        <is>
          <t>YES</t>
        </is>
      </c>
    </row>
    <row r="31">
      <c r="A31" s="6" t="n">
        <v>169</v>
      </c>
      <c r="B31" s="5" t="inlineStr">
        <is>
          <t>S2</t>
        </is>
      </c>
      <c r="C31" s="5" t="inlineStr">
        <is>
          <t>13: Infection-activated vessel-on-chip</t>
        </is>
      </c>
      <c r="D31" s="5" t="inlineStr">
        <is>
          <t>An in vitro human vessel model to study Neisseria meningitidis colonization and vascular damages</t>
        </is>
      </c>
      <c r="E31" s="5" t="inlineStr">
        <is>
          <t>10.7554/eLife.107813</t>
        </is>
      </c>
      <c r="F31" s="5" t="inlineStr">
        <is>
          <t>Disease/immune programming</t>
        </is>
      </c>
      <c r="G31" s="5" t="inlineStr">
        <is>
          <t>Flow or perfusion control</t>
        </is>
      </c>
      <c r="H31" s="6" t="inlineStr">
        <is>
          <t>1</t>
        </is>
      </c>
      <c r="K31" s="5" t="inlineStr">
        <is>
          <t>Provided article-level Table S2 coding (renumbered to current main bibliography)</t>
        </is>
      </c>
      <c r="L31" s="5" t="inlineStr">
        <is>
          <t>https://doi.org/10.7554/eLife.107813</t>
        </is>
      </c>
      <c r="M31" s="5" t="inlineStr">
        <is>
          <t>100.0</t>
        </is>
      </c>
      <c r="N31" s="5" t="inlineStr">
        <is>
          <t>YES</t>
        </is>
      </c>
    </row>
    <row r="32">
      <c r="A32" s="6" t="n">
        <v>196</v>
      </c>
      <c r="B32" s="5" t="inlineStr">
        <is>
          <t>S2</t>
        </is>
      </c>
      <c r="C32" s="5" t="inlineStr">
        <is>
          <t>14: Dynamic reconstructed skin-on-chip for topical sensitizer response</t>
        </is>
      </c>
      <c r="D32" s="5" t="inlineStr">
        <is>
          <t>Proof-of-concept organ-on-chip study: topical cinnamaldehyde exposure of reconstructed human skin with integrated neopapillae cultured under dynamic flow</t>
        </is>
      </c>
      <c r="E32" s="5" t="inlineStr">
        <is>
          <t>10.3390/pharmaceutics14081529</t>
        </is>
      </c>
      <c r="F32" s="5" t="inlineStr">
        <is>
          <t>Disease/immune programming</t>
        </is>
      </c>
      <c r="G32" s="5" t="inlineStr">
        <is>
          <t>Flow or perfusion control</t>
        </is>
      </c>
      <c r="H32" s="6" t="inlineStr">
        <is>
          <t>1</t>
        </is>
      </c>
      <c r="K32" s="5" t="inlineStr">
        <is>
          <t>Provided article-level Table S2 coding (renumbered to current main bibliography)</t>
        </is>
      </c>
      <c r="L32" s="5" t="inlineStr">
        <is>
          <t>https://doi.org/10.3390/pharmaceutics14081529</t>
        </is>
      </c>
      <c r="M32" s="5" t="inlineStr">
        <is>
          <t>100.0</t>
        </is>
      </c>
      <c r="N32" s="5" t="inlineStr">
        <is>
          <t>YES</t>
        </is>
      </c>
    </row>
    <row r="33">
      <c r="A33" s="6" t="n">
        <v>197</v>
      </c>
      <c r="B33" s="5" t="inlineStr">
        <is>
          <t>S2</t>
        </is>
      </c>
      <c r="C33" s="5" t="inlineStr">
        <is>
          <t>15: Perfused inflammatory skin-on-chip with rapid cytokine detection</t>
        </is>
      </c>
      <c r="D33" s="5" t="inlineStr">
        <is>
          <t>Skin-on-a-Chip Coupled with a Rapid Inflammation Detection System for Cosmetic Ingredient Screening</t>
        </is>
      </c>
      <c r="F33" s="5" t="inlineStr">
        <is>
          <t>Disease/immune programming</t>
        </is>
      </c>
      <c r="G33" s="5" t="inlineStr">
        <is>
          <t>Flow or perfusion control</t>
        </is>
      </c>
      <c r="H33" s="6" t="inlineStr">
        <is>
          <t>1</t>
        </is>
      </c>
      <c r="K33" s="5" t="inlineStr">
        <is>
          <t>Provided article-level Table S2 coding (renumbered to current main bibliography)</t>
        </is>
      </c>
      <c r="M33" s="5" t="inlineStr">
        <is>
          <t>100.0</t>
        </is>
      </c>
      <c r="N33" s="5" t="inlineStr">
        <is>
          <t>YES</t>
        </is>
      </c>
    </row>
    <row r="34">
      <c r="A34" s="6" t="n">
        <v>198</v>
      </c>
      <c r="B34" s="5" t="inlineStr">
        <is>
          <t>S2</t>
        </is>
      </c>
      <c r="C34" s="5" t="inlineStr">
        <is>
          <t>16: Epidermal pruritus and barrier-support skin-on-chip</t>
        </is>
      </c>
      <c r="D34" s="5" t="inlineStr">
        <is>
          <t>Skin-on-Chip and clinical evaluation of the soothing potential of a topical natural treatment for atopic-prone skin: An exploratory study</t>
        </is>
      </c>
      <c r="E34" s="5" t="inlineStr">
        <is>
          <t>10.1016/j.biopha.2025.118957</t>
        </is>
      </c>
      <c r="F34" s="5" t="inlineStr">
        <is>
          <t>Disease/immune programming</t>
        </is>
      </c>
      <c r="G34" s="5" t="inlineStr">
        <is>
          <t>Flow or perfusion control</t>
        </is>
      </c>
      <c r="H34" s="6" t="inlineStr">
        <is>
          <t>1</t>
        </is>
      </c>
      <c r="K34" s="5" t="inlineStr">
        <is>
          <t>Provided article-level Table S2 coding (renumbered to current main bibliography)</t>
        </is>
      </c>
      <c r="L34" s="5" t="inlineStr">
        <is>
          <t>https://doi.org/10.1016/j.biopha.2025.118957</t>
        </is>
      </c>
      <c r="M34" s="5" t="inlineStr">
        <is>
          <t>100.0</t>
        </is>
      </c>
      <c r="N34" s="5" t="inlineStr">
        <is>
          <t>YES</t>
        </is>
      </c>
    </row>
    <row r="35">
      <c r="A35" s="6" t="n">
        <v>169</v>
      </c>
      <c r="B35" s="5" t="inlineStr">
        <is>
          <t>S2</t>
        </is>
      </c>
      <c r="C35" s="5" t="inlineStr">
        <is>
          <t>13: Infection-activated vessel-on-chip</t>
        </is>
      </c>
      <c r="D35" s="5" t="inlineStr">
        <is>
          <t>An in vitro human vessel model to study Neisseria meningitidis colonization and vascular damages</t>
        </is>
      </c>
      <c r="E35" s="5" t="inlineStr">
        <is>
          <t>10.7554/eLife.107813</t>
        </is>
      </c>
      <c r="F35" s="5" t="inlineStr">
        <is>
          <t>Disease/immune programming</t>
        </is>
      </c>
      <c r="G35" s="5" t="inlineStr">
        <is>
          <t>Infection or microbial state</t>
        </is>
      </c>
      <c r="H35" s="6" t="inlineStr">
        <is>
          <t>1</t>
        </is>
      </c>
      <c r="K35" s="5" t="inlineStr">
        <is>
          <t>Provided article-level Table S2 coding (renumbered to current main bibliography)</t>
        </is>
      </c>
      <c r="L35" s="5" t="inlineStr">
        <is>
          <t>https://doi.org/10.7554/eLife.107813</t>
        </is>
      </c>
      <c r="M35" s="5" t="inlineStr">
        <is>
          <t>100.0</t>
        </is>
      </c>
      <c r="N35" s="5" t="inlineStr">
        <is>
          <t>YES</t>
        </is>
      </c>
    </row>
    <row r="36">
      <c r="A36" s="6" t="n">
        <v>58</v>
      </c>
      <c r="B36" s="5" t="inlineStr">
        <is>
          <t>S2</t>
        </is>
      </c>
      <c r="C36" s="5" t="inlineStr">
        <is>
          <t>12: Perfused inflammatory full-thickness skin-on-chip model for drug-response testing</t>
        </is>
      </c>
      <c r="D36" s="5" t="inlineStr">
        <is>
          <t>Analysis of drug efficacy for inflammatory skin on an organ-chip system</t>
        </is>
      </c>
      <c r="E36" s="5" t="n"/>
      <c r="F36" s="5" t="inlineStr">
        <is>
          <t>Disease/immune programming</t>
        </is>
      </c>
      <c r="G36" s="5" t="inlineStr">
        <is>
          <t>Inflammation or immune state</t>
        </is>
      </c>
      <c r="H36" s="6" t="inlineStr">
        <is>
          <t>1</t>
        </is>
      </c>
      <c r="K36" s="5" t="inlineStr">
        <is>
          <t>Source-specific correction from Quan et al. 2022, not Gard et al. 2023; full-text primary source verified. Provided article-level Table S2 coding (renumbered to current main bibliography)</t>
        </is>
      </c>
      <c r="L36" s="5" t="inlineStr">
        <is>
          <t>https://doi.org/10.3389/fbioe.2022.939629</t>
        </is>
      </c>
      <c r="M36" s="5" t="inlineStr">
        <is>
          <t>100.0</t>
        </is>
      </c>
      <c r="N36" s="5" t="inlineStr">
        <is>
          <t>YES</t>
        </is>
      </c>
    </row>
    <row r="37">
      <c r="A37" s="6" t="n">
        <v>169</v>
      </c>
      <c r="B37" s="5" t="inlineStr">
        <is>
          <t>S2</t>
        </is>
      </c>
      <c r="C37" s="5" t="inlineStr">
        <is>
          <t>13: Infection-activated vessel-on-chip</t>
        </is>
      </c>
      <c r="D37" s="5" t="inlineStr">
        <is>
          <t>An in vitro human vessel model to study Neisseria meningitidis colonization and vascular damages</t>
        </is>
      </c>
      <c r="E37" s="5" t="inlineStr">
        <is>
          <t>10.7554/eLife.107813</t>
        </is>
      </c>
      <c r="F37" s="5" t="inlineStr">
        <is>
          <t>Disease/immune programming</t>
        </is>
      </c>
      <c r="G37" s="5" t="inlineStr">
        <is>
          <t>Inflammation or immune state</t>
        </is>
      </c>
      <c r="H37" s="6" t="inlineStr">
        <is>
          <t>1</t>
        </is>
      </c>
      <c r="K37" s="5" t="inlineStr">
        <is>
          <t>Provided article-level Table S2 coding (renumbered to current main bibliography)</t>
        </is>
      </c>
      <c r="L37" s="5" t="inlineStr">
        <is>
          <t>https://doi.org/10.7554/eLife.107813</t>
        </is>
      </c>
      <c r="M37" s="5" t="inlineStr">
        <is>
          <t>100.0</t>
        </is>
      </c>
      <c r="N37" s="5" t="inlineStr">
        <is>
          <t>YES</t>
        </is>
      </c>
    </row>
    <row r="38">
      <c r="A38" s="6" t="n">
        <v>196</v>
      </c>
      <c r="B38" s="5" t="inlineStr">
        <is>
          <t>S2</t>
        </is>
      </c>
      <c r="C38" s="5" t="inlineStr">
        <is>
          <t>14: Dynamic reconstructed skin-on-chip for topical sensitizer response</t>
        </is>
      </c>
      <c r="D38" s="5" t="inlineStr">
        <is>
          <t>Proof-of-concept organ-on-chip study: topical cinnamaldehyde exposure of reconstructed human skin with integrated neopapillae cultured under dynamic flow</t>
        </is>
      </c>
      <c r="E38" s="5" t="inlineStr">
        <is>
          <t>10.3390/pharmaceutics14081529</t>
        </is>
      </c>
      <c r="F38" s="5" t="inlineStr">
        <is>
          <t>Disease/immune programming</t>
        </is>
      </c>
      <c r="G38" s="5" t="inlineStr">
        <is>
          <t>Inflammation or immune state</t>
        </is>
      </c>
      <c r="H38" s="6" t="inlineStr">
        <is>
          <t>1</t>
        </is>
      </c>
      <c r="K38" s="5" t="inlineStr">
        <is>
          <t>Provided article-level Table S2 coding (renumbered to current main bibliography)</t>
        </is>
      </c>
      <c r="L38" s="5" t="inlineStr">
        <is>
          <t>https://doi.org/10.3390/pharmaceutics14081529</t>
        </is>
      </c>
      <c r="M38" s="5" t="inlineStr">
        <is>
          <t>100.0</t>
        </is>
      </c>
      <c r="N38" s="5" t="inlineStr">
        <is>
          <t>YES</t>
        </is>
      </c>
    </row>
    <row r="39">
      <c r="A39" s="6" t="n">
        <v>197</v>
      </c>
      <c r="B39" s="5" t="inlineStr">
        <is>
          <t>S2</t>
        </is>
      </c>
      <c r="C39" s="5" t="inlineStr">
        <is>
          <t>15: Perfused inflammatory skin-on-chip with rapid cytokine detection</t>
        </is>
      </c>
      <c r="D39" s="5" t="inlineStr">
        <is>
          <t>Skin-on-a-Chip Coupled with a Rapid Inflammation Detection System for Cosmetic Ingredient Screening</t>
        </is>
      </c>
      <c r="F39" s="5" t="inlineStr">
        <is>
          <t>Disease/immune programming</t>
        </is>
      </c>
      <c r="G39" s="5" t="inlineStr">
        <is>
          <t>Inflammation or immune state</t>
        </is>
      </c>
      <c r="H39" s="6" t="inlineStr">
        <is>
          <t>1</t>
        </is>
      </c>
      <c r="K39" s="5" t="inlineStr">
        <is>
          <t>Provided article-level Table S2 coding (renumbered to current main bibliography)</t>
        </is>
      </c>
      <c r="M39" s="5" t="inlineStr">
        <is>
          <t>100.0</t>
        </is>
      </c>
      <c r="N39" s="5" t="inlineStr">
        <is>
          <t>YES</t>
        </is>
      </c>
    </row>
    <row r="40">
      <c r="A40" s="6" t="n">
        <v>198</v>
      </c>
      <c r="B40" s="5" t="inlineStr">
        <is>
          <t>S2</t>
        </is>
      </c>
      <c r="C40" s="5" t="inlineStr">
        <is>
          <t>16: Epidermal pruritus and barrier-support skin-on-chip</t>
        </is>
      </c>
      <c r="D40" s="5" t="inlineStr">
        <is>
          <t>Skin-on-Chip and clinical evaluation of the soothing potential of a topical natural treatment for atopic-prone skin: An exploratory study</t>
        </is>
      </c>
      <c r="E40" s="5" t="inlineStr">
        <is>
          <t>10.1016/j.biopha.2025.118957</t>
        </is>
      </c>
      <c r="F40" s="5" t="inlineStr">
        <is>
          <t>Disease/immune programming</t>
        </is>
      </c>
      <c r="G40" s="5" t="inlineStr">
        <is>
          <t>Inflammation or immune state</t>
        </is>
      </c>
      <c r="H40" s="6" t="inlineStr">
        <is>
          <t>1</t>
        </is>
      </c>
      <c r="K40" s="5" t="inlineStr">
        <is>
          <t>Provided article-level Table S2 coding (renumbered to current main bibliography)</t>
        </is>
      </c>
      <c r="L40" s="5" t="inlineStr">
        <is>
          <t>https://doi.org/10.1016/j.biopha.2025.118957</t>
        </is>
      </c>
      <c r="M40" s="5" t="inlineStr">
        <is>
          <t>100.0</t>
        </is>
      </c>
      <c r="N40" s="5" t="inlineStr">
        <is>
          <t>YES</t>
        </is>
      </c>
    </row>
    <row r="41">
      <c r="A41" s="6" t="n">
        <v>101</v>
      </c>
      <c r="B41" s="5" t="inlineStr">
        <is>
          <t>S2</t>
        </is>
      </c>
      <c r="C41" s="5" t="inlineStr">
        <is>
          <t>18: Multiplexed wound-exudate sensing patches</t>
        </is>
      </c>
      <c r="D41" s="5" t="inlineStr">
        <is>
          <t>A flexible multiplexed immunosensor for point-of-care in situ wound monitoring</t>
        </is>
      </c>
      <c r="E41" s="5" t="inlineStr">
        <is>
          <t>10.1126/sciadv.abg9614</t>
        </is>
      </c>
      <c r="F41" s="5" t="inlineStr">
        <is>
          <t>Wound-state sensing</t>
        </is>
      </c>
      <c r="G41" s="5" t="inlineStr">
        <is>
          <t>Infection or microbial state</t>
        </is>
      </c>
      <c r="H41" s="6" t="inlineStr">
        <is>
          <t>1</t>
        </is>
      </c>
      <c r="K41" s="5" t="inlineStr">
        <is>
          <t>Provided article-level Table S2 coding (renumbered to current main bibliography)</t>
        </is>
      </c>
      <c r="L41" s="5" t="inlineStr">
        <is>
          <t>https://doi.org/10.1126/sciadv.abg9614</t>
        </is>
      </c>
      <c r="M41" s="5" t="inlineStr">
        <is>
          <t>100.0</t>
        </is>
      </c>
      <c r="N41" s="5" t="inlineStr">
        <is>
          <t>YES</t>
        </is>
      </c>
    </row>
    <row r="42">
      <c r="A42" s="6" t="n">
        <v>101</v>
      </c>
      <c r="B42" s="5" t="inlineStr">
        <is>
          <t>S2</t>
        </is>
      </c>
      <c r="C42" s="5" t="inlineStr">
        <is>
          <t>18: Multiplexed wound-exudate sensing patches</t>
        </is>
      </c>
      <c r="D42" s="5" t="inlineStr">
        <is>
          <t>A flexible multiplexed immunosensor for point-of-care in situ wound monitoring</t>
        </is>
      </c>
      <c r="E42" s="5" t="inlineStr">
        <is>
          <t>10.1126/sciadv.abg9614</t>
        </is>
      </c>
      <c r="F42" s="5" t="inlineStr">
        <is>
          <t>Wound-state sensing</t>
        </is>
      </c>
      <c r="G42" s="5" t="inlineStr">
        <is>
          <t>Inflammation or immune state</t>
        </is>
      </c>
      <c r="H42" s="6" t="inlineStr">
        <is>
          <t>1</t>
        </is>
      </c>
      <c r="K42" s="5" t="inlineStr">
        <is>
          <t>Provided article-level Table S2 coding (renumbered to current main bibliography)</t>
        </is>
      </c>
      <c r="L42" s="5" t="inlineStr">
        <is>
          <t>https://doi.org/10.1126/sciadv.abg9614</t>
        </is>
      </c>
      <c r="M42" s="5" t="inlineStr">
        <is>
          <t>100.0</t>
        </is>
      </c>
      <c r="N42" s="5" t="inlineStr">
        <is>
          <t>YES</t>
        </is>
      </c>
    </row>
    <row r="43">
      <c r="A43" s="6" t="n">
        <v>101</v>
      </c>
      <c r="B43" s="5" t="inlineStr">
        <is>
          <t>S2</t>
        </is>
      </c>
      <c r="C43" s="5" t="inlineStr">
        <is>
          <t>18: Multiplexed wound-exudate sensing patches</t>
        </is>
      </c>
      <c r="D43" s="5" t="inlineStr">
        <is>
          <t>A flexible multiplexed immunosensor for point-of-care in situ wound monitoring</t>
        </is>
      </c>
      <c r="E43" s="5" t="inlineStr">
        <is>
          <t>10.1126/sciadv.abg9614</t>
        </is>
      </c>
      <c r="F43" s="5" t="inlineStr">
        <is>
          <t>Wound-state sensing</t>
        </is>
      </c>
      <c r="G43" s="5" t="inlineStr">
        <is>
          <t>Metabolic or biochemical sensing</t>
        </is>
      </c>
      <c r="H43" s="6" t="inlineStr">
        <is>
          <t>1</t>
        </is>
      </c>
      <c r="K43" s="5" t="inlineStr">
        <is>
          <t>Provided article-level Table S2 coding (renumbered to current main bibliography)</t>
        </is>
      </c>
      <c r="L43" s="5" t="inlineStr">
        <is>
          <t>https://doi.org/10.1126/sciadv.abg9614</t>
        </is>
      </c>
      <c r="M43" s="5" t="inlineStr">
        <is>
          <t>100.0</t>
        </is>
      </c>
      <c r="N43" s="5" t="inlineStr">
        <is>
          <t>YES</t>
        </is>
      </c>
    </row>
    <row r="44">
      <c r="A44" s="6" t="n">
        <v>182</v>
      </c>
      <c r="B44" s="5" t="inlineStr">
        <is>
          <t>S2</t>
        </is>
      </c>
      <c r="C44" s="5" t="inlineStr">
        <is>
          <t>18: Multiplexed wound-exudate sensing patches</t>
        </is>
      </c>
      <c r="D44" s="5" t="inlineStr">
        <is>
          <t>A flexible and multimodal biosensing patch integrated with microfluidics for chronic wound monitoring</t>
        </is>
      </c>
      <c r="E44" s="5" t="inlineStr">
        <is>
          <t>10.1016/j.cej.2024.157673</t>
        </is>
      </c>
      <c r="F44" s="5" t="inlineStr">
        <is>
          <t>Wound-state sensing</t>
        </is>
      </c>
      <c r="G44" s="5" t="inlineStr">
        <is>
          <t>Metabolic or biochemical sensing</t>
        </is>
      </c>
      <c r="H44" s="6" t="inlineStr">
        <is>
          <t>1</t>
        </is>
      </c>
      <c r="K44" s="5" t="inlineStr">
        <is>
          <t>Provided article-level Table S2 coding (renumbered to current main bibliography)</t>
        </is>
      </c>
      <c r="L44" s="5" t="inlineStr">
        <is>
          <t>https://doi.org/10.1016/j.cej.2024.157673</t>
        </is>
      </c>
      <c r="M44" s="5" t="inlineStr">
        <is>
          <t>100.0</t>
        </is>
      </c>
      <c r="N44" s="5" t="inlineStr">
        <is>
          <t>YES</t>
        </is>
      </c>
    </row>
    <row r="45">
      <c r="A45" s="6" t="n">
        <v>183</v>
      </c>
      <c r="B45" s="5" t="inlineStr">
        <is>
          <t>S2</t>
        </is>
      </c>
      <c r="C45" s="5" t="inlineStr">
        <is>
          <t>19: Battery-free lactate prognostic wound monitor</t>
        </is>
      </c>
      <c r="D45" s="5" t="inlineStr">
        <is>
          <t>A miniaturized, battery‐free, wireless wound monitor that predicts wound closure rate early</t>
        </is>
      </c>
      <c r="E45" s="5" t="inlineStr">
        <is>
          <t>10.1002/adhm.202301280</t>
        </is>
      </c>
      <c r="F45" s="5" t="inlineStr">
        <is>
          <t>Wound-state sensing</t>
        </is>
      </c>
      <c r="G45" s="5" t="inlineStr">
        <is>
          <t>Metabolic or biochemical sensing</t>
        </is>
      </c>
      <c r="H45" s="6" t="inlineStr">
        <is>
          <t>1</t>
        </is>
      </c>
      <c r="K45" s="5" t="inlineStr">
        <is>
          <t>Provided article-level Table S2 coding (renumbered to current main bibliography)</t>
        </is>
      </c>
      <c r="L45" s="5" t="inlineStr">
        <is>
          <t>https://doi.org/10.1002/adhm.202301280</t>
        </is>
      </c>
      <c r="M45" s="5" t="inlineStr">
        <is>
          <t>100.0</t>
        </is>
      </c>
      <c r="N45" s="5" t="inlineStr">
        <is>
          <t>YES</t>
        </is>
      </c>
    </row>
  </sheetData>
  <autoFilter ref="A1:N45"/>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4" r:id="rId32"/>
    <hyperlink xmlns:r="http://schemas.openxmlformats.org/officeDocument/2006/relationships" ref="L35" r:id="rId33"/>
    <hyperlink xmlns:r="http://schemas.openxmlformats.org/officeDocument/2006/relationships" ref="L36" r:id="rId34"/>
    <hyperlink xmlns:r="http://schemas.openxmlformats.org/officeDocument/2006/relationships" ref="L37" r:id="rId35"/>
    <hyperlink xmlns:r="http://schemas.openxmlformats.org/officeDocument/2006/relationships" ref="L38" r:id="rId36"/>
    <hyperlink xmlns:r="http://schemas.openxmlformats.org/officeDocument/2006/relationships" ref="L40" r:id="rId37"/>
    <hyperlink xmlns:r="http://schemas.openxmlformats.org/officeDocument/2006/relationships" ref="L41" r:id="rId38"/>
    <hyperlink xmlns:r="http://schemas.openxmlformats.org/officeDocument/2006/relationships" ref="L42" r:id="rId39"/>
    <hyperlink xmlns:r="http://schemas.openxmlformats.org/officeDocument/2006/relationships" ref="L43" r:id="rId40"/>
    <hyperlink xmlns:r="http://schemas.openxmlformats.org/officeDocument/2006/relationships" ref="L44" r:id="rId41"/>
    <hyperlink xmlns:r="http://schemas.openxmlformats.org/officeDocument/2006/relationships" ref="L45" r:id="rId42"/>
  </hyperlinks>
  <pageMargins left="0.7" right="0.7" top="0.75" bottom="0.75" header="0.3" footer="0.3"/>
</worksheet>
</file>

<file path=xl/worksheets/sheet11.xml><?xml version="1.0" encoding="utf-8"?>
<worksheet xmlns="http://schemas.openxmlformats.org/spreadsheetml/2006/main">
  <sheetPr>
    <tabColor rgb="FF23678D"/>
    <outlinePr summaryBelow="1" summaryRight="1"/>
    <pageSetUpPr/>
  </sheetPr>
  <dimension ref="A1:I6"/>
  <sheetViews>
    <sheetView showGridLines="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56.7109375" customWidth="1" min="1" max="1"/>
    <col width="19.7109375" customWidth="1" min="2" max="9"/>
  </cols>
  <sheetData>
    <row r="1" ht="75" customHeight="1">
      <c r="A1" s="2" t="inlineStr">
        <is>
          <t>Group</t>
        </is>
      </c>
      <c r="B1" s="2" t="inlineStr">
        <is>
          <t>Flow or
perfusion
control</t>
        </is>
      </c>
      <c r="C1" s="2" t="inlineStr">
        <is>
          <t>Oxygen or
angiogenic
cues</t>
        </is>
      </c>
      <c r="D1" s="2" t="inlineStr">
        <is>
          <t>Barrier or
permeation</t>
        </is>
      </c>
      <c r="E1" s="2" t="inlineStr">
        <is>
          <t>Inflammation
or immune
state</t>
        </is>
      </c>
      <c r="F1" s="2" t="inlineStr">
        <is>
          <t>Infection or
microbial
state</t>
        </is>
      </c>
      <c r="G1" s="2" t="inlineStr">
        <is>
          <t>Metabolic or
biochemical
sensing</t>
        </is>
      </c>
      <c r="H1" s="2" t="inlineStr">
        <is>
          <t>Closed-loop or
active
therapy</t>
        </is>
      </c>
      <c r="I1" s="2" t="inlineStr">
        <is>
          <t>Unique studies in group</t>
        </is>
      </c>
    </row>
    <row r="2">
      <c r="A2" s="5" t="inlineStr">
        <is>
          <t>Controlled microfluidic perturbation</t>
        </is>
      </c>
      <c r="B2" s="7" t="n">
        <f>COUNTIFS('Code_S03'!$F$2:$F$45,SUBSTITUTE($A2,CHAR(10)," "),'Code_S03'!$G$2:$G$45,SUBSTITUTE(B$1,CHAR(10)," "),'Code_S03'!$H$2:$H$45,1)</f>
        <v>3</v>
      </c>
      <c r="C2" s="7" t="n">
        <f>COUNTIFS('Code_S03'!$F$2:$F$45,SUBSTITUTE($A2,CHAR(10)," "),'Code_S03'!$G$2:$G$45,SUBSTITUTE(C$1,CHAR(10)," "),'Code_S03'!$H$2:$H$45,1)</f>
        <v>2</v>
      </c>
      <c r="D2" s="7" t="n">
        <f>COUNTIFS('Code_S03'!$F$2:$F$45,SUBSTITUTE($A2,CHAR(10)," "),'Code_S03'!$G$2:$G$45,SUBSTITUTE(D$1,CHAR(10)," "),'Code_S03'!$H$2:$H$45,1)</f>
        <v>1</v>
      </c>
      <c r="E2" s="7" t="n">
        <f>COUNTIFS('Code_S03'!$F$2:$F$45,SUBSTITUTE($A2,CHAR(10)," "),'Code_S03'!$G$2:$G$45,SUBSTITUTE(E$1,CHAR(10)," "),'Code_S03'!$H$2:$H$45,1)</f>
        <v>0</v>
      </c>
      <c r="F2" s="7" t="n">
        <f>COUNTIFS('Code_S03'!$F$2:$F$45,SUBSTITUTE($A2,CHAR(10)," "),'Code_S03'!$G$2:$G$45,SUBSTITUTE(F$1,CHAR(10)," "),'Code_S03'!$H$2:$H$45,1)</f>
        <v>0</v>
      </c>
      <c r="G2" s="7" t="n">
        <f>COUNTIFS('Code_S03'!$F$2:$F$45,SUBSTITUTE($A2,CHAR(10)," "),'Code_S03'!$G$2:$G$45,SUBSTITUTE(G$1,CHAR(10)," "),'Code_S03'!$H$2:$H$45,1)</f>
        <v>0</v>
      </c>
      <c r="H2" s="7" t="n">
        <f>COUNTIFS('Code_S03'!$F$2:$F$45,SUBSTITUTE($A2,CHAR(10)," "),'Code_S03'!$G$2:$G$45,SUBSTITUTE(H$1,CHAR(10)," "),'Code_S03'!$H$2:$H$45,1)</f>
        <v>0</v>
      </c>
      <c r="I2" s="7" t="n">
        <f>COUNTIFS('08_Study_Cohorts'!$A$2:$A$365,"S3",'08_Study_Cohorts'!$C$2:$C$365,SUBSTITUTE($A2,CHAR(10)," "))</f>
        <v>4</v>
      </c>
    </row>
    <row r="3">
      <c r="A3" s="5" t="inlineStr">
        <is>
          <t>Barrier/permeation exposure</t>
        </is>
      </c>
      <c r="B3" s="7" t="n">
        <f>COUNTIFS('Code_S03'!$F$2:$F$45,SUBSTITUTE($A3,CHAR(10)," "),'Code_S03'!$G$2:$G$45,SUBSTITUTE(B$1,CHAR(10)," "),'Code_S03'!$H$2:$H$45,1)</f>
        <v>6</v>
      </c>
      <c r="C3" s="7" t="n">
        <f>COUNTIFS('Code_S03'!$F$2:$F$45,SUBSTITUTE($A3,CHAR(10)," "),'Code_S03'!$G$2:$G$45,SUBSTITUTE(C$1,CHAR(10)," "),'Code_S03'!$H$2:$H$45,1)</f>
        <v>0</v>
      </c>
      <c r="D3" s="7" t="n">
        <f>COUNTIFS('Code_S03'!$F$2:$F$45,SUBSTITUTE($A3,CHAR(10)," "),'Code_S03'!$G$2:$G$45,SUBSTITUTE(D$1,CHAR(10)," "),'Code_S03'!$H$2:$H$45,1)</f>
        <v>6</v>
      </c>
      <c r="E3" s="7" t="n">
        <f>COUNTIFS('Code_S03'!$F$2:$F$45,SUBSTITUTE($A3,CHAR(10)," "),'Code_S03'!$G$2:$G$45,SUBSTITUTE(E$1,CHAR(10)," "),'Code_S03'!$H$2:$H$45,1)</f>
        <v>0</v>
      </c>
      <c r="F3" s="7" t="n">
        <f>COUNTIFS('Code_S03'!$F$2:$F$45,SUBSTITUTE($A3,CHAR(10)," "),'Code_S03'!$G$2:$G$45,SUBSTITUTE(F$1,CHAR(10)," "),'Code_S03'!$H$2:$H$45,1)</f>
        <v>0</v>
      </c>
      <c r="G3" s="7" t="n">
        <f>COUNTIFS('Code_S03'!$F$2:$F$45,SUBSTITUTE($A3,CHAR(10)," "),'Code_S03'!$G$2:$G$45,SUBSTITUTE(G$1,CHAR(10)," "),'Code_S03'!$H$2:$H$45,1)</f>
        <v>0</v>
      </c>
      <c r="H3" s="7" t="n">
        <f>COUNTIFS('Code_S03'!$F$2:$F$45,SUBSTITUTE($A3,CHAR(10)," "),'Code_S03'!$G$2:$G$45,SUBSTITUTE(H$1,CHAR(10)," "),'Code_S03'!$H$2:$H$45,1)</f>
        <v>0</v>
      </c>
      <c r="I3" s="7" t="n">
        <f>COUNTIFS('08_Study_Cohorts'!$A$2:$A$365,"S3",'08_Study_Cohorts'!$C$2:$C$365,SUBSTITUTE($A3,CHAR(10)," "))</f>
        <v>6</v>
      </c>
    </row>
    <row r="4">
      <c r="A4" s="5" t="inlineStr">
        <is>
          <t>Disease/immune programming</t>
        </is>
      </c>
      <c r="B4" s="7" t="n">
        <f>COUNTIFS('Code_S03'!$F$2:$F$45,SUBSTITUTE($A4,CHAR(10)," "),'Code_S03'!$G$2:$G$45,SUBSTITUTE(B$1,CHAR(10)," "),'Code_S03'!$H$2:$H$45,1)</f>
        <v>5</v>
      </c>
      <c r="C4" s="7" t="n">
        <f>COUNTIFS('Code_S03'!$F$2:$F$45,SUBSTITUTE($A4,CHAR(10)," "),'Code_S03'!$G$2:$G$45,SUBSTITUTE(C$1,CHAR(10)," "),'Code_S03'!$H$2:$H$45,1)</f>
        <v>0</v>
      </c>
      <c r="D4" s="7" t="n">
        <f>COUNTIFS('Code_S03'!$F$2:$F$45,SUBSTITUTE($A4,CHAR(10)," "),'Code_S03'!$G$2:$G$45,SUBSTITUTE(D$1,CHAR(10)," "),'Code_S03'!$H$2:$H$45,1)</f>
        <v>3</v>
      </c>
      <c r="E4" s="7" t="n">
        <f>COUNTIFS('Code_S03'!$F$2:$F$45,SUBSTITUTE($A4,CHAR(10)," "),'Code_S03'!$G$2:$G$45,SUBSTITUTE(E$1,CHAR(10)," "),'Code_S03'!$H$2:$H$45,1)</f>
        <v>5</v>
      </c>
      <c r="F4" s="7" t="n">
        <f>COUNTIFS('Code_S03'!$F$2:$F$45,SUBSTITUTE($A4,CHAR(10)," "),'Code_S03'!$G$2:$G$45,SUBSTITUTE(F$1,CHAR(10)," "),'Code_S03'!$H$2:$H$45,1)</f>
        <v>1</v>
      </c>
      <c r="G4" s="7" t="n">
        <f>COUNTIFS('Code_S03'!$F$2:$F$45,SUBSTITUTE($A4,CHAR(10)," "),'Code_S03'!$G$2:$G$45,SUBSTITUTE(G$1,CHAR(10)," "),'Code_S03'!$H$2:$H$45,1)</f>
        <v>0</v>
      </c>
      <c r="H4" s="7" t="n">
        <f>COUNTIFS('Code_S03'!$F$2:$F$45,SUBSTITUTE($A4,CHAR(10)," "),'Code_S03'!$G$2:$G$45,SUBSTITUTE(H$1,CHAR(10)," "),'Code_S03'!$H$2:$H$45,1)</f>
        <v>0</v>
      </c>
      <c r="I4" s="7" t="n">
        <f>COUNTIFS('08_Study_Cohorts'!$A$2:$A$365,"S3",'08_Study_Cohorts'!$C$2:$C$365,SUBSTITUTE($A4,CHAR(10)," "))</f>
        <v>5</v>
      </c>
    </row>
    <row r="5">
      <c r="A5" s="5" t="inlineStr">
        <is>
          <t>Wound-state sensing</t>
        </is>
      </c>
      <c r="B5" s="7" t="n">
        <f>COUNTIFS('Code_S03'!$F$2:$F$45,SUBSTITUTE($A5,CHAR(10)," "),'Code_S03'!$G$2:$G$45,SUBSTITUTE(B$1,CHAR(10)," "),'Code_S03'!$H$2:$H$45,1)</f>
        <v>0</v>
      </c>
      <c r="C5" s="7" t="n">
        <f>COUNTIFS('Code_S03'!$F$2:$F$45,SUBSTITUTE($A5,CHAR(10)," "),'Code_S03'!$G$2:$G$45,SUBSTITUTE(C$1,CHAR(10)," "),'Code_S03'!$H$2:$H$45,1)</f>
        <v>0</v>
      </c>
      <c r="D5" s="7" t="n">
        <f>COUNTIFS('Code_S03'!$F$2:$F$45,SUBSTITUTE($A5,CHAR(10)," "),'Code_S03'!$G$2:$G$45,SUBSTITUTE(D$1,CHAR(10)," "),'Code_S03'!$H$2:$H$45,1)</f>
        <v>0</v>
      </c>
      <c r="E5" s="7" t="n">
        <f>COUNTIFS('Code_S03'!$F$2:$F$45,SUBSTITUTE($A5,CHAR(10)," "),'Code_S03'!$G$2:$G$45,SUBSTITUTE(E$1,CHAR(10)," "),'Code_S03'!$H$2:$H$45,1)</f>
        <v>1</v>
      </c>
      <c r="F5" s="7" t="n">
        <f>COUNTIFS('Code_S03'!$F$2:$F$45,SUBSTITUTE($A5,CHAR(10)," "),'Code_S03'!$G$2:$G$45,SUBSTITUTE(F$1,CHAR(10)," "),'Code_S03'!$H$2:$H$45,1)</f>
        <v>1</v>
      </c>
      <c r="G5" s="7" t="n">
        <f>COUNTIFS('Code_S03'!$F$2:$F$45,SUBSTITUTE($A5,CHAR(10)," "),'Code_S03'!$G$2:$G$45,SUBSTITUTE(G$1,CHAR(10)," "),'Code_S03'!$H$2:$H$45,1)</f>
        <v>3</v>
      </c>
      <c r="H5" s="7" t="n">
        <f>COUNTIFS('Code_S03'!$F$2:$F$45,SUBSTITUTE($A5,CHAR(10)," "),'Code_S03'!$G$2:$G$45,SUBSTITUTE(H$1,CHAR(10)," "),'Code_S03'!$H$2:$H$45,1)</f>
        <v>0</v>
      </c>
      <c r="I5" s="7" t="n">
        <f>COUNTIFS('08_Study_Cohorts'!$A$2:$A$365,"S3",'08_Study_Cohorts'!$C$2:$C$365,SUBSTITUTE($A5,CHAR(10)," "))</f>
        <v>3</v>
      </c>
    </row>
    <row r="6">
      <c r="A6" s="5" t="inlineStr">
        <is>
          <t>Closed-loop therapy</t>
        </is>
      </c>
      <c r="B6" s="7" t="n">
        <f>COUNTIFS('Code_S03'!$F$2:$F$45,SUBSTITUTE($A6,CHAR(10)," "),'Code_S03'!$G$2:$G$45,SUBSTITUTE(B$1,CHAR(10)," "),'Code_S03'!$H$2:$H$45,1)</f>
        <v>0</v>
      </c>
      <c r="C6" s="7" t="n">
        <f>COUNTIFS('Code_S03'!$F$2:$F$45,SUBSTITUTE($A6,CHAR(10)," "),'Code_S03'!$G$2:$G$45,SUBSTITUTE(C$1,CHAR(10)," "),'Code_S03'!$H$2:$H$45,1)</f>
        <v>0</v>
      </c>
      <c r="D6" s="7" t="n">
        <f>COUNTIFS('Code_S03'!$F$2:$F$45,SUBSTITUTE($A6,CHAR(10)," "),'Code_S03'!$G$2:$G$45,SUBSTITUTE(D$1,CHAR(10)," "),'Code_S03'!$H$2:$H$45,1)</f>
        <v>0</v>
      </c>
      <c r="E6" s="7" t="n">
        <f>COUNTIFS('Code_S03'!$F$2:$F$45,SUBSTITUTE($A6,CHAR(10)," "),'Code_S03'!$G$2:$G$45,SUBSTITUTE(E$1,CHAR(10)," "),'Code_S03'!$H$2:$H$45,1)</f>
        <v>2</v>
      </c>
      <c r="F6" s="7" t="n">
        <f>COUNTIFS('Code_S03'!$F$2:$F$45,SUBSTITUTE($A6,CHAR(10)," "),'Code_S03'!$G$2:$G$45,SUBSTITUTE(F$1,CHAR(10)," "),'Code_S03'!$H$2:$H$45,1)</f>
        <v>1</v>
      </c>
      <c r="G6" s="7" t="n">
        <f>COUNTIFS('Code_S03'!$F$2:$F$45,SUBSTITUTE($A6,CHAR(10)," "),'Code_S03'!$G$2:$G$45,SUBSTITUTE(G$1,CHAR(10)," "),'Code_S03'!$H$2:$H$45,1)</f>
        <v>2</v>
      </c>
      <c r="H6" s="7" t="n">
        <f>COUNTIFS('Code_S03'!$F$2:$F$45,SUBSTITUTE($A6,CHAR(10)," "),'Code_S03'!$G$2:$G$45,SUBSTITUTE(H$1,CHAR(10)," "),'Code_S03'!$H$2:$H$45,1)</f>
        <v>2</v>
      </c>
      <c r="I6" s="7" t="n">
        <f>COUNTIFS('08_Study_Cohorts'!$A$2:$A$365,"S3",'08_Study_Cohorts'!$C$2:$C$365,SUBSTITUTE($A6,CHAR(10)," "))</f>
        <v>2</v>
      </c>
    </row>
  </sheetData>
  <pageMargins left="0.7" right="0.7" top="0.75" bottom="0.75" header="0.3" footer="0.3"/>
</worksheet>
</file>

<file path=xl/worksheets/sheet12.xml><?xml version="1.0" encoding="utf-8"?>
<worksheet xmlns="http://schemas.openxmlformats.org/spreadsheetml/2006/main">
  <sheetPr>
    <tabColor rgb="FF2B8C83"/>
    <outlinePr summaryBelow="1" summaryRight="1"/>
    <pageSetUpPr/>
  </sheetPr>
  <dimension ref="A1:N45"/>
  <sheetViews>
    <sheetView showGridLines="0" workbookViewId="0">
      <pane xSplit="3" ySplit="1" topLeftCell="D2" activePane="bottomRight" state="frozen"/>
      <selection pane="topRight" activeCell="D1" sqref="D1"/>
      <selection pane="bottomLeft" activeCell="A2" sqref="A2"/>
      <selection pane="bottomRight" activeCell="A1" sqref="A1"/>
    </sheetView>
  </sheetViews>
  <sheetFormatPr baseColWidth="8" defaultRowHeight="15"/>
  <cols>
    <col width="14.7109375" customWidth="1" min="1" max="1"/>
    <col width="15.7109375" customWidth="1" min="2" max="2"/>
    <col width="50.7109375" customWidth="1" min="3" max="3"/>
    <col width="65.7109375" customWidth="1" min="4" max="4"/>
    <col width="25.7109375" customWidth="1" min="5" max="5"/>
    <col width="60.7109375" customWidth="1" min="6" max="6"/>
    <col width="43.7109375" customWidth="1" min="7" max="7"/>
    <col width="15.7109375" customWidth="1" min="8" max="8"/>
    <col width="17.7109375" customWidth="1" min="9" max="10"/>
    <col width="58.7109375" customWidth="1" min="11" max="11"/>
    <col width="57.7109375" customWidth="1" min="12" max="12"/>
    <col width="22.7109375" customWidth="1" min="13" max="13"/>
    <col width="20.7109375" customWidth="1" min="14" max="14"/>
  </cols>
  <sheetData>
    <row r="1" ht="51" customHeight="1">
      <c r="A1" s="2" t="inlineStr">
        <is>
          <t>Main_ref</t>
        </is>
      </c>
      <c r="B1" s="2" t="inlineStr">
        <is>
          <t>SI_source_table</t>
        </is>
      </c>
      <c r="C1" s="2" t="inlineStr">
        <is>
          <t>SI_table_row</t>
        </is>
      </c>
      <c r="D1" s="2" t="inlineStr">
        <is>
          <t>Main_article_title</t>
        </is>
      </c>
      <c r="E1" s="2" t="inlineStr">
        <is>
          <t>DOI_in_main_register</t>
        </is>
      </c>
      <c r="F1" s="2" t="inlineStr">
        <is>
          <t>Group</t>
        </is>
      </c>
      <c r="G1" s="2" t="inlineStr">
        <is>
          <t>Domain</t>
        </is>
      </c>
      <c r="H1" s="2" t="inlineStr">
        <is>
          <t>Code_0_1</t>
        </is>
      </c>
      <c r="I1" s="2" t="inlineStr">
        <is>
          <t>Proposed_structural_score</t>
        </is>
      </c>
      <c r="J1" s="2" t="inlineStr">
        <is>
          <t>Proposed_disease_score</t>
        </is>
      </c>
      <c r="K1" s="2" t="inlineStr">
        <is>
          <t>Provenance_note</t>
        </is>
      </c>
      <c r="L1" s="2" t="inlineStr">
        <is>
          <t>Source_URL</t>
        </is>
      </c>
      <c r="M1" s="2" t="inlineStr">
        <is>
          <t>Bibliography_title_match_pct</t>
        </is>
      </c>
      <c r="N1" s="2" t="inlineStr">
        <is>
          <t>Citation_present_in_main</t>
        </is>
      </c>
    </row>
    <row r="2">
      <c r="A2" s="6" t="n">
        <v>166</v>
      </c>
      <c r="B2" s="5" t="inlineStr">
        <is>
          <t>S2</t>
        </is>
      </c>
      <c r="C2" s="5" t="inlineStr">
        <is>
          <t>7: Perfused reconstructed skin-on-chip for transdermal diffusion</t>
        </is>
      </c>
      <c r="D2" s="5" t="inlineStr">
        <is>
          <t>In silico approach for validating organ-on-chips: exemplifying through a skin-on-chip device</t>
        </is>
      </c>
      <c r="E2" s="5" t="inlineStr">
        <is>
          <t>10.1007/s10404-025-02863-y</t>
        </is>
      </c>
      <c r="F2" s="5" t="inlineStr">
        <is>
          <t>Barrier/permeation exposure</t>
        </is>
      </c>
      <c r="G2" s="5" t="inlineStr">
        <is>
          <t>Barrier or permeation</t>
        </is>
      </c>
      <c r="H2" s="6" t="inlineStr">
        <is>
          <t>1</t>
        </is>
      </c>
      <c r="K2" s="5" t="inlineStr">
        <is>
          <t>Provided article-level Table S2 coding (renumbered to current main bibliography)</t>
        </is>
      </c>
      <c r="L2" s="5" t="inlineStr">
        <is>
          <t>https://doi.org/10.1007/s10404-025-02863-y</t>
        </is>
      </c>
      <c r="M2" s="5" t="inlineStr">
        <is>
          <t>100.0</t>
        </is>
      </c>
      <c r="N2" s="5" t="inlineStr">
        <is>
          <t>YES</t>
        </is>
      </c>
    </row>
    <row r="3">
      <c r="A3" s="6" t="n">
        <v>181</v>
      </c>
      <c r="B3" s="5" t="inlineStr">
        <is>
          <t>S2</t>
        </is>
      </c>
      <c r="C3" s="5" t="inlineStr">
        <is>
          <t>8: Perfused 3D skin-on-chip for barrier validation and drug permeation</t>
        </is>
      </c>
      <c r="D3" s="5" t="inlineStr">
        <is>
          <t>A 3D microfluidic model for preclinical drug permeation studies: Advancing validation of skin-on-chip technology</t>
        </is>
      </c>
      <c r="E3" s="5" t="inlineStr">
        <is>
          <t>10.1016/j.jpba.2025.117187</t>
        </is>
      </c>
      <c r="F3" s="5" t="inlineStr">
        <is>
          <t>Barrier/permeation exposure</t>
        </is>
      </c>
      <c r="G3" s="5" t="inlineStr">
        <is>
          <t>Barrier or permeation</t>
        </is>
      </c>
      <c r="H3" s="6" t="inlineStr">
        <is>
          <t>1</t>
        </is>
      </c>
      <c r="K3" s="5" t="inlineStr">
        <is>
          <t>Provided article-level Table S2 coding (renumbered to current main bibliography)</t>
        </is>
      </c>
      <c r="L3" s="5" t="inlineStr">
        <is>
          <t>https://doi.org/10.1016/j.jpba.2025.117187</t>
        </is>
      </c>
      <c r="M3" s="5" t="inlineStr">
        <is>
          <t>100.0</t>
        </is>
      </c>
      <c r="N3" s="5" t="inlineStr">
        <is>
          <t>YES</t>
        </is>
      </c>
    </row>
    <row r="4">
      <c r="A4" s="6" t="n">
        <v>192</v>
      </c>
      <c r="B4" s="5" t="inlineStr">
        <is>
          <t>S2</t>
        </is>
      </c>
      <c r="C4" s="5" t="inlineStr">
        <is>
          <t>9: Ex vivo and surrogate skin dynamic permeation platforms</t>
        </is>
      </c>
      <c r="D4" s="5" t="inlineStr">
        <is>
          <t>Skin-on-a-chip device for ex vivo monitoring of transdermal delivery of drugs—design, fabrication, and testing</t>
        </is>
      </c>
      <c r="E4" s="5" t="inlineStr">
        <is>
          <t>10.3390/pharmaceutics11090445</t>
        </is>
      </c>
      <c r="F4" s="5" t="inlineStr">
        <is>
          <t>Barrier/permeation exposure</t>
        </is>
      </c>
      <c r="G4" s="5" t="inlineStr">
        <is>
          <t>Barrier or permeation</t>
        </is>
      </c>
      <c r="H4" s="6" t="inlineStr">
        <is>
          <t>1</t>
        </is>
      </c>
      <c r="K4" s="5" t="inlineStr">
        <is>
          <t>Provided article-level Table S2 coding (renumbered to current main bibliography)</t>
        </is>
      </c>
      <c r="L4" s="5" t="inlineStr">
        <is>
          <t>https://doi.org/10.3390/pharmaceutics11090445</t>
        </is>
      </c>
      <c r="M4" s="5" t="inlineStr">
        <is>
          <t>100.0</t>
        </is>
      </c>
      <c r="N4" s="5" t="inlineStr">
        <is>
          <t>YES</t>
        </is>
      </c>
    </row>
    <row r="5">
      <c r="A5" s="6" t="n">
        <v>193</v>
      </c>
      <c r="B5" s="5" t="inlineStr">
        <is>
          <t>S2</t>
        </is>
      </c>
      <c r="C5" s="5" t="inlineStr">
        <is>
          <t>9: Ex vivo and surrogate skin dynamic permeation platforms</t>
        </is>
      </c>
      <c r="D5" s="5" t="inlineStr">
        <is>
          <t>Comparison between Franz diffusion cell and a novel micro-physiological system for in vitro penetration assay using different skin models</t>
        </is>
      </c>
      <c r="E5" s="5" t="inlineStr">
        <is>
          <t>10.1016/j.slast.2021.12.006</t>
        </is>
      </c>
      <c r="F5" s="5" t="inlineStr">
        <is>
          <t>Barrier/permeation exposure</t>
        </is>
      </c>
      <c r="G5" s="5" t="inlineStr">
        <is>
          <t>Barrier or permeation</t>
        </is>
      </c>
      <c r="H5" s="6" t="inlineStr">
        <is>
          <t>1</t>
        </is>
      </c>
      <c r="K5" s="5" t="inlineStr">
        <is>
          <t>Provided article-level Table S2 coding (renumbered to current main bibliography)</t>
        </is>
      </c>
      <c r="L5" s="5" t="inlineStr">
        <is>
          <t>https://doi.org/10.1016/j.slast.2021.12.006</t>
        </is>
      </c>
      <c r="M5" s="5" t="inlineStr">
        <is>
          <t>100.0</t>
        </is>
      </c>
      <c r="N5" s="5" t="inlineStr">
        <is>
          <t>YES</t>
        </is>
      </c>
    </row>
    <row r="6">
      <c r="A6" s="6" t="n">
        <v>166</v>
      </c>
      <c r="B6" s="5" t="inlineStr">
        <is>
          <t>S2</t>
        </is>
      </c>
      <c r="C6" s="5" t="inlineStr">
        <is>
          <t>7: Perfused reconstructed skin-on-chip for transdermal diffusion</t>
        </is>
      </c>
      <c r="D6" s="5" t="inlineStr">
        <is>
          <t>In silico approach for validating organ-on-chips: exemplifying through a skin-on-chip device</t>
        </is>
      </c>
      <c r="E6" s="5" t="inlineStr">
        <is>
          <t>10.1007/s10404-025-02863-y</t>
        </is>
      </c>
      <c r="F6" s="5" t="inlineStr">
        <is>
          <t>Barrier/permeation exposure</t>
        </is>
      </c>
      <c r="G6" s="5" t="inlineStr">
        <is>
          <t>Drug transport or therapy response</t>
        </is>
      </c>
      <c r="H6" s="6" t="inlineStr">
        <is>
          <t>1</t>
        </is>
      </c>
      <c r="K6" s="5" t="inlineStr">
        <is>
          <t>Provided article-level Table S2 coding (renumbered to current main bibliography)</t>
        </is>
      </c>
      <c r="L6" s="5" t="inlineStr">
        <is>
          <t>https://doi.org/10.1007/s10404-025-02863-y</t>
        </is>
      </c>
      <c r="M6" s="5" t="inlineStr">
        <is>
          <t>100.0</t>
        </is>
      </c>
      <c r="N6" s="5" t="inlineStr">
        <is>
          <t>YES</t>
        </is>
      </c>
    </row>
    <row r="7">
      <c r="A7" s="6" t="n">
        <v>192</v>
      </c>
      <c r="B7" s="5" t="inlineStr">
        <is>
          <t>S2</t>
        </is>
      </c>
      <c r="C7" s="5" t="inlineStr">
        <is>
          <t>9: Ex vivo and surrogate skin dynamic permeation platforms</t>
        </is>
      </c>
      <c r="D7" s="5" t="inlineStr">
        <is>
          <t>Skin-on-a-chip device for ex vivo monitoring of transdermal delivery of drugs—design, fabrication, and testing</t>
        </is>
      </c>
      <c r="E7" s="5" t="inlineStr">
        <is>
          <t>10.3390/pharmaceutics11090445</t>
        </is>
      </c>
      <c r="F7" s="5" t="inlineStr">
        <is>
          <t>Barrier/permeation exposure</t>
        </is>
      </c>
      <c r="G7" s="5" t="inlineStr">
        <is>
          <t>Drug transport or therapy response</t>
        </is>
      </c>
      <c r="H7" s="6" t="inlineStr">
        <is>
          <t>1</t>
        </is>
      </c>
      <c r="K7" s="5" t="inlineStr">
        <is>
          <t>Provided article-level Table S2 coding (renumbered to current main bibliography)</t>
        </is>
      </c>
      <c r="L7" s="5" t="inlineStr">
        <is>
          <t>https://doi.org/10.3390/pharmaceutics11090445</t>
        </is>
      </c>
      <c r="M7" s="5" t="inlineStr">
        <is>
          <t>100.0</t>
        </is>
      </c>
      <c r="N7" s="5" t="inlineStr">
        <is>
          <t>YES</t>
        </is>
      </c>
    </row>
    <row r="8">
      <c r="A8" s="6" t="n">
        <v>193</v>
      </c>
      <c r="B8" s="5" t="inlineStr">
        <is>
          <t>S2</t>
        </is>
      </c>
      <c r="C8" s="5" t="inlineStr">
        <is>
          <t>9: Ex vivo and surrogate skin dynamic permeation platforms</t>
        </is>
      </c>
      <c r="D8" s="5" t="inlineStr">
        <is>
          <t>Comparison between Franz diffusion cell and a novel micro-physiological system for in vitro penetration assay using different skin models</t>
        </is>
      </c>
      <c r="E8" s="5" t="inlineStr">
        <is>
          <t>10.1016/j.slast.2021.12.006</t>
        </is>
      </c>
      <c r="F8" s="5" t="inlineStr">
        <is>
          <t>Barrier/permeation exposure</t>
        </is>
      </c>
      <c r="G8" s="5" t="inlineStr">
        <is>
          <t>Drug transport or therapy response</t>
        </is>
      </c>
      <c r="H8" s="6" t="inlineStr">
        <is>
          <t>1</t>
        </is>
      </c>
      <c r="K8" s="5" t="inlineStr">
        <is>
          <t>Provided article-level Table S2 coding (renumbered to current main bibliography)</t>
        </is>
      </c>
      <c r="L8" s="5" t="inlineStr">
        <is>
          <t>https://doi.org/10.1016/j.slast.2021.12.006</t>
        </is>
      </c>
      <c r="M8" s="5" t="inlineStr">
        <is>
          <t>100.0</t>
        </is>
      </c>
      <c r="N8" s="5" t="inlineStr">
        <is>
          <t>YES</t>
        </is>
      </c>
    </row>
    <row r="9">
      <c r="A9" s="6" t="n">
        <v>194</v>
      </c>
      <c r="B9" s="5" t="inlineStr">
        <is>
          <t>S2</t>
        </is>
      </c>
      <c r="C9" s="5" t="inlineStr">
        <is>
          <t>10: Skin-linked systemic toxicity chips</t>
        </is>
      </c>
      <c r="D9" s="5" t="inlineStr">
        <is>
          <t>Microphysiological heart–liver body-on-a-chip system with a skin mimic for evaluating topical drug delivery</t>
        </is>
      </c>
      <c r="E9" s="5" t="inlineStr">
        <is>
          <t>10.1039/c9lc00861f</t>
        </is>
      </c>
      <c r="F9" s="5" t="inlineStr">
        <is>
          <t>Barrier/permeation exposure</t>
        </is>
      </c>
      <c r="G9" s="5" t="inlineStr">
        <is>
          <t>Drug transport or therapy response</t>
        </is>
      </c>
      <c r="H9" s="6" t="inlineStr">
        <is>
          <t>1</t>
        </is>
      </c>
      <c r="K9" s="5" t="inlineStr">
        <is>
          <t>Provided article-level Table S2 coding (renumbered to current main bibliography)</t>
        </is>
      </c>
      <c r="L9" s="5" t="inlineStr">
        <is>
          <t>https://doi.org/10.1039/c9lc00861f</t>
        </is>
      </c>
      <c r="M9" s="5" t="inlineStr">
        <is>
          <t>100.0</t>
        </is>
      </c>
      <c r="N9" s="5" t="inlineStr">
        <is>
          <t>YES</t>
        </is>
      </c>
    </row>
    <row r="10">
      <c r="A10" s="6" t="n">
        <v>195</v>
      </c>
      <c r="B10" s="5" t="inlineStr">
        <is>
          <t>S2</t>
        </is>
      </c>
      <c r="C10" s="5" t="inlineStr">
        <is>
          <t>10: Skin-linked systemic toxicity chips</t>
        </is>
      </c>
      <c r="D10" s="5" t="inlineStr">
        <is>
          <t>Toxicity of topically applied drugs beyond skin irritation: Static skin model vs</t>
        </is>
      </c>
      <c r="E10" s="5" t="inlineStr">
        <is>
          <t>10.1016/j.ijpharm.2020.119788</t>
        </is>
      </c>
      <c r="F10" s="5" t="inlineStr">
        <is>
          <t>Barrier/permeation exposure</t>
        </is>
      </c>
      <c r="G10" s="5" t="inlineStr">
        <is>
          <t>Drug transport or therapy response</t>
        </is>
      </c>
      <c r="H10" s="6" t="inlineStr">
        <is>
          <t>1</t>
        </is>
      </c>
      <c r="K10" s="5" t="inlineStr">
        <is>
          <t>Provided article-level Table S2 coding (renumbered to current main bibliography)</t>
        </is>
      </c>
      <c r="L10" s="5" t="inlineStr">
        <is>
          <t>https://doi.org/10.1016/j.ijpharm.2020.119788</t>
        </is>
      </c>
      <c r="M10" s="5" t="inlineStr">
        <is>
          <t>100.0</t>
        </is>
      </c>
      <c r="N10" s="5" t="inlineStr">
        <is>
          <t>YES</t>
        </is>
      </c>
    </row>
    <row r="11">
      <c r="A11" s="6" t="n">
        <v>166</v>
      </c>
      <c r="B11" s="5" t="inlineStr">
        <is>
          <t>S2</t>
        </is>
      </c>
      <c r="C11" s="5" t="inlineStr">
        <is>
          <t>7: Perfused reconstructed skin-on-chip for transdermal diffusion</t>
        </is>
      </c>
      <c r="D11" s="5" t="inlineStr">
        <is>
          <t>In silico approach for validating organ-on-chips: exemplifying through a skin-on-chip device</t>
        </is>
      </c>
      <c r="E11" s="5" t="inlineStr">
        <is>
          <t>10.1007/s10404-025-02863-y</t>
        </is>
      </c>
      <c r="F11" s="5" t="inlineStr">
        <is>
          <t>Barrier/permeation exposure</t>
        </is>
      </c>
      <c r="G11" s="5" t="inlineStr">
        <is>
          <t>Imaging or morphology</t>
        </is>
      </c>
      <c r="H11" s="6" t="inlineStr">
        <is>
          <t>1</t>
        </is>
      </c>
      <c r="K11" s="5" t="inlineStr">
        <is>
          <t>Provided article-level Table S2 coding (renumbered to current main bibliography)</t>
        </is>
      </c>
      <c r="L11" s="5" t="inlineStr">
        <is>
          <t>https://doi.org/10.1007/s10404-025-02863-y</t>
        </is>
      </c>
      <c r="M11" s="5" t="inlineStr">
        <is>
          <t>100.0</t>
        </is>
      </c>
      <c r="N11" s="5" t="inlineStr">
        <is>
          <t>YES</t>
        </is>
      </c>
    </row>
    <row r="12">
      <c r="A12" s="6" t="n">
        <v>181</v>
      </c>
      <c r="B12" s="5" t="inlineStr">
        <is>
          <t>S2</t>
        </is>
      </c>
      <c r="C12" s="5" t="inlineStr">
        <is>
          <t>8: Perfused 3D skin-on-chip for barrier validation and drug permeation</t>
        </is>
      </c>
      <c r="D12" s="5" t="inlineStr">
        <is>
          <t>A 3D microfluidic model for preclinical drug permeation studies: Advancing validation of skin-on-chip technology</t>
        </is>
      </c>
      <c r="E12" s="5" t="inlineStr">
        <is>
          <t>10.1016/j.jpba.2025.117187</t>
        </is>
      </c>
      <c r="F12" s="5" t="inlineStr">
        <is>
          <t>Barrier/permeation exposure</t>
        </is>
      </c>
      <c r="G12" s="5" t="inlineStr">
        <is>
          <t>Imaging or morphology</t>
        </is>
      </c>
      <c r="H12" s="6" t="inlineStr">
        <is>
          <t>1</t>
        </is>
      </c>
      <c r="K12" s="5" t="inlineStr">
        <is>
          <t>Provided article-level Table S2 coding (renumbered to current main bibliography)</t>
        </is>
      </c>
      <c r="L12" s="5" t="inlineStr">
        <is>
          <t>https://doi.org/10.1016/j.jpba.2025.117187</t>
        </is>
      </c>
      <c r="M12" s="5" t="inlineStr">
        <is>
          <t>100.0</t>
        </is>
      </c>
      <c r="N12" s="5" t="inlineStr">
        <is>
          <t>YES</t>
        </is>
      </c>
    </row>
    <row r="13">
      <c r="A13" s="6" t="n">
        <v>194</v>
      </c>
      <c r="B13" s="5" t="inlineStr">
        <is>
          <t>S2</t>
        </is>
      </c>
      <c r="C13" s="5" t="inlineStr">
        <is>
          <t>10: Skin-linked systemic toxicity chips</t>
        </is>
      </c>
      <c r="D13" s="5" t="inlineStr">
        <is>
          <t>Microphysiological heart–liver body-on-a-chip system with a skin mimic for evaluating topical drug delivery</t>
        </is>
      </c>
      <c r="E13" s="5" t="inlineStr">
        <is>
          <t>10.1039/c9lc00861f</t>
        </is>
      </c>
      <c r="F13" s="5" t="inlineStr">
        <is>
          <t>Barrier/permeation exposure</t>
        </is>
      </c>
      <c r="G13" s="5" t="inlineStr">
        <is>
          <t>Inflammatory, immune, or molecular</t>
        </is>
      </c>
      <c r="H13" s="6" t="inlineStr">
        <is>
          <t>1</t>
        </is>
      </c>
      <c r="K13" s="5" t="inlineStr">
        <is>
          <t>Provided article-level Table S2 coding (renumbered to current main bibliography)</t>
        </is>
      </c>
      <c r="L13" s="5" t="inlineStr">
        <is>
          <t>https://doi.org/10.1039/c9lc00861f</t>
        </is>
      </c>
      <c r="M13" s="5" t="inlineStr">
        <is>
          <t>100.0</t>
        </is>
      </c>
      <c r="N13" s="5" t="inlineStr">
        <is>
          <t>YES</t>
        </is>
      </c>
    </row>
    <row r="14">
      <c r="A14" s="6" t="n">
        <v>195</v>
      </c>
      <c r="B14" s="5" t="inlineStr">
        <is>
          <t>S2</t>
        </is>
      </c>
      <c r="C14" s="5" t="inlineStr">
        <is>
          <t>10: Skin-linked systemic toxicity chips</t>
        </is>
      </c>
      <c r="D14" s="5" t="inlineStr">
        <is>
          <t>Toxicity of topically applied drugs beyond skin irritation: Static skin model vs</t>
        </is>
      </c>
      <c r="E14" s="5" t="inlineStr">
        <is>
          <t>10.1016/j.ijpharm.2020.119788</t>
        </is>
      </c>
      <c r="F14" s="5" t="inlineStr">
        <is>
          <t>Barrier/permeation exposure</t>
        </is>
      </c>
      <c r="G14" s="5" t="inlineStr">
        <is>
          <t>Inflammatory, immune, or molecular</t>
        </is>
      </c>
      <c r="H14" s="6" t="inlineStr">
        <is>
          <t>1</t>
        </is>
      </c>
      <c r="K14" s="5" t="inlineStr">
        <is>
          <t>Provided article-level Table S2 coding (renumbered to current main bibliography)</t>
        </is>
      </c>
      <c r="L14" s="5" t="inlineStr">
        <is>
          <t>https://doi.org/10.1016/j.ijpharm.2020.119788</t>
        </is>
      </c>
      <c r="M14" s="5" t="inlineStr">
        <is>
          <t>100.0</t>
        </is>
      </c>
      <c r="N14" s="5" t="inlineStr">
        <is>
          <t>YES</t>
        </is>
      </c>
    </row>
    <row r="15">
      <c r="A15" s="6" t="n">
        <v>194</v>
      </c>
      <c r="B15" s="5" t="inlineStr">
        <is>
          <t>S2</t>
        </is>
      </c>
      <c r="C15" s="5" t="inlineStr">
        <is>
          <t>10: Skin-linked systemic toxicity chips</t>
        </is>
      </c>
      <c r="D15" s="5" t="inlineStr">
        <is>
          <t>Microphysiological heart–liver body-on-a-chip system with a skin mimic for evaluating topical drug delivery</t>
        </is>
      </c>
      <c r="E15" s="5" t="inlineStr">
        <is>
          <t>10.1039/c9lc00861f</t>
        </is>
      </c>
      <c r="F15" s="5" t="inlineStr">
        <is>
          <t>Barrier/permeation exposure</t>
        </is>
      </c>
      <c r="G15" s="5" t="inlineStr">
        <is>
          <t>Metabolic or biochemical sensing</t>
        </is>
      </c>
      <c r="H15" s="6" t="inlineStr">
        <is>
          <t>1</t>
        </is>
      </c>
      <c r="K15" s="5" t="inlineStr">
        <is>
          <t>Provided article-level Table S2 coding (renumbered to current main bibliography)</t>
        </is>
      </c>
      <c r="L15" s="5" t="inlineStr">
        <is>
          <t>https://doi.org/10.1039/c9lc00861f</t>
        </is>
      </c>
      <c r="M15" s="5" t="inlineStr">
        <is>
          <t>100.0</t>
        </is>
      </c>
      <c r="N15" s="5" t="inlineStr">
        <is>
          <t>YES</t>
        </is>
      </c>
    </row>
    <row r="16">
      <c r="A16" s="6" t="n">
        <v>195</v>
      </c>
      <c r="B16" s="5" t="inlineStr">
        <is>
          <t>S2</t>
        </is>
      </c>
      <c r="C16" s="5" t="inlineStr">
        <is>
          <t>10: Skin-linked systemic toxicity chips</t>
        </is>
      </c>
      <c r="D16" s="5" t="inlineStr">
        <is>
          <t>Toxicity of topically applied drugs beyond skin irritation: Static skin model vs</t>
        </is>
      </c>
      <c r="E16" s="5" t="inlineStr">
        <is>
          <t>10.1016/j.ijpharm.2020.119788</t>
        </is>
      </c>
      <c r="F16" s="5" t="inlineStr">
        <is>
          <t>Barrier/permeation exposure</t>
        </is>
      </c>
      <c r="G16" s="5" t="inlineStr">
        <is>
          <t>Metabolic or biochemical sensing</t>
        </is>
      </c>
      <c r="H16" s="6" t="inlineStr">
        <is>
          <t>1</t>
        </is>
      </c>
      <c r="K16" s="5" t="inlineStr">
        <is>
          <t>Provided article-level Table S2 coding (renumbered to current main bibliography)</t>
        </is>
      </c>
      <c r="L16" s="5" t="inlineStr">
        <is>
          <t>https://doi.org/10.1016/j.ijpharm.2020.119788</t>
        </is>
      </c>
      <c r="M16" s="5" t="inlineStr">
        <is>
          <t>100.0</t>
        </is>
      </c>
      <c r="N16" s="5" t="inlineStr">
        <is>
          <t>YES</t>
        </is>
      </c>
    </row>
    <row r="17">
      <c r="A17" s="6" t="n">
        <v>187</v>
      </c>
      <c r="B17" s="5" t="inlineStr">
        <is>
          <t>S2</t>
        </is>
      </c>
      <c r="C17" s="5" t="inlineStr">
        <is>
          <t>21: Wireless smart bandage with sensing and electrical stimulation</t>
        </is>
      </c>
      <c r="D17" s="5" t="inlineStr">
        <is>
          <t>Wireless, closed-loop, smart bandage with integrated sensors and stimulators for advanced wound care and accelerated healing</t>
        </is>
      </c>
      <c r="E17" s="5" t="inlineStr">
        <is>
          <t>10.1038/s41587-022-01528-3</t>
        </is>
      </c>
      <c r="F17" s="5" t="inlineStr">
        <is>
          <t>Closed-loop therapy</t>
        </is>
      </c>
      <c r="G17" s="5" t="inlineStr">
        <is>
          <t>Drug transport or therapy response</t>
        </is>
      </c>
      <c r="H17" s="6" t="inlineStr">
        <is>
          <t>1</t>
        </is>
      </c>
      <c r="K17" s="5" t="inlineStr">
        <is>
          <t>Provided article-level Table S2 coding (renumbered to current main bibliography)</t>
        </is>
      </c>
      <c r="L17" s="5" t="inlineStr">
        <is>
          <t>https://doi.org/10.1038/s41587-022-01528-3</t>
        </is>
      </c>
      <c r="M17" s="5" t="inlineStr">
        <is>
          <t>100.0</t>
        </is>
      </c>
      <c r="N17" s="5" t="inlineStr">
        <is>
          <t>YES</t>
        </is>
      </c>
    </row>
    <row r="18">
      <c r="A18" s="6" t="n">
        <v>188</v>
      </c>
      <c r="B18" s="5" t="inlineStr">
        <is>
          <t>S2</t>
        </is>
      </c>
      <c r="C18" s="5" t="inlineStr">
        <is>
          <t>22: Closed-loop wound-management platform with on-chip inference and drug delivery</t>
        </is>
      </c>
      <c r="D18" s="5" t="inlineStr">
        <is>
          <t>Smart Wound Management System Capable of On‐Chip Machine Learning and Closed‐Loop Therapeutic Feedback</t>
        </is>
      </c>
      <c r="E18" s="5" t="inlineStr">
        <is>
          <t>10.1002/adfm.202522329</t>
        </is>
      </c>
      <c r="F18" s="5" t="inlineStr">
        <is>
          <t>Closed-loop therapy</t>
        </is>
      </c>
      <c r="G18" s="5" t="inlineStr">
        <is>
          <t>Drug transport or therapy response</t>
        </is>
      </c>
      <c r="H18" s="6" t="inlineStr">
        <is>
          <t>1</t>
        </is>
      </c>
      <c r="K18" s="5" t="inlineStr">
        <is>
          <t>Provided article-level Table S2 coding (renumbered to current main bibliography)</t>
        </is>
      </c>
      <c r="L18" s="5" t="inlineStr">
        <is>
          <t>https://doi.org/10.1002/adfm.202522329</t>
        </is>
      </c>
      <c r="M18" s="5" t="inlineStr">
        <is>
          <t>100.0</t>
        </is>
      </c>
      <c r="N18" s="5" t="inlineStr">
        <is>
          <t>YES</t>
        </is>
      </c>
    </row>
    <row r="19">
      <c r="A19" s="6" t="n">
        <v>187</v>
      </c>
      <c r="B19" s="5" t="inlineStr">
        <is>
          <t>S2</t>
        </is>
      </c>
      <c r="C19" s="5" t="inlineStr">
        <is>
          <t>21: Wireless smart bandage with sensing and electrical stimulation</t>
        </is>
      </c>
      <c r="D19" s="5" t="inlineStr">
        <is>
          <t>Wireless, closed-loop, smart bandage with integrated sensors and stimulators for advanced wound care and accelerated healing</t>
        </is>
      </c>
      <c r="E19" s="5" t="inlineStr">
        <is>
          <t>10.1038/s41587-022-01528-3</t>
        </is>
      </c>
      <c r="F19" s="5" t="inlineStr">
        <is>
          <t>Closed-loop therapy</t>
        </is>
      </c>
      <c r="G19" s="5" t="inlineStr">
        <is>
          <t>Infection or microbial</t>
        </is>
      </c>
      <c r="H19" s="6" t="inlineStr">
        <is>
          <t>1</t>
        </is>
      </c>
      <c r="K19" s="5" t="inlineStr">
        <is>
          <t>Provided article-level Table S2 coding (renumbered to current main bibliography)</t>
        </is>
      </c>
      <c r="L19" s="5" t="inlineStr">
        <is>
          <t>https://doi.org/10.1038/s41587-022-01528-3</t>
        </is>
      </c>
      <c r="M19" s="5" t="inlineStr">
        <is>
          <t>100.0</t>
        </is>
      </c>
      <c r="N19" s="5" t="inlineStr">
        <is>
          <t>YES</t>
        </is>
      </c>
    </row>
    <row r="20">
      <c r="A20" s="6" t="n">
        <v>187</v>
      </c>
      <c r="B20" s="5" t="inlineStr">
        <is>
          <t>S2</t>
        </is>
      </c>
      <c r="C20" s="5" t="inlineStr">
        <is>
          <t>21: Wireless smart bandage with sensing and electrical stimulation</t>
        </is>
      </c>
      <c r="D20" s="5" t="inlineStr">
        <is>
          <t>Wireless, closed-loop, smart bandage with integrated sensors and stimulators for advanced wound care and accelerated healing</t>
        </is>
      </c>
      <c r="E20" s="5" t="inlineStr">
        <is>
          <t>10.1038/s41587-022-01528-3</t>
        </is>
      </c>
      <c r="F20" s="5" t="inlineStr">
        <is>
          <t>Closed-loop therapy</t>
        </is>
      </c>
      <c r="G20" s="5" t="inlineStr">
        <is>
          <t>Metabolic or biochemical sensing</t>
        </is>
      </c>
      <c r="H20" s="6" t="inlineStr">
        <is>
          <t>1</t>
        </is>
      </c>
      <c r="K20" s="5" t="inlineStr">
        <is>
          <t>Provided article-level Table S2 coding (renumbered to current main bibliography)</t>
        </is>
      </c>
      <c r="L20" s="5" t="inlineStr">
        <is>
          <t>https://doi.org/10.1038/s41587-022-01528-3</t>
        </is>
      </c>
      <c r="M20" s="5" t="inlineStr">
        <is>
          <t>100.0</t>
        </is>
      </c>
      <c r="N20" s="5" t="inlineStr">
        <is>
          <t>YES</t>
        </is>
      </c>
    </row>
    <row r="21">
      <c r="A21" s="6" t="n">
        <v>188</v>
      </c>
      <c r="B21" s="5" t="inlineStr">
        <is>
          <t>S2</t>
        </is>
      </c>
      <c r="C21" s="5" t="inlineStr">
        <is>
          <t>22: Closed-loop wound-management platform with on-chip inference and drug delivery</t>
        </is>
      </c>
      <c r="D21" s="5" t="inlineStr">
        <is>
          <t>Smart Wound Management System Capable of On‐Chip Machine Learning and Closed‐Loop Therapeutic Feedback</t>
        </is>
      </c>
      <c r="E21" s="5" t="inlineStr">
        <is>
          <t>10.1002/adfm.202522329</t>
        </is>
      </c>
      <c r="F21" s="5" t="inlineStr">
        <is>
          <t>Closed-loop therapy</t>
        </is>
      </c>
      <c r="G21" s="5" t="inlineStr">
        <is>
          <t>Metabolic or biochemical sensing</t>
        </is>
      </c>
      <c r="H21" s="6" t="inlineStr">
        <is>
          <t>1</t>
        </is>
      </c>
      <c r="K21" s="5" t="inlineStr">
        <is>
          <t>Provided article-level Table S2 coding (renumbered to current main bibliography)</t>
        </is>
      </c>
      <c r="L21" s="5" t="inlineStr">
        <is>
          <t>https://doi.org/10.1002/adfm.202522329</t>
        </is>
      </c>
      <c r="M21" s="5" t="inlineStr">
        <is>
          <t>100.0</t>
        </is>
      </c>
      <c r="N21" s="5" t="inlineStr">
        <is>
          <t>YES</t>
        </is>
      </c>
    </row>
    <row r="22">
      <c r="A22" s="6" t="n">
        <v>158</v>
      </c>
      <c r="B22" s="5" t="inlineStr">
        <is>
          <t>S2</t>
        </is>
      </c>
      <c r="C22" s="5" t="inlineStr">
        <is>
          <t>3: Ex vivo full-thickness human skin microbioreactor</t>
        </is>
      </c>
      <c r="D22" s="5" t="inlineStr">
        <is>
          <t>Design and evaluation of a skin-on-a-chip pumpless microfluidic device</t>
        </is>
      </c>
      <c r="E22" s="5" t="inlineStr">
        <is>
          <t>10.1038/s41598-023-34796-3</t>
        </is>
      </c>
      <c r="F22" s="5" t="inlineStr">
        <is>
          <t>Controlled microfluidic perturbation</t>
        </is>
      </c>
      <c r="G22" s="5" t="inlineStr">
        <is>
          <t>Imaging or morphology</t>
        </is>
      </c>
      <c r="H22" s="6" t="inlineStr">
        <is>
          <t>1</t>
        </is>
      </c>
      <c r="K22" s="5" t="inlineStr">
        <is>
          <t>Provided article-level Table S2 coding (renumbered to current main bibliography)</t>
        </is>
      </c>
      <c r="L22" s="5" t="inlineStr">
        <is>
          <t>https://doi.org/10.1038/s41598-023-34796-3</t>
        </is>
      </c>
      <c r="M22" s="5" t="inlineStr">
        <is>
          <t>100.0</t>
        </is>
      </c>
      <c r="N22" s="5" t="inlineStr">
        <is>
          <t>YES</t>
        </is>
      </c>
    </row>
    <row r="23">
      <c r="A23" s="6" t="n">
        <v>159</v>
      </c>
      <c r="B23" s="5" t="inlineStr">
        <is>
          <t>S2</t>
        </is>
      </c>
      <c r="C23" s="5" t="inlineStr">
        <is>
          <t>4: Layered tissue-generation chip</t>
        </is>
      </c>
      <c r="D23" s="5" t="inlineStr">
        <is>
          <t>A new microfluidic method enabling the generation of multi-layered tissues-on-chips using skin cells as a proof of concept</t>
        </is>
      </c>
      <c r="E23" s="5" t="inlineStr">
        <is>
          <t>10.1038/s41598-021-91875-z</t>
        </is>
      </c>
      <c r="F23" s="5" t="inlineStr">
        <is>
          <t>Controlled microfluidic perturbation</t>
        </is>
      </c>
      <c r="G23" s="5" t="inlineStr">
        <is>
          <t>Imaging or morphology</t>
        </is>
      </c>
      <c r="H23" s="6" t="inlineStr">
        <is>
          <t>1</t>
        </is>
      </c>
      <c r="K23" s="5" t="inlineStr">
        <is>
          <t>Provided article-level Table S2 coding (renumbered to current main bibliography)</t>
        </is>
      </c>
      <c r="L23" s="5" t="inlineStr">
        <is>
          <t>https://doi.org/10.1038/s41598-021-91875-z</t>
        </is>
      </c>
      <c r="M23" s="5" t="inlineStr">
        <is>
          <t>100.0</t>
        </is>
      </c>
      <c r="N23" s="5" t="inlineStr">
        <is>
          <t>YES</t>
        </is>
      </c>
    </row>
    <row r="24">
      <c r="A24" s="6" t="n">
        <v>164</v>
      </c>
      <c r="B24" s="5" t="inlineStr">
        <is>
          <t>S2</t>
        </is>
      </c>
      <c r="C24" s="5" t="inlineStr">
        <is>
          <t>5: Oxygen-gradient angiogenesis module</t>
        </is>
      </c>
      <c r="D24" s="5" t="inlineStr">
        <is>
          <t>Studying sprouting angiogenesis under combination of oxygen gradients and co-culture of fibroblasts using microfluidic cell culture model</t>
        </is>
      </c>
      <c r="E24" s="5" t="inlineStr">
        <is>
          <t>10.1016/j.mtbio.2023.100703</t>
        </is>
      </c>
      <c r="F24" s="5" t="inlineStr">
        <is>
          <t>Controlled microfluidic perturbation</t>
        </is>
      </c>
      <c r="G24" s="5" t="inlineStr">
        <is>
          <t>Imaging or morphology</t>
        </is>
      </c>
      <c r="H24" s="6" t="inlineStr">
        <is>
          <t>1</t>
        </is>
      </c>
      <c r="K24" s="5" t="inlineStr">
        <is>
          <t>Provided article-level Table S2 coding (renumbered to current main bibliography)</t>
        </is>
      </c>
      <c r="L24" s="5" t="inlineStr">
        <is>
          <t>https://doi.org/10.1016/j.mtbio.2023.100703</t>
        </is>
      </c>
      <c r="M24" s="5" t="inlineStr">
        <is>
          <t>100.0</t>
        </is>
      </c>
      <c r="N24" s="5" t="inlineStr">
        <is>
          <t>YES</t>
        </is>
      </c>
    </row>
    <row r="25">
      <c r="A25" s="6" t="n">
        <v>158</v>
      </c>
      <c r="B25" s="5" t="inlineStr">
        <is>
          <t>S2</t>
        </is>
      </c>
      <c r="C25" s="5" t="inlineStr">
        <is>
          <t>3: Ex vivo full-thickness human skin microbioreactor</t>
        </is>
      </c>
      <c r="D25" s="5" t="inlineStr">
        <is>
          <t>Design and evaluation of a skin-on-a-chip pumpless microfluidic device</t>
        </is>
      </c>
      <c r="E25" s="5" t="inlineStr">
        <is>
          <t>10.1038/s41598-023-34796-3</t>
        </is>
      </c>
      <c r="F25" s="5" t="inlineStr">
        <is>
          <t>Controlled microfluidic perturbation</t>
        </is>
      </c>
      <c r="G25" s="5" t="inlineStr">
        <is>
          <t>Inflammatory, immune, or molecular</t>
        </is>
      </c>
      <c r="H25" s="6" t="inlineStr">
        <is>
          <t>1</t>
        </is>
      </c>
      <c r="K25" s="5" t="inlineStr">
        <is>
          <t>Provided article-level Table S2 coding (renumbered to current main bibliography)</t>
        </is>
      </c>
      <c r="L25" s="5" t="inlineStr">
        <is>
          <t>https://doi.org/10.1038/s41598-023-34796-3</t>
        </is>
      </c>
      <c r="M25" s="5" t="inlineStr">
        <is>
          <t>100.0</t>
        </is>
      </c>
      <c r="N25" s="5" t="inlineStr">
        <is>
          <t>YES</t>
        </is>
      </c>
    </row>
    <row r="26">
      <c r="A26" s="6" t="n">
        <v>155</v>
      </c>
      <c r="B26" s="5" t="inlineStr">
        <is>
          <t>S2</t>
        </is>
      </c>
      <c r="C26" s="5" t="inlineStr">
        <is>
          <t>2: Perfused dermal perivascular angiogenesis chip</t>
        </is>
      </c>
      <c r="D26" s="5" t="inlineStr">
        <is>
          <t>A 3D millifluidic model of a dermal perivascular microenvironment on a chip</t>
        </is>
      </c>
      <c r="E26" s="5" t="inlineStr">
        <is>
          <t>10.1039/d4lc00898g</t>
        </is>
      </c>
      <c r="F26" s="5" t="inlineStr">
        <is>
          <t>Controlled microfluidic perturbation</t>
        </is>
      </c>
      <c r="G26" s="5" t="inlineStr">
        <is>
          <t>Vascular or angiogenic</t>
        </is>
      </c>
      <c r="H26" s="6" t="inlineStr">
        <is>
          <t>1</t>
        </is>
      </c>
      <c r="K26" s="5" t="inlineStr">
        <is>
          <t>Provided article-level Table S2 coding (renumbered to current main bibliography)</t>
        </is>
      </c>
      <c r="L26" s="5" t="inlineStr">
        <is>
          <t>https://doi.org/10.1039/d4lc00898g</t>
        </is>
      </c>
      <c r="M26" s="5" t="inlineStr">
        <is>
          <t>100.0</t>
        </is>
      </c>
      <c r="N26" s="5" t="inlineStr">
        <is>
          <t>YES</t>
        </is>
      </c>
    </row>
    <row r="27">
      <c r="A27" s="6" t="n">
        <v>164</v>
      </c>
      <c r="B27" s="5" t="inlineStr">
        <is>
          <t>S2</t>
        </is>
      </c>
      <c r="C27" s="5" t="inlineStr">
        <is>
          <t>5: Oxygen-gradient angiogenesis module</t>
        </is>
      </c>
      <c r="D27" s="5" t="inlineStr">
        <is>
          <t>Studying sprouting angiogenesis under combination of oxygen gradients and co-culture of fibroblasts using microfluidic cell culture model</t>
        </is>
      </c>
      <c r="E27" s="5" t="inlineStr">
        <is>
          <t>10.1016/j.mtbio.2023.100703</t>
        </is>
      </c>
      <c r="F27" s="5" t="inlineStr">
        <is>
          <t>Controlled microfluidic perturbation</t>
        </is>
      </c>
      <c r="G27" s="5" t="inlineStr">
        <is>
          <t>Vascular or angiogenic</t>
        </is>
      </c>
      <c r="H27" s="6" t="inlineStr">
        <is>
          <t>1</t>
        </is>
      </c>
      <c r="K27" s="5" t="inlineStr">
        <is>
          <t>Provided article-level Table S2 coding (renumbered to current main bibliography)</t>
        </is>
      </c>
      <c r="L27" s="5" t="inlineStr">
        <is>
          <t>https://doi.org/10.1016/j.mtbio.2023.100703</t>
        </is>
      </c>
      <c r="M27" s="5" t="inlineStr">
        <is>
          <t>100.0</t>
        </is>
      </c>
      <c r="N27" s="5" t="inlineStr">
        <is>
          <t>YES</t>
        </is>
      </c>
    </row>
    <row r="28">
      <c r="A28" s="6" t="n">
        <v>58</v>
      </c>
      <c r="B28" s="5" t="inlineStr">
        <is>
          <t>S2</t>
        </is>
      </c>
      <c r="C28" s="5" t="inlineStr">
        <is>
          <t>12: Perfused inflammatory full-thickness skin-on-chip model for drug-response testing</t>
        </is>
      </c>
      <c r="D28" s="5" t="inlineStr">
        <is>
          <t>Analysis of drug efficacy for inflammatory skin on an organ-chip system</t>
        </is>
      </c>
      <c r="E28" s="5" t="n"/>
      <c r="F28" s="5" t="inlineStr">
        <is>
          <t>Disease/immune programming</t>
        </is>
      </c>
      <c r="G28" s="5" t="inlineStr">
        <is>
          <t>Barrier or permeation</t>
        </is>
      </c>
      <c r="H28" s="6" t="inlineStr">
        <is>
          <t>1</t>
        </is>
      </c>
      <c r="K28" s="5" t="inlineStr">
        <is>
          <t>Source-specific correction from Quan et al. 2022, not Gard et al. 2023; full-text primary source verified. Provided article-level Table S2 coding (renumbered to current main bibliography)</t>
        </is>
      </c>
      <c r="L28" s="5" t="inlineStr">
        <is>
          <t>https://doi.org/10.3389/fbioe.2022.939629</t>
        </is>
      </c>
      <c r="M28" s="5" t="inlineStr">
        <is>
          <t>100.0</t>
        </is>
      </c>
      <c r="N28" s="5" t="inlineStr">
        <is>
          <t>YES</t>
        </is>
      </c>
    </row>
    <row r="29">
      <c r="A29" s="6" t="n">
        <v>198</v>
      </c>
      <c r="B29" s="5" t="inlineStr">
        <is>
          <t>S2</t>
        </is>
      </c>
      <c r="C29" s="5" t="inlineStr">
        <is>
          <t>16: Epidermal pruritus and barrier-support skin-on-chip</t>
        </is>
      </c>
      <c r="D29" s="5" t="inlineStr">
        <is>
          <t>Skin-on-Chip and clinical evaluation of the soothing potential of a topical natural treatment for atopic-prone skin: An exploratory study</t>
        </is>
      </c>
      <c r="E29" s="5" t="inlineStr">
        <is>
          <t>10.1016/j.biopha.2025.118957</t>
        </is>
      </c>
      <c r="F29" s="5" t="inlineStr">
        <is>
          <t>Disease/immune programming</t>
        </is>
      </c>
      <c r="G29" s="5" t="inlineStr">
        <is>
          <t>Barrier or permeation</t>
        </is>
      </c>
      <c r="H29" s="6" t="inlineStr">
        <is>
          <t>1</t>
        </is>
      </c>
      <c r="K29" s="5" t="inlineStr">
        <is>
          <t>Provided article-level Table S2 coding (renumbered to current main bibliography)</t>
        </is>
      </c>
      <c r="L29" s="5" t="inlineStr">
        <is>
          <t>https://doi.org/10.1016/j.biopha.2025.118957</t>
        </is>
      </c>
      <c r="M29" s="5" t="inlineStr">
        <is>
          <t>100.0</t>
        </is>
      </c>
      <c r="N29" s="5" t="inlineStr">
        <is>
          <t>YES</t>
        </is>
      </c>
    </row>
    <row r="30">
      <c r="A30" s="6" t="n">
        <v>196</v>
      </c>
      <c r="B30" s="5" t="inlineStr">
        <is>
          <t>S2</t>
        </is>
      </c>
      <c r="C30" s="5" t="inlineStr">
        <is>
          <t>14: Dynamic reconstructed skin-on-chip for topical sensitizer response</t>
        </is>
      </c>
      <c r="D30" s="5" t="inlineStr">
        <is>
          <t>Proof-of-concept organ-on-chip study: topical cinnamaldehyde exposure of reconstructed human skin with integrated neopapillae cultured under dynamic flow</t>
        </is>
      </c>
      <c r="E30" s="5" t="inlineStr">
        <is>
          <t>10.3390/pharmaceutics14081529</t>
        </is>
      </c>
      <c r="F30" s="5" t="inlineStr">
        <is>
          <t>Disease/immune programming</t>
        </is>
      </c>
      <c r="G30" s="5" t="inlineStr">
        <is>
          <t>Drug transport or therapy response</t>
        </is>
      </c>
      <c r="H30" s="6" t="inlineStr">
        <is>
          <t>1</t>
        </is>
      </c>
      <c r="K30" s="5" t="inlineStr">
        <is>
          <t>Provided article-level Table S2 coding (renumbered to current main bibliography)</t>
        </is>
      </c>
      <c r="L30" s="5" t="inlineStr">
        <is>
          <t>https://doi.org/10.3390/pharmaceutics14081529</t>
        </is>
      </c>
      <c r="M30" s="5" t="inlineStr">
        <is>
          <t>100.0</t>
        </is>
      </c>
      <c r="N30" s="5" t="inlineStr">
        <is>
          <t>YES</t>
        </is>
      </c>
    </row>
    <row r="31">
      <c r="A31" s="6" t="n">
        <v>197</v>
      </c>
      <c r="B31" s="5" t="inlineStr">
        <is>
          <t>S2</t>
        </is>
      </c>
      <c r="C31" s="5" t="inlineStr">
        <is>
          <t>15: Perfused inflammatory skin-on-chip with rapid cytokine detection</t>
        </is>
      </c>
      <c r="D31" s="5" t="inlineStr">
        <is>
          <t>Skin-on-a-Chip Coupled with a Rapid Inflammation Detection System for Cosmetic Ingredient Screening</t>
        </is>
      </c>
      <c r="F31" s="5" t="inlineStr">
        <is>
          <t>Disease/immune programming</t>
        </is>
      </c>
      <c r="G31" s="5" t="inlineStr">
        <is>
          <t>Drug transport or therapy response</t>
        </is>
      </c>
      <c r="H31" s="6" t="inlineStr">
        <is>
          <t>1</t>
        </is>
      </c>
      <c r="K31" s="5" t="inlineStr">
        <is>
          <t>Provided article-level Table S2 coding (renumbered to current main bibliography)</t>
        </is>
      </c>
      <c r="M31" s="5" t="inlineStr">
        <is>
          <t>100.0</t>
        </is>
      </c>
      <c r="N31" s="5" t="inlineStr">
        <is>
          <t>YES</t>
        </is>
      </c>
    </row>
    <row r="32">
      <c r="A32" s="6" t="n">
        <v>198</v>
      </c>
      <c r="B32" s="5" t="inlineStr">
        <is>
          <t>S2</t>
        </is>
      </c>
      <c r="C32" s="5" t="inlineStr">
        <is>
          <t>16: Epidermal pruritus and barrier-support skin-on-chip</t>
        </is>
      </c>
      <c r="D32" s="5" t="inlineStr">
        <is>
          <t>Skin-on-Chip and clinical evaluation of the soothing potential of a topical natural treatment for atopic-prone skin: An exploratory study</t>
        </is>
      </c>
      <c r="E32" s="5" t="inlineStr">
        <is>
          <t>10.1016/j.biopha.2025.118957</t>
        </is>
      </c>
      <c r="F32" s="5" t="inlineStr">
        <is>
          <t>Disease/immune programming</t>
        </is>
      </c>
      <c r="G32" s="5" t="inlineStr">
        <is>
          <t>Drug transport or therapy response</t>
        </is>
      </c>
      <c r="H32" s="6" t="inlineStr">
        <is>
          <t>1</t>
        </is>
      </c>
      <c r="K32" s="5" t="inlineStr">
        <is>
          <t>Provided article-level Table S2 coding (renumbered to current main bibliography)</t>
        </is>
      </c>
      <c r="L32" s="5" t="inlineStr">
        <is>
          <t>https://doi.org/10.1016/j.biopha.2025.118957</t>
        </is>
      </c>
      <c r="M32" s="5" t="inlineStr">
        <is>
          <t>100.0</t>
        </is>
      </c>
      <c r="N32" s="5" t="inlineStr">
        <is>
          <t>YES</t>
        </is>
      </c>
    </row>
    <row r="33">
      <c r="A33" s="6" t="n">
        <v>169</v>
      </c>
      <c r="B33" s="5" t="inlineStr">
        <is>
          <t>S2</t>
        </is>
      </c>
      <c r="C33" s="5" t="inlineStr">
        <is>
          <t>13: Infection-activated vessel-on-chip</t>
        </is>
      </c>
      <c r="D33" s="5" t="inlineStr">
        <is>
          <t>An in vitro human vessel model to study Neisseria meningitidis colonization and vascular damages</t>
        </is>
      </c>
      <c r="E33" s="5" t="inlineStr">
        <is>
          <t>10.7554/eLife.107813</t>
        </is>
      </c>
      <c r="F33" s="5" t="inlineStr">
        <is>
          <t>Disease/immune programming</t>
        </is>
      </c>
      <c r="G33" s="5" t="inlineStr">
        <is>
          <t>Imaging or morphology</t>
        </is>
      </c>
      <c r="H33" s="6" t="inlineStr">
        <is>
          <t>1</t>
        </is>
      </c>
      <c r="K33" s="5" t="inlineStr">
        <is>
          <t>Provided article-level Table S2 coding (renumbered to current main bibliography)</t>
        </is>
      </c>
      <c r="L33" s="5" t="inlineStr">
        <is>
          <t>https://doi.org/10.7554/eLife.107813</t>
        </is>
      </c>
      <c r="M33" s="5" t="inlineStr">
        <is>
          <t>100.0</t>
        </is>
      </c>
      <c r="N33" s="5" t="inlineStr">
        <is>
          <t>YES</t>
        </is>
      </c>
    </row>
    <row r="34">
      <c r="A34" s="6" t="n">
        <v>169</v>
      </c>
      <c r="B34" s="5" t="inlineStr">
        <is>
          <t>S2</t>
        </is>
      </c>
      <c r="C34" s="5" t="inlineStr">
        <is>
          <t>13: Infection-activated vessel-on-chip</t>
        </is>
      </c>
      <c r="D34" s="5" t="inlineStr">
        <is>
          <t>An in vitro human vessel model to study Neisseria meningitidis colonization and vascular damages</t>
        </is>
      </c>
      <c r="E34" s="5" t="inlineStr">
        <is>
          <t>10.7554/eLife.107813</t>
        </is>
      </c>
      <c r="F34" s="5" t="inlineStr">
        <is>
          <t>Disease/immune programming</t>
        </is>
      </c>
      <c r="G34" s="5" t="inlineStr">
        <is>
          <t>Infection or microbial</t>
        </is>
      </c>
      <c r="H34" s="6" t="inlineStr">
        <is>
          <t>1</t>
        </is>
      </c>
      <c r="K34" s="5" t="inlineStr">
        <is>
          <t>Provided article-level Table S2 coding (renumbered to current main bibliography)</t>
        </is>
      </c>
      <c r="L34" s="5" t="inlineStr">
        <is>
          <t>https://doi.org/10.7554/eLife.107813</t>
        </is>
      </c>
      <c r="M34" s="5" t="inlineStr">
        <is>
          <t>100.0</t>
        </is>
      </c>
      <c r="N34" s="5" t="inlineStr">
        <is>
          <t>YES</t>
        </is>
      </c>
    </row>
    <row r="35">
      <c r="A35" s="6" t="n">
        <v>58</v>
      </c>
      <c r="B35" s="5" t="inlineStr">
        <is>
          <t>S2</t>
        </is>
      </c>
      <c r="C35" s="5" t="inlineStr">
        <is>
          <t>12: Perfused inflammatory full-thickness skin-on-chip model for drug-response testing</t>
        </is>
      </c>
      <c r="D35" s="5" t="inlineStr">
        <is>
          <t>Analysis of drug efficacy for inflammatory skin on an organ-chip system</t>
        </is>
      </c>
      <c r="E35" s="5" t="n"/>
      <c r="F35" s="5" t="inlineStr">
        <is>
          <t>Disease/immune programming</t>
        </is>
      </c>
      <c r="G35" s="5" t="inlineStr">
        <is>
          <t>Inflammatory, immune, or molecular</t>
        </is>
      </c>
      <c r="H35" s="6" t="inlineStr">
        <is>
          <t>1</t>
        </is>
      </c>
      <c r="K35" s="5" t="inlineStr">
        <is>
          <t>Source-specific correction from Quan et al. 2022, not Gard et al. 2023; full-text primary source verified. Provided article-level Table S2 coding (renumbered to current main bibliography)</t>
        </is>
      </c>
      <c r="L35" s="5" t="inlineStr">
        <is>
          <t>https://doi.org/10.3389/fbioe.2022.939629</t>
        </is>
      </c>
      <c r="M35" s="5" t="inlineStr">
        <is>
          <t>100.0</t>
        </is>
      </c>
      <c r="N35" s="5" t="inlineStr">
        <is>
          <t>YES</t>
        </is>
      </c>
    </row>
    <row r="36">
      <c r="A36" s="6" t="n">
        <v>169</v>
      </c>
      <c r="B36" s="5" t="inlineStr">
        <is>
          <t>S2</t>
        </is>
      </c>
      <c r="C36" s="5" t="inlineStr">
        <is>
          <t>13: Infection-activated vessel-on-chip</t>
        </is>
      </c>
      <c r="D36" s="5" t="inlineStr">
        <is>
          <t>An in vitro human vessel model to study Neisseria meningitidis colonization and vascular damages</t>
        </is>
      </c>
      <c r="E36" s="5" t="inlineStr">
        <is>
          <t>10.7554/eLife.107813</t>
        </is>
      </c>
      <c r="F36" s="5" t="inlineStr">
        <is>
          <t>Disease/immune programming</t>
        </is>
      </c>
      <c r="G36" s="5" t="inlineStr">
        <is>
          <t>Inflammatory, immune, or molecular</t>
        </is>
      </c>
      <c r="H36" s="6" t="inlineStr">
        <is>
          <t>1</t>
        </is>
      </c>
      <c r="K36" s="5" t="inlineStr">
        <is>
          <t>Provided article-level Table S2 coding (renumbered to current main bibliography)</t>
        </is>
      </c>
      <c r="L36" s="5" t="inlineStr">
        <is>
          <t>https://doi.org/10.7554/eLife.107813</t>
        </is>
      </c>
      <c r="M36" s="5" t="inlineStr">
        <is>
          <t>100.0</t>
        </is>
      </c>
      <c r="N36" s="5" t="inlineStr">
        <is>
          <t>YES</t>
        </is>
      </c>
    </row>
    <row r="37">
      <c r="A37" s="6" t="n">
        <v>196</v>
      </c>
      <c r="B37" s="5" t="inlineStr">
        <is>
          <t>S2</t>
        </is>
      </c>
      <c r="C37" s="5" t="inlineStr">
        <is>
          <t>14: Dynamic reconstructed skin-on-chip for topical sensitizer response</t>
        </is>
      </c>
      <c r="D37" s="5" t="inlineStr">
        <is>
          <t>Proof-of-concept organ-on-chip study: topical cinnamaldehyde exposure of reconstructed human skin with integrated neopapillae cultured under dynamic flow</t>
        </is>
      </c>
      <c r="E37" s="5" t="inlineStr">
        <is>
          <t>10.3390/pharmaceutics14081529</t>
        </is>
      </c>
      <c r="F37" s="5" t="inlineStr">
        <is>
          <t>Disease/immune programming</t>
        </is>
      </c>
      <c r="G37" s="5" t="inlineStr">
        <is>
          <t>Inflammatory, immune, or molecular</t>
        </is>
      </c>
      <c r="H37" s="6" t="inlineStr">
        <is>
          <t>1</t>
        </is>
      </c>
      <c r="K37" s="5" t="inlineStr">
        <is>
          <t>Provided article-level Table S2 coding (renumbered to current main bibliography)</t>
        </is>
      </c>
      <c r="L37" s="5" t="inlineStr">
        <is>
          <t>https://doi.org/10.3390/pharmaceutics14081529</t>
        </is>
      </c>
      <c r="M37" s="5" t="inlineStr">
        <is>
          <t>100.0</t>
        </is>
      </c>
      <c r="N37" s="5" t="inlineStr">
        <is>
          <t>YES</t>
        </is>
      </c>
    </row>
    <row r="38">
      <c r="A38" s="6" t="n">
        <v>197</v>
      </c>
      <c r="B38" s="5" t="inlineStr">
        <is>
          <t>S2</t>
        </is>
      </c>
      <c r="C38" s="5" t="inlineStr">
        <is>
          <t>15: Perfused inflammatory skin-on-chip with rapid cytokine detection</t>
        </is>
      </c>
      <c r="D38" s="5" t="inlineStr">
        <is>
          <t>Skin-on-a-Chip Coupled with a Rapid Inflammation Detection System for Cosmetic Ingredient Screening</t>
        </is>
      </c>
      <c r="F38" s="5" t="inlineStr">
        <is>
          <t>Disease/immune programming</t>
        </is>
      </c>
      <c r="G38" s="5" t="inlineStr">
        <is>
          <t>Inflammatory, immune, or molecular</t>
        </is>
      </c>
      <c r="H38" s="6" t="inlineStr">
        <is>
          <t>1</t>
        </is>
      </c>
      <c r="K38" s="5" t="inlineStr">
        <is>
          <t>Provided article-level Table S2 coding (renumbered to current main bibliography)</t>
        </is>
      </c>
      <c r="M38" s="5" t="inlineStr">
        <is>
          <t>100.0</t>
        </is>
      </c>
      <c r="N38" s="5" t="inlineStr">
        <is>
          <t>YES</t>
        </is>
      </c>
    </row>
    <row r="39">
      <c r="A39" s="6" t="n">
        <v>198</v>
      </c>
      <c r="B39" s="5" t="inlineStr">
        <is>
          <t>S2</t>
        </is>
      </c>
      <c r="C39" s="5" t="inlineStr">
        <is>
          <t>16: Epidermal pruritus and barrier-support skin-on-chip</t>
        </is>
      </c>
      <c r="D39" s="5" t="inlineStr">
        <is>
          <t>Skin-on-Chip and clinical evaluation of the soothing potential of a topical natural treatment for atopic-prone skin: An exploratory study</t>
        </is>
      </c>
      <c r="E39" s="5" t="inlineStr">
        <is>
          <t>10.1016/j.biopha.2025.118957</t>
        </is>
      </c>
      <c r="F39" s="5" t="inlineStr">
        <is>
          <t>Disease/immune programming</t>
        </is>
      </c>
      <c r="G39" s="5" t="inlineStr">
        <is>
          <t>Inflammatory, immune, or molecular</t>
        </is>
      </c>
      <c r="H39" s="6" t="inlineStr">
        <is>
          <t>1</t>
        </is>
      </c>
      <c r="K39" s="5" t="inlineStr">
        <is>
          <t>Provided article-level Table S2 coding (renumbered to current main bibliography)</t>
        </is>
      </c>
      <c r="L39" s="5" t="inlineStr">
        <is>
          <t>https://doi.org/10.1016/j.biopha.2025.118957</t>
        </is>
      </c>
      <c r="M39" s="5" t="inlineStr">
        <is>
          <t>100.0</t>
        </is>
      </c>
      <c r="N39" s="5" t="inlineStr">
        <is>
          <t>YES</t>
        </is>
      </c>
    </row>
    <row r="40">
      <c r="A40" s="6" t="n">
        <v>183</v>
      </c>
      <c r="B40" s="5" t="inlineStr">
        <is>
          <t>S2</t>
        </is>
      </c>
      <c r="C40" s="5" t="inlineStr">
        <is>
          <t>19: Battery-free lactate prognostic wound monitor</t>
        </is>
      </c>
      <c r="D40" s="5" t="inlineStr">
        <is>
          <t>A miniaturized, battery‐free, wireless wound monitor that predicts wound closure rate early</t>
        </is>
      </c>
      <c r="E40" s="5" t="inlineStr">
        <is>
          <t>10.1002/adhm.202301280</t>
        </is>
      </c>
      <c r="F40" s="5" t="inlineStr">
        <is>
          <t>Wound-state sensing</t>
        </is>
      </c>
      <c r="G40" s="5" t="inlineStr">
        <is>
          <t>Drug transport or therapy response</t>
        </is>
      </c>
      <c r="H40" s="6" t="inlineStr">
        <is>
          <t>1</t>
        </is>
      </c>
      <c r="K40" s="5" t="inlineStr">
        <is>
          <t>Provided article-level Table S2 coding (renumbered to current main bibliography)</t>
        </is>
      </c>
      <c r="L40" s="5" t="inlineStr">
        <is>
          <t>https://doi.org/10.1002/adhm.202301280</t>
        </is>
      </c>
      <c r="M40" s="5" t="inlineStr">
        <is>
          <t>100.0</t>
        </is>
      </c>
      <c r="N40" s="5" t="inlineStr">
        <is>
          <t>YES</t>
        </is>
      </c>
    </row>
    <row r="41">
      <c r="A41" s="6" t="n">
        <v>101</v>
      </c>
      <c r="B41" s="5" t="inlineStr">
        <is>
          <t>S2</t>
        </is>
      </c>
      <c r="C41" s="5" t="inlineStr">
        <is>
          <t>18: Multiplexed wound-exudate sensing patches</t>
        </is>
      </c>
      <c r="D41" s="5" t="inlineStr">
        <is>
          <t>A flexible multiplexed immunosensor for point-of-care in situ wound monitoring</t>
        </is>
      </c>
      <c r="E41" s="5" t="inlineStr">
        <is>
          <t>10.1126/sciadv.abg9614</t>
        </is>
      </c>
      <c r="F41" s="5" t="inlineStr">
        <is>
          <t>Wound-state sensing</t>
        </is>
      </c>
      <c r="G41" s="5" t="inlineStr">
        <is>
          <t>Infection or microbial</t>
        </is>
      </c>
      <c r="H41" s="6" t="inlineStr">
        <is>
          <t>1</t>
        </is>
      </c>
      <c r="K41" s="5" t="inlineStr">
        <is>
          <t>Provided article-level Table S2 coding (renumbered to current main bibliography)</t>
        </is>
      </c>
      <c r="L41" s="5" t="inlineStr">
        <is>
          <t>https://doi.org/10.1126/sciadv.abg9614</t>
        </is>
      </c>
      <c r="M41" s="5" t="inlineStr">
        <is>
          <t>100.0</t>
        </is>
      </c>
      <c r="N41" s="5" t="inlineStr">
        <is>
          <t>YES</t>
        </is>
      </c>
    </row>
    <row r="42">
      <c r="A42" s="6" t="n">
        <v>101</v>
      </c>
      <c r="B42" s="5" t="inlineStr">
        <is>
          <t>S2</t>
        </is>
      </c>
      <c r="C42" s="5" t="inlineStr">
        <is>
          <t>18: Multiplexed wound-exudate sensing patches</t>
        </is>
      </c>
      <c r="D42" s="5" t="inlineStr">
        <is>
          <t>A flexible multiplexed immunosensor for point-of-care in situ wound monitoring</t>
        </is>
      </c>
      <c r="E42" s="5" t="inlineStr">
        <is>
          <t>10.1126/sciadv.abg9614</t>
        </is>
      </c>
      <c r="F42" s="5" t="inlineStr">
        <is>
          <t>Wound-state sensing</t>
        </is>
      </c>
      <c r="G42" s="5" t="inlineStr">
        <is>
          <t>Inflammatory, immune, or molecular</t>
        </is>
      </c>
      <c r="H42" s="6" t="inlineStr">
        <is>
          <t>1</t>
        </is>
      </c>
      <c r="K42" s="5" t="inlineStr">
        <is>
          <t>Provided article-level Table S2 coding (renumbered to current main bibliography)</t>
        </is>
      </c>
      <c r="L42" s="5" t="inlineStr">
        <is>
          <t>https://doi.org/10.1126/sciadv.abg9614</t>
        </is>
      </c>
      <c r="M42" s="5" t="inlineStr">
        <is>
          <t>100.0</t>
        </is>
      </c>
      <c r="N42" s="5" t="inlineStr">
        <is>
          <t>YES</t>
        </is>
      </c>
    </row>
    <row r="43">
      <c r="A43" s="6" t="n">
        <v>101</v>
      </c>
      <c r="B43" s="5" t="inlineStr">
        <is>
          <t>S2</t>
        </is>
      </c>
      <c r="C43" s="5" t="inlineStr">
        <is>
          <t>18: Multiplexed wound-exudate sensing patches</t>
        </is>
      </c>
      <c r="D43" s="5" t="inlineStr">
        <is>
          <t>A flexible multiplexed immunosensor for point-of-care in situ wound monitoring</t>
        </is>
      </c>
      <c r="E43" s="5" t="inlineStr">
        <is>
          <t>10.1126/sciadv.abg9614</t>
        </is>
      </c>
      <c r="F43" s="5" t="inlineStr">
        <is>
          <t>Wound-state sensing</t>
        </is>
      </c>
      <c r="G43" s="5" t="inlineStr">
        <is>
          <t>Metabolic or biochemical sensing</t>
        </is>
      </c>
      <c r="H43" s="6" t="inlineStr">
        <is>
          <t>1</t>
        </is>
      </c>
      <c r="K43" s="5" t="inlineStr">
        <is>
          <t>Provided article-level Table S2 coding (renumbered to current main bibliography)</t>
        </is>
      </c>
      <c r="L43" s="5" t="inlineStr">
        <is>
          <t>https://doi.org/10.1126/sciadv.abg9614</t>
        </is>
      </c>
      <c r="M43" s="5" t="inlineStr">
        <is>
          <t>100.0</t>
        </is>
      </c>
      <c r="N43" s="5" t="inlineStr">
        <is>
          <t>YES</t>
        </is>
      </c>
    </row>
    <row r="44">
      <c r="A44" s="6" t="n">
        <v>182</v>
      </c>
      <c r="B44" s="5" t="inlineStr">
        <is>
          <t>S2</t>
        </is>
      </c>
      <c r="C44" s="5" t="inlineStr">
        <is>
          <t>18: Multiplexed wound-exudate sensing patches</t>
        </is>
      </c>
      <c r="D44" s="5" t="inlineStr">
        <is>
          <t>A flexible and multimodal biosensing patch integrated with microfluidics for chronic wound monitoring</t>
        </is>
      </c>
      <c r="E44" s="5" t="inlineStr">
        <is>
          <t>10.1016/j.cej.2024.157673</t>
        </is>
      </c>
      <c r="F44" s="5" t="inlineStr">
        <is>
          <t>Wound-state sensing</t>
        </is>
      </c>
      <c r="G44" s="5" t="inlineStr">
        <is>
          <t>Metabolic or biochemical sensing</t>
        </is>
      </c>
      <c r="H44" s="6" t="inlineStr">
        <is>
          <t>1</t>
        </is>
      </c>
      <c r="K44" s="5" t="inlineStr">
        <is>
          <t>Provided article-level Table S2 coding (renumbered to current main bibliography)</t>
        </is>
      </c>
      <c r="L44" s="5" t="inlineStr">
        <is>
          <t>https://doi.org/10.1016/j.cej.2024.157673</t>
        </is>
      </c>
      <c r="M44" s="5" t="inlineStr">
        <is>
          <t>100.0</t>
        </is>
      </c>
      <c r="N44" s="5" t="inlineStr">
        <is>
          <t>YES</t>
        </is>
      </c>
    </row>
    <row r="45">
      <c r="A45" s="6" t="n">
        <v>183</v>
      </c>
      <c r="B45" s="5" t="inlineStr">
        <is>
          <t>S2</t>
        </is>
      </c>
      <c r="C45" s="5" t="inlineStr">
        <is>
          <t>19: Battery-free lactate prognostic wound monitor</t>
        </is>
      </c>
      <c r="D45" s="5" t="inlineStr">
        <is>
          <t>A miniaturized, battery‐free, wireless wound monitor that predicts wound closure rate early</t>
        </is>
      </c>
      <c r="E45" s="5" t="inlineStr">
        <is>
          <t>10.1002/adhm.202301280</t>
        </is>
      </c>
      <c r="F45" s="5" t="inlineStr">
        <is>
          <t>Wound-state sensing</t>
        </is>
      </c>
      <c r="G45" s="5" t="inlineStr">
        <is>
          <t>Metabolic or biochemical sensing</t>
        </is>
      </c>
      <c r="H45" s="6" t="inlineStr">
        <is>
          <t>1</t>
        </is>
      </c>
      <c r="K45" s="5" t="inlineStr">
        <is>
          <t>Provided article-level Table S2 coding (renumbered to current main bibliography)</t>
        </is>
      </c>
      <c r="L45" s="5" t="inlineStr">
        <is>
          <t>https://doi.org/10.1002/adhm.202301280</t>
        </is>
      </c>
      <c r="M45" s="5" t="inlineStr">
        <is>
          <t>100.0</t>
        </is>
      </c>
      <c r="N45" s="5" t="inlineStr">
        <is>
          <t>YES</t>
        </is>
      </c>
    </row>
  </sheetData>
  <autoFilter ref="A1:N45"/>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2" r:id="rId30"/>
    <hyperlink xmlns:r="http://schemas.openxmlformats.org/officeDocument/2006/relationships" ref="L33" r:id="rId31"/>
    <hyperlink xmlns:r="http://schemas.openxmlformats.org/officeDocument/2006/relationships" ref="L34" r:id="rId32"/>
    <hyperlink xmlns:r="http://schemas.openxmlformats.org/officeDocument/2006/relationships" ref="L35" r:id="rId33"/>
    <hyperlink xmlns:r="http://schemas.openxmlformats.org/officeDocument/2006/relationships" ref="L36" r:id="rId34"/>
    <hyperlink xmlns:r="http://schemas.openxmlformats.org/officeDocument/2006/relationships" ref="L37" r:id="rId35"/>
    <hyperlink xmlns:r="http://schemas.openxmlformats.org/officeDocument/2006/relationships" ref="L39" r:id="rId36"/>
    <hyperlink xmlns:r="http://schemas.openxmlformats.org/officeDocument/2006/relationships" ref="L40" r:id="rId37"/>
    <hyperlink xmlns:r="http://schemas.openxmlformats.org/officeDocument/2006/relationships" ref="L41" r:id="rId38"/>
    <hyperlink xmlns:r="http://schemas.openxmlformats.org/officeDocument/2006/relationships" ref="L42" r:id="rId39"/>
    <hyperlink xmlns:r="http://schemas.openxmlformats.org/officeDocument/2006/relationships" ref="L43" r:id="rId40"/>
    <hyperlink xmlns:r="http://schemas.openxmlformats.org/officeDocument/2006/relationships" ref="L44" r:id="rId41"/>
    <hyperlink xmlns:r="http://schemas.openxmlformats.org/officeDocument/2006/relationships" ref="L45" r:id="rId42"/>
  </hyperlinks>
  <pageMargins left="0.7" right="0.7" top="0.75" bottom="0.75" header="0.3" footer="0.3"/>
</worksheet>
</file>

<file path=xl/worksheets/sheet13.xml><?xml version="1.0" encoding="utf-8"?>
<worksheet xmlns="http://schemas.openxmlformats.org/spreadsheetml/2006/main">
  <sheetPr>
    <tabColor rgb="FF23678D"/>
    <outlinePr summaryBelow="1" summaryRight="1"/>
    <pageSetUpPr/>
  </sheetPr>
  <dimension ref="A1:I6"/>
  <sheetViews>
    <sheetView showGridLines="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56.7109375" customWidth="1" min="1" max="1"/>
    <col width="19.7109375" customWidth="1" min="2" max="9"/>
  </cols>
  <sheetData>
    <row r="1" ht="75" customHeight="1">
      <c r="A1" s="2" t="inlineStr">
        <is>
          <t>Group</t>
        </is>
      </c>
      <c r="B1" s="2" t="inlineStr">
        <is>
          <t>Imaging or
morphology</t>
        </is>
      </c>
      <c r="C1" s="2" t="inlineStr">
        <is>
          <t>Barrier or
permeation</t>
        </is>
      </c>
      <c r="D1" s="2" t="inlineStr">
        <is>
          <t>Inflammatory,
immune, or
molecular</t>
        </is>
      </c>
      <c r="E1" s="2" t="inlineStr">
        <is>
          <t>Metabolic or
biochemical
sensing</t>
        </is>
      </c>
      <c r="F1" s="2" t="inlineStr">
        <is>
          <t>Infection or
microbial</t>
        </is>
      </c>
      <c r="G1" s="2" t="inlineStr">
        <is>
          <t>Vascular or
angiogenic</t>
        </is>
      </c>
      <c r="H1" s="2" t="inlineStr">
        <is>
          <t>Drug transport or
therapy response</t>
        </is>
      </c>
      <c r="I1" s="2" t="inlineStr">
        <is>
          <t>Unique studies in group</t>
        </is>
      </c>
    </row>
    <row r="2">
      <c r="A2" s="5" t="inlineStr">
        <is>
          <t>Controlled microfluidic
perturbation</t>
        </is>
      </c>
      <c r="B2" s="7" t="n">
        <f>COUNTIFS('Code_S04'!$F$2:$F$45,SUBSTITUTE($A2,CHAR(10)," "),'Code_S04'!$G$2:$G$45,SUBSTITUTE(B$1,CHAR(10)," "),'Code_S04'!$H$2:$H$45,1)</f>
        <v>3</v>
      </c>
      <c r="C2" s="7" t="n">
        <f>COUNTIFS('Code_S04'!$F$2:$F$45,SUBSTITUTE($A2,CHAR(10)," "),'Code_S04'!$G$2:$G$45,SUBSTITUTE(C$1,CHAR(10)," "),'Code_S04'!$H$2:$H$45,1)</f>
        <v>0</v>
      </c>
      <c r="D2" s="7" t="n">
        <f>COUNTIFS('Code_S04'!$F$2:$F$45,SUBSTITUTE($A2,CHAR(10)," "),'Code_S04'!$G$2:$G$45,SUBSTITUTE(D$1,CHAR(10)," "),'Code_S04'!$H$2:$H$45,1)</f>
        <v>1</v>
      </c>
      <c r="E2" s="7" t="n">
        <f>COUNTIFS('Code_S04'!$F$2:$F$45,SUBSTITUTE($A2,CHAR(10)," "),'Code_S04'!$G$2:$G$45,SUBSTITUTE(E$1,CHAR(10)," "),'Code_S04'!$H$2:$H$45,1)</f>
        <v>0</v>
      </c>
      <c r="F2" s="7" t="n">
        <f>COUNTIFS('Code_S04'!$F$2:$F$45,SUBSTITUTE($A2,CHAR(10)," "),'Code_S04'!$G$2:$G$45,SUBSTITUTE(F$1,CHAR(10)," "),'Code_S04'!$H$2:$H$45,1)</f>
        <v>0</v>
      </c>
      <c r="G2" s="7" t="n">
        <f>COUNTIFS('Code_S04'!$F$2:$F$45,SUBSTITUTE($A2,CHAR(10)," "),'Code_S04'!$G$2:$G$45,SUBSTITUTE(G$1,CHAR(10)," "),'Code_S04'!$H$2:$H$45,1)</f>
        <v>2</v>
      </c>
      <c r="H2" s="7" t="n">
        <f>COUNTIFS('Code_S04'!$F$2:$F$45,SUBSTITUTE($A2,CHAR(10)," "),'Code_S04'!$G$2:$G$45,SUBSTITUTE(H$1,CHAR(10)," "),'Code_S04'!$H$2:$H$45,1)</f>
        <v>0</v>
      </c>
      <c r="I2" s="7" t="n">
        <f>COUNTIFS('08_Study_Cohorts'!$A$2:$A$365,"S4",'08_Study_Cohorts'!$C$2:$C$365,SUBSTITUTE($A2,CHAR(10)," "))</f>
        <v>4</v>
      </c>
    </row>
    <row r="3">
      <c r="A3" s="5" t="inlineStr">
        <is>
          <t>Barrier/permeation
exposure</t>
        </is>
      </c>
      <c r="B3" s="7" t="n">
        <f>COUNTIFS('Code_S04'!$F$2:$F$45,SUBSTITUTE($A3,CHAR(10)," "),'Code_S04'!$G$2:$G$45,SUBSTITUTE(B$1,CHAR(10)," "),'Code_S04'!$H$2:$H$45,1)</f>
        <v>2</v>
      </c>
      <c r="C3" s="7" t="n">
        <f>COUNTIFS('Code_S04'!$F$2:$F$45,SUBSTITUTE($A3,CHAR(10)," "),'Code_S04'!$G$2:$G$45,SUBSTITUTE(C$1,CHAR(10)," "),'Code_S04'!$H$2:$H$45,1)</f>
        <v>4</v>
      </c>
      <c r="D3" s="7" t="n">
        <f>COUNTIFS('Code_S04'!$F$2:$F$45,SUBSTITUTE($A3,CHAR(10)," "),'Code_S04'!$G$2:$G$45,SUBSTITUTE(D$1,CHAR(10)," "),'Code_S04'!$H$2:$H$45,1)</f>
        <v>2</v>
      </c>
      <c r="E3" s="7" t="n">
        <f>COUNTIFS('Code_S04'!$F$2:$F$45,SUBSTITUTE($A3,CHAR(10)," "),'Code_S04'!$G$2:$G$45,SUBSTITUTE(E$1,CHAR(10)," "),'Code_S04'!$H$2:$H$45,1)</f>
        <v>2</v>
      </c>
      <c r="F3" s="7" t="n">
        <f>COUNTIFS('Code_S04'!$F$2:$F$45,SUBSTITUTE($A3,CHAR(10)," "),'Code_S04'!$G$2:$G$45,SUBSTITUTE(F$1,CHAR(10)," "),'Code_S04'!$H$2:$H$45,1)</f>
        <v>0</v>
      </c>
      <c r="G3" s="7" t="n">
        <f>COUNTIFS('Code_S04'!$F$2:$F$45,SUBSTITUTE($A3,CHAR(10)," "),'Code_S04'!$G$2:$G$45,SUBSTITUTE(G$1,CHAR(10)," "),'Code_S04'!$H$2:$H$45,1)</f>
        <v>0</v>
      </c>
      <c r="H3" s="7" t="n">
        <f>COUNTIFS('Code_S04'!$F$2:$F$45,SUBSTITUTE($A3,CHAR(10)," "),'Code_S04'!$G$2:$G$45,SUBSTITUTE(H$1,CHAR(10)," "),'Code_S04'!$H$2:$H$45,1)</f>
        <v>5</v>
      </c>
      <c r="I3" s="7" t="n">
        <f>COUNTIFS('08_Study_Cohorts'!$A$2:$A$365,"S4",'08_Study_Cohorts'!$C$2:$C$365,SUBSTITUTE($A3,CHAR(10)," "))</f>
        <v>6</v>
      </c>
    </row>
    <row r="4">
      <c r="A4" s="5" t="inlineStr">
        <is>
          <t>Disease/immune
programming</t>
        </is>
      </c>
      <c r="B4" s="7" t="n">
        <f>COUNTIFS('Code_S04'!$F$2:$F$45,SUBSTITUTE($A4,CHAR(10)," "),'Code_S04'!$G$2:$G$45,SUBSTITUTE(B$1,CHAR(10)," "),'Code_S04'!$H$2:$H$45,1)</f>
        <v>1</v>
      </c>
      <c r="C4" s="7" t="n">
        <f>COUNTIFS('Code_S04'!$F$2:$F$45,SUBSTITUTE($A4,CHAR(10)," "),'Code_S04'!$G$2:$G$45,SUBSTITUTE(C$1,CHAR(10)," "),'Code_S04'!$H$2:$H$45,1)</f>
        <v>2</v>
      </c>
      <c r="D4" s="7" t="n">
        <f>COUNTIFS('Code_S04'!$F$2:$F$45,SUBSTITUTE($A4,CHAR(10)," "),'Code_S04'!$G$2:$G$45,SUBSTITUTE(D$1,CHAR(10)," "),'Code_S04'!$H$2:$H$45,1)</f>
        <v>5</v>
      </c>
      <c r="E4" s="7" t="n">
        <f>COUNTIFS('Code_S04'!$F$2:$F$45,SUBSTITUTE($A4,CHAR(10)," "),'Code_S04'!$G$2:$G$45,SUBSTITUTE(E$1,CHAR(10)," "),'Code_S04'!$H$2:$H$45,1)</f>
        <v>0</v>
      </c>
      <c r="F4" s="7" t="n">
        <f>COUNTIFS('Code_S04'!$F$2:$F$45,SUBSTITUTE($A4,CHAR(10)," "),'Code_S04'!$G$2:$G$45,SUBSTITUTE(F$1,CHAR(10)," "),'Code_S04'!$H$2:$H$45,1)</f>
        <v>1</v>
      </c>
      <c r="G4" s="7" t="n">
        <f>COUNTIFS('Code_S04'!$F$2:$F$45,SUBSTITUTE($A4,CHAR(10)," "),'Code_S04'!$G$2:$G$45,SUBSTITUTE(G$1,CHAR(10)," "),'Code_S04'!$H$2:$H$45,1)</f>
        <v>0</v>
      </c>
      <c r="H4" s="7" t="n">
        <f>COUNTIFS('Code_S04'!$F$2:$F$45,SUBSTITUTE($A4,CHAR(10)," "),'Code_S04'!$G$2:$G$45,SUBSTITUTE(H$1,CHAR(10)," "),'Code_S04'!$H$2:$H$45,1)</f>
        <v>3</v>
      </c>
      <c r="I4" s="7" t="n">
        <f>COUNTIFS('08_Study_Cohorts'!$A$2:$A$365,"S4",'08_Study_Cohorts'!$C$2:$C$365,SUBSTITUTE($A4,CHAR(10)," "))</f>
        <v>5</v>
      </c>
    </row>
    <row r="5">
      <c r="A5" s="5" t="inlineStr">
        <is>
          <t>Wound-state
sensing</t>
        </is>
      </c>
      <c r="B5" s="7" t="n">
        <f>COUNTIFS('Code_S04'!$F$2:$F$45,SUBSTITUTE($A5,CHAR(10)," "),'Code_S04'!$G$2:$G$45,SUBSTITUTE(B$1,CHAR(10)," "),'Code_S04'!$H$2:$H$45,1)</f>
        <v>0</v>
      </c>
      <c r="C5" s="7" t="n">
        <f>COUNTIFS('Code_S04'!$F$2:$F$45,SUBSTITUTE($A5,CHAR(10)," "),'Code_S04'!$G$2:$G$45,SUBSTITUTE(C$1,CHAR(10)," "),'Code_S04'!$H$2:$H$45,1)</f>
        <v>0</v>
      </c>
      <c r="D5" s="7" t="n">
        <f>COUNTIFS('Code_S04'!$F$2:$F$45,SUBSTITUTE($A5,CHAR(10)," "),'Code_S04'!$G$2:$G$45,SUBSTITUTE(D$1,CHAR(10)," "),'Code_S04'!$H$2:$H$45,1)</f>
        <v>1</v>
      </c>
      <c r="E5" s="7" t="n">
        <f>COUNTIFS('Code_S04'!$F$2:$F$45,SUBSTITUTE($A5,CHAR(10)," "),'Code_S04'!$G$2:$G$45,SUBSTITUTE(E$1,CHAR(10)," "),'Code_S04'!$H$2:$H$45,1)</f>
        <v>3</v>
      </c>
      <c r="F5" s="7" t="n">
        <f>COUNTIFS('Code_S04'!$F$2:$F$45,SUBSTITUTE($A5,CHAR(10)," "),'Code_S04'!$G$2:$G$45,SUBSTITUTE(F$1,CHAR(10)," "),'Code_S04'!$H$2:$H$45,1)</f>
        <v>1</v>
      </c>
      <c r="G5" s="7" t="n">
        <f>COUNTIFS('Code_S04'!$F$2:$F$45,SUBSTITUTE($A5,CHAR(10)," "),'Code_S04'!$G$2:$G$45,SUBSTITUTE(G$1,CHAR(10)," "),'Code_S04'!$H$2:$H$45,1)</f>
        <v>0</v>
      </c>
      <c r="H5" s="7" t="n">
        <f>COUNTIFS('Code_S04'!$F$2:$F$45,SUBSTITUTE($A5,CHAR(10)," "),'Code_S04'!$G$2:$G$45,SUBSTITUTE(H$1,CHAR(10)," "),'Code_S04'!$H$2:$H$45,1)</f>
        <v>1</v>
      </c>
      <c r="I5" s="7" t="n">
        <f>COUNTIFS('08_Study_Cohorts'!$A$2:$A$365,"S4",'08_Study_Cohorts'!$C$2:$C$365,SUBSTITUTE($A5,CHAR(10)," "))</f>
        <v>3</v>
      </c>
    </row>
    <row r="6">
      <c r="A6" s="5" t="inlineStr">
        <is>
          <t>Closed-loop
therapy</t>
        </is>
      </c>
      <c r="B6" s="7" t="n">
        <f>COUNTIFS('Code_S04'!$F$2:$F$45,SUBSTITUTE($A6,CHAR(10)," "),'Code_S04'!$G$2:$G$45,SUBSTITUTE(B$1,CHAR(10)," "),'Code_S04'!$H$2:$H$45,1)</f>
        <v>0</v>
      </c>
      <c r="C6" s="7" t="n">
        <f>COUNTIFS('Code_S04'!$F$2:$F$45,SUBSTITUTE($A6,CHAR(10)," "),'Code_S04'!$G$2:$G$45,SUBSTITUTE(C$1,CHAR(10)," "),'Code_S04'!$H$2:$H$45,1)</f>
        <v>0</v>
      </c>
      <c r="D6" s="7" t="n">
        <f>COUNTIFS('Code_S04'!$F$2:$F$45,SUBSTITUTE($A6,CHAR(10)," "),'Code_S04'!$G$2:$G$45,SUBSTITUTE(D$1,CHAR(10)," "),'Code_S04'!$H$2:$H$45,1)</f>
        <v>0</v>
      </c>
      <c r="E6" s="7" t="n">
        <f>COUNTIFS('Code_S04'!$F$2:$F$45,SUBSTITUTE($A6,CHAR(10)," "),'Code_S04'!$G$2:$G$45,SUBSTITUTE(E$1,CHAR(10)," "),'Code_S04'!$H$2:$H$45,1)</f>
        <v>2</v>
      </c>
      <c r="F6" s="7" t="n">
        <f>COUNTIFS('Code_S04'!$F$2:$F$45,SUBSTITUTE($A6,CHAR(10)," "),'Code_S04'!$G$2:$G$45,SUBSTITUTE(F$1,CHAR(10)," "),'Code_S04'!$H$2:$H$45,1)</f>
        <v>1</v>
      </c>
      <c r="G6" s="7" t="n">
        <f>COUNTIFS('Code_S04'!$F$2:$F$45,SUBSTITUTE($A6,CHAR(10)," "),'Code_S04'!$G$2:$G$45,SUBSTITUTE(G$1,CHAR(10)," "),'Code_S04'!$H$2:$H$45,1)</f>
        <v>0</v>
      </c>
      <c r="H6" s="7" t="n">
        <f>COUNTIFS('Code_S04'!$F$2:$F$45,SUBSTITUTE($A6,CHAR(10)," "),'Code_S04'!$G$2:$G$45,SUBSTITUTE(H$1,CHAR(10)," "),'Code_S04'!$H$2:$H$45,1)</f>
        <v>2</v>
      </c>
      <c r="I6" s="7" t="n">
        <f>COUNTIFS('08_Study_Cohorts'!$A$2:$A$365,"S4",'08_Study_Cohorts'!$C$2:$C$365,SUBSTITUTE($A6,CHAR(10)," "))</f>
        <v>2</v>
      </c>
    </row>
  </sheetData>
  <pageMargins left="0.7" right="0.7" top="0.75" bottom="0.75" header="0.3" footer="0.3"/>
</worksheet>
</file>

<file path=xl/worksheets/sheet14.xml><?xml version="1.0" encoding="utf-8"?>
<worksheet xmlns="http://schemas.openxmlformats.org/spreadsheetml/2006/main">
  <sheetPr>
    <tabColor rgb="FF2B8C83"/>
    <outlinePr summaryBelow="1" summaryRight="1"/>
    <pageSetUpPr/>
  </sheetPr>
  <dimension ref="A1:N120"/>
  <sheetViews>
    <sheetView showGridLines="0" workbookViewId="0">
      <pane xSplit="3" ySplit="1" topLeftCell="D2" activePane="bottomRight" state="frozen"/>
      <selection pane="topRight" activeCell="D1" sqref="D1"/>
      <selection pane="bottomLeft" activeCell="A2" sqref="A2"/>
      <selection pane="bottomRight" activeCell="A1" sqref="A1"/>
    </sheetView>
  </sheetViews>
  <sheetFormatPr baseColWidth="8" defaultRowHeight="15"/>
  <cols>
    <col width="14.7109375" customWidth="1" min="1" max="1"/>
    <col width="15.7109375" customWidth="1" min="2" max="2"/>
    <col width="50.7109375" customWidth="1" min="3" max="3"/>
    <col width="65.7109375" customWidth="1" min="4" max="4"/>
    <col width="25.7109375" customWidth="1" min="5" max="5"/>
    <col width="60.7109375" customWidth="1" min="6" max="6"/>
    <col width="43.7109375" customWidth="1" min="7" max="7"/>
    <col width="15.7109375" customWidth="1" min="8" max="8"/>
    <col width="17.7109375" customWidth="1" min="9" max="10"/>
    <col width="58.7109375" customWidth="1" min="11" max="11"/>
    <col width="57.7109375" customWidth="1" min="12" max="12"/>
    <col width="22.7109375" customWidth="1" min="13" max="13"/>
    <col width="20.7109375" customWidth="1" min="14" max="14"/>
  </cols>
  <sheetData>
    <row r="1" ht="51" customHeight="1">
      <c r="A1" s="2" t="inlineStr">
        <is>
          <t>Main_ref</t>
        </is>
      </c>
      <c r="B1" s="2" t="inlineStr">
        <is>
          <t>SI_source_table</t>
        </is>
      </c>
      <c r="C1" s="2" t="inlineStr">
        <is>
          <t>SI_table_row</t>
        </is>
      </c>
      <c r="D1" s="2" t="inlineStr">
        <is>
          <t>Main_article_title</t>
        </is>
      </c>
      <c r="E1" s="2" t="inlineStr">
        <is>
          <t>DOI_in_main_register</t>
        </is>
      </c>
      <c r="F1" s="2" t="inlineStr">
        <is>
          <t>Group</t>
        </is>
      </c>
      <c r="G1" s="2" t="inlineStr">
        <is>
          <t>Domain</t>
        </is>
      </c>
      <c r="H1" s="2" t="inlineStr">
        <is>
          <t>Code_0_1</t>
        </is>
      </c>
      <c r="I1" s="2" t="inlineStr">
        <is>
          <t>Proposed_structural_score</t>
        </is>
      </c>
      <c r="J1" s="2" t="inlineStr">
        <is>
          <t>Proposed_disease_score</t>
        </is>
      </c>
      <c r="K1" s="2" t="inlineStr">
        <is>
          <t>Provenance_note</t>
        </is>
      </c>
      <c r="L1" s="2" t="inlineStr">
        <is>
          <t>Source_URL</t>
        </is>
      </c>
      <c r="M1" s="2" t="inlineStr">
        <is>
          <t>Bibliography_title_match_pct</t>
        </is>
      </c>
      <c r="N1" s="2" t="inlineStr">
        <is>
          <t>Citation_present_in_main</t>
        </is>
      </c>
    </row>
    <row r="2">
      <c r="A2" s="6" t="n">
        <v>155</v>
      </c>
      <c r="B2" s="5" t="inlineStr">
        <is>
          <t>S2</t>
        </is>
      </c>
      <c r="C2" s="5" t="inlineStr">
        <is>
          <t>2: Perfused dermal perivascular angiogenesis chip</t>
        </is>
      </c>
      <c r="D2" s="5" t="inlineStr">
        <is>
          <t>A 3D millifluidic model of a dermal perivascular microenvironment on a chip</t>
        </is>
      </c>
      <c r="E2" s="5" t="inlineStr">
        <is>
          <t>10.1039/d4lc00898g</t>
        </is>
      </c>
      <c r="G2" s="5" t="inlineStr">
        <is>
          <t>Limited clinical or large-animal validation</t>
        </is>
      </c>
      <c r="H2" s="6" t="inlineStr">
        <is>
          <t>1</t>
        </is>
      </c>
      <c r="K2" s="5" t="inlineStr">
        <is>
          <t>Provided article-level Table S2 coding (renumbered to current main bibliography)</t>
        </is>
      </c>
      <c r="L2" s="5" t="inlineStr">
        <is>
          <t>https://doi.org/10.1039/d4lc00898g</t>
        </is>
      </c>
      <c r="M2" s="5" t="inlineStr">
        <is>
          <t>100.0</t>
        </is>
      </c>
      <c r="N2" s="5" t="inlineStr">
        <is>
          <t>YES</t>
        </is>
      </c>
    </row>
    <row r="3">
      <c r="A3" s="6" t="n">
        <v>158</v>
      </c>
      <c r="B3" s="5" t="inlineStr">
        <is>
          <t>S2</t>
        </is>
      </c>
      <c r="C3" s="5" t="inlineStr">
        <is>
          <t>3: Ex vivo full-thickness human skin microbioreactor</t>
        </is>
      </c>
      <c r="D3" s="5" t="inlineStr">
        <is>
          <t>Design and evaluation of a skin-on-a-chip pumpless microfluidic device</t>
        </is>
      </c>
      <c r="E3" s="5" t="inlineStr">
        <is>
          <t>10.1038/s41598-023-34796-3</t>
        </is>
      </c>
      <c r="G3" s="5" t="inlineStr">
        <is>
          <t>Limited clinical or large-animal validation</t>
        </is>
      </c>
      <c r="H3" s="6" t="inlineStr">
        <is>
          <t>1</t>
        </is>
      </c>
      <c r="K3" s="5" t="inlineStr">
        <is>
          <t>Provided article-level Table S2 coding (renumbered to current main bibliography)</t>
        </is>
      </c>
      <c r="L3" s="5" t="inlineStr">
        <is>
          <t>https://doi.org/10.1038/s41598-023-34796-3</t>
        </is>
      </c>
      <c r="M3" s="5" t="inlineStr">
        <is>
          <t>100.0</t>
        </is>
      </c>
      <c r="N3" s="5" t="inlineStr">
        <is>
          <t>YES</t>
        </is>
      </c>
    </row>
    <row r="4">
      <c r="A4" s="6" t="n">
        <v>159</v>
      </c>
      <c r="B4" s="5" t="inlineStr">
        <is>
          <t>S2</t>
        </is>
      </c>
      <c r="C4" s="5" t="inlineStr">
        <is>
          <t>4: Layered tissue-generation chip</t>
        </is>
      </c>
      <c r="D4" s="5" t="inlineStr">
        <is>
          <t>A new microfluidic method enabling the generation of multi-layered tissues-on-chips using skin cells as a proof of concept</t>
        </is>
      </c>
      <c r="E4" s="5" t="inlineStr">
        <is>
          <t>10.1038/s41598-021-91875-z</t>
        </is>
      </c>
      <c r="G4" s="5" t="inlineStr">
        <is>
          <t>Limited clinical or large-animal validation</t>
        </is>
      </c>
      <c r="H4" s="6" t="inlineStr">
        <is>
          <t>1</t>
        </is>
      </c>
      <c r="K4" s="5" t="inlineStr">
        <is>
          <t>Provided article-level Table S2 coding (renumbered to current main bibliography)</t>
        </is>
      </c>
      <c r="L4" s="5" t="inlineStr">
        <is>
          <t>https://doi.org/10.1038/s41598-021-91875-z</t>
        </is>
      </c>
      <c r="M4" s="5" t="inlineStr">
        <is>
          <t>100.0</t>
        </is>
      </c>
      <c r="N4" s="5" t="inlineStr">
        <is>
          <t>YES</t>
        </is>
      </c>
    </row>
    <row r="5">
      <c r="A5" s="6" t="n">
        <v>164</v>
      </c>
      <c r="B5" s="5" t="inlineStr">
        <is>
          <t>S2</t>
        </is>
      </c>
      <c r="C5" s="5" t="inlineStr">
        <is>
          <t>5: Oxygen-gradient angiogenesis module</t>
        </is>
      </c>
      <c r="D5" s="5" t="inlineStr">
        <is>
          <t>Studying sprouting angiogenesis under combination of oxygen gradients and co-culture of fibroblasts using microfluidic cell culture model</t>
        </is>
      </c>
      <c r="E5" s="5" t="inlineStr">
        <is>
          <t>10.1016/j.mtbio.2023.100703</t>
        </is>
      </c>
      <c r="G5" s="5" t="inlineStr">
        <is>
          <t>Limited clinical or large-animal validation</t>
        </is>
      </c>
      <c r="H5" s="6" t="inlineStr">
        <is>
          <t>1</t>
        </is>
      </c>
      <c r="K5" s="5" t="inlineStr">
        <is>
          <t>Provided article-level Table S2 coding (renumbered to current main bibliography)</t>
        </is>
      </c>
      <c r="L5" s="5" t="inlineStr">
        <is>
          <t>https://doi.org/10.1016/j.mtbio.2023.100703</t>
        </is>
      </c>
      <c r="M5" s="5" t="inlineStr">
        <is>
          <t>100.0</t>
        </is>
      </c>
      <c r="N5" s="5" t="inlineStr">
        <is>
          <t>YES</t>
        </is>
      </c>
    </row>
    <row r="6">
      <c r="A6" s="6" t="n">
        <v>166</v>
      </c>
      <c r="B6" s="5" t="inlineStr">
        <is>
          <t>S2</t>
        </is>
      </c>
      <c r="C6" s="5" t="inlineStr">
        <is>
          <t>7: Perfused reconstructed skin-on-chip for transdermal diffusion</t>
        </is>
      </c>
      <c r="D6" s="5" t="inlineStr">
        <is>
          <t>In silico approach for validating organ-on-chips: exemplifying through a skin-on-chip device</t>
        </is>
      </c>
      <c r="E6" s="5" t="inlineStr">
        <is>
          <t>10.1007/s10404-025-02863-y</t>
        </is>
      </c>
      <c r="G6" s="5" t="inlineStr">
        <is>
          <t>Limited clinical or large-animal validation</t>
        </is>
      </c>
      <c r="H6" s="6" t="inlineStr">
        <is>
          <t>1</t>
        </is>
      </c>
      <c r="K6" s="5" t="inlineStr">
        <is>
          <t>Provided article-level Table S2 coding (renumbered to current main bibliography)</t>
        </is>
      </c>
      <c r="L6" s="5" t="inlineStr">
        <is>
          <t>https://doi.org/10.1007/s10404-025-02863-y</t>
        </is>
      </c>
      <c r="M6" s="5" t="inlineStr">
        <is>
          <t>100.0</t>
        </is>
      </c>
      <c r="N6" s="5" t="inlineStr">
        <is>
          <t>YES</t>
        </is>
      </c>
    </row>
    <row r="7">
      <c r="A7" s="6" t="n">
        <v>58</v>
      </c>
      <c r="B7" s="5" t="inlineStr">
        <is>
          <t>S2</t>
        </is>
      </c>
      <c r="C7" s="5" t="inlineStr">
        <is>
          <t>12: Perfused inflammatory full-thickness skin-on-chip model for drug-response testing</t>
        </is>
      </c>
      <c r="D7" s="5" t="inlineStr">
        <is>
          <t>Analysis of drug efficacy for inflammatory skin on an organ-chip system</t>
        </is>
      </c>
      <c r="E7" s="5" t="n"/>
      <c r="G7" s="5" t="inlineStr">
        <is>
          <t>Limited clinical or large-animal validation</t>
        </is>
      </c>
      <c r="H7" s="6" t="inlineStr">
        <is>
          <t>1</t>
        </is>
      </c>
      <c r="K7" s="5" t="inlineStr">
        <is>
          <t>Source-specific correction from Quan et al. 2022, not Gard et al. 2023; full-text primary source verified. Provided article-level Table S2 coding (renumbered to current main bibliography)</t>
        </is>
      </c>
      <c r="L7" s="5" t="inlineStr">
        <is>
          <t>https://doi.org/10.3389/fbioe.2022.939629</t>
        </is>
      </c>
      <c r="M7" s="5" t="inlineStr">
        <is>
          <t>100.0</t>
        </is>
      </c>
      <c r="N7" s="5" t="inlineStr">
        <is>
          <t>YES</t>
        </is>
      </c>
    </row>
    <row r="8">
      <c r="A8" s="6" t="n">
        <v>169</v>
      </c>
      <c r="B8" s="5" t="inlineStr">
        <is>
          <t>S2</t>
        </is>
      </c>
      <c r="C8" s="5" t="inlineStr">
        <is>
          <t>13: Infection-activated vessel-on-chip</t>
        </is>
      </c>
      <c r="D8" s="5" t="inlineStr">
        <is>
          <t>An in vitro human vessel model to study Neisseria meningitidis colonization and vascular damages</t>
        </is>
      </c>
      <c r="E8" s="5" t="inlineStr">
        <is>
          <t>10.7554/eLife.107813</t>
        </is>
      </c>
      <c r="G8" s="5" t="inlineStr">
        <is>
          <t>Limited clinical or large-animal validation</t>
        </is>
      </c>
      <c r="H8" s="6" t="inlineStr">
        <is>
          <t>1</t>
        </is>
      </c>
      <c r="K8" s="5" t="inlineStr">
        <is>
          <t>Provided article-level Table S2 coding (renumbered to current main bibliography)</t>
        </is>
      </c>
      <c r="L8" s="5" t="inlineStr">
        <is>
          <t>https://doi.org/10.7554/eLife.107813</t>
        </is>
      </c>
      <c r="M8" s="5" t="inlineStr">
        <is>
          <t>100.0</t>
        </is>
      </c>
      <c r="N8" s="5" t="inlineStr">
        <is>
          <t>YES</t>
        </is>
      </c>
    </row>
    <row r="9">
      <c r="A9" s="6" t="n">
        <v>181</v>
      </c>
      <c r="B9" s="5" t="inlineStr">
        <is>
          <t>S2</t>
        </is>
      </c>
      <c r="C9" s="5" t="inlineStr">
        <is>
          <t>8: Perfused 3D skin-on-chip for barrier validation and drug permeation</t>
        </is>
      </c>
      <c r="D9" s="5" t="inlineStr">
        <is>
          <t>A 3D microfluidic model for preclinical drug permeation studies: Advancing validation of skin-on-chip technology</t>
        </is>
      </c>
      <c r="E9" s="5" t="inlineStr">
        <is>
          <t>10.1016/j.jpba.2025.117187</t>
        </is>
      </c>
      <c r="G9" s="5" t="inlineStr">
        <is>
          <t>Limited clinical or large-animal validation</t>
        </is>
      </c>
      <c r="H9" s="6" t="inlineStr">
        <is>
          <t>1</t>
        </is>
      </c>
      <c r="K9" s="5" t="inlineStr">
        <is>
          <t>Provided article-level Table S2 coding (renumbered to current main bibliography)</t>
        </is>
      </c>
      <c r="L9" s="5" t="inlineStr">
        <is>
          <t>https://doi.org/10.1016/j.jpba.2025.117187</t>
        </is>
      </c>
      <c r="M9" s="5" t="inlineStr">
        <is>
          <t>100.0</t>
        </is>
      </c>
      <c r="N9" s="5" t="inlineStr">
        <is>
          <t>YES</t>
        </is>
      </c>
    </row>
    <row r="10">
      <c r="A10" s="6" t="n">
        <v>101</v>
      </c>
      <c r="B10" s="5" t="inlineStr">
        <is>
          <t>S2</t>
        </is>
      </c>
      <c r="C10" s="5" t="inlineStr">
        <is>
          <t>18: Multiplexed wound-exudate sensing patches</t>
        </is>
      </c>
      <c r="D10" s="5" t="inlineStr">
        <is>
          <t>A flexible multiplexed immunosensor for point-of-care in situ wound monitoring</t>
        </is>
      </c>
      <c r="E10" s="5" t="inlineStr">
        <is>
          <t>10.1126/sciadv.abg9614</t>
        </is>
      </c>
      <c r="G10" s="5" t="inlineStr">
        <is>
          <t>Limited clinical or large-animal validation</t>
        </is>
      </c>
      <c r="H10" s="6" t="inlineStr">
        <is>
          <t>1</t>
        </is>
      </c>
      <c r="K10" s="5" t="inlineStr">
        <is>
          <t>Provided article-level Table S2 coding (renumbered to current main bibliography)</t>
        </is>
      </c>
      <c r="L10" s="5" t="inlineStr">
        <is>
          <t>https://doi.org/10.1126/sciadv.abg9614</t>
        </is>
      </c>
      <c r="M10" s="5" t="inlineStr">
        <is>
          <t>100.0</t>
        </is>
      </c>
      <c r="N10" s="5" t="inlineStr">
        <is>
          <t>YES</t>
        </is>
      </c>
    </row>
    <row r="11">
      <c r="A11" s="6" t="n">
        <v>182</v>
      </c>
      <c r="B11" s="5" t="inlineStr">
        <is>
          <t>S2</t>
        </is>
      </c>
      <c r="C11" s="5" t="inlineStr">
        <is>
          <t>18: Multiplexed wound-exudate sensing patches</t>
        </is>
      </c>
      <c r="D11" s="5" t="inlineStr">
        <is>
          <t>A flexible and multimodal biosensing patch integrated with microfluidics for chronic wound monitoring</t>
        </is>
      </c>
      <c r="E11" s="5" t="inlineStr">
        <is>
          <t>10.1016/j.cej.2024.157673</t>
        </is>
      </c>
      <c r="G11" s="5" t="inlineStr">
        <is>
          <t>Limited clinical or large-animal validation</t>
        </is>
      </c>
      <c r="H11" s="6" t="inlineStr">
        <is>
          <t>1</t>
        </is>
      </c>
      <c r="K11" s="5" t="inlineStr">
        <is>
          <t>Provided article-level Table S2 coding (renumbered to current main bibliography)</t>
        </is>
      </c>
      <c r="L11" s="5" t="inlineStr">
        <is>
          <t>https://doi.org/10.1016/j.cej.2024.157673</t>
        </is>
      </c>
      <c r="M11" s="5" t="inlineStr">
        <is>
          <t>100.0</t>
        </is>
      </c>
      <c r="N11" s="5" t="inlineStr">
        <is>
          <t>YES</t>
        </is>
      </c>
    </row>
    <row r="12">
      <c r="A12" s="6" t="n">
        <v>183</v>
      </c>
      <c r="B12" s="5" t="inlineStr">
        <is>
          <t>S2</t>
        </is>
      </c>
      <c r="C12" s="5" t="inlineStr">
        <is>
          <t>19: Battery-free lactate prognostic wound monitor</t>
        </is>
      </c>
      <c r="D12" s="5" t="inlineStr">
        <is>
          <t>A miniaturized, battery‐free, wireless wound monitor that predicts wound closure rate early</t>
        </is>
      </c>
      <c r="E12" s="5" t="inlineStr">
        <is>
          <t>10.1002/adhm.202301280</t>
        </is>
      </c>
      <c r="G12" s="5" t="inlineStr">
        <is>
          <t>Limited clinical or large-animal validation</t>
        </is>
      </c>
      <c r="H12" s="6" t="inlineStr">
        <is>
          <t>1</t>
        </is>
      </c>
      <c r="K12" s="5" t="inlineStr">
        <is>
          <t>Provided article-level Table S2 coding (renumbered to current main bibliography)</t>
        </is>
      </c>
      <c r="L12" s="5" t="inlineStr">
        <is>
          <t>https://doi.org/10.1002/adhm.202301280</t>
        </is>
      </c>
      <c r="M12" s="5" t="inlineStr">
        <is>
          <t>100.0</t>
        </is>
      </c>
      <c r="N12" s="5" t="inlineStr">
        <is>
          <t>YES</t>
        </is>
      </c>
    </row>
    <row r="13">
      <c r="A13" s="6" t="n">
        <v>187</v>
      </c>
      <c r="B13" s="5" t="inlineStr">
        <is>
          <t>S2</t>
        </is>
      </c>
      <c r="C13" s="5" t="inlineStr">
        <is>
          <t>21: Wireless smart bandage with sensing and electrical stimulation</t>
        </is>
      </c>
      <c r="D13" s="5" t="inlineStr">
        <is>
          <t>Wireless, closed-loop, smart bandage with integrated sensors and stimulators for advanced wound care and accelerated healing</t>
        </is>
      </c>
      <c r="E13" s="5" t="inlineStr">
        <is>
          <t>10.1038/s41587-022-01528-3</t>
        </is>
      </c>
      <c r="G13" s="5" t="inlineStr">
        <is>
          <t>Limited clinical or large-animal validation</t>
        </is>
      </c>
      <c r="H13" s="6" t="inlineStr">
        <is>
          <t>1</t>
        </is>
      </c>
      <c r="K13" s="5" t="inlineStr">
        <is>
          <t>Provided article-level Table S2 coding (renumbered to current main bibliography)</t>
        </is>
      </c>
      <c r="L13" s="5" t="inlineStr">
        <is>
          <t>https://doi.org/10.1038/s41587-022-01528-3</t>
        </is>
      </c>
      <c r="M13" s="5" t="inlineStr">
        <is>
          <t>100.0</t>
        </is>
      </c>
      <c r="N13" s="5" t="inlineStr">
        <is>
          <t>YES</t>
        </is>
      </c>
    </row>
    <row r="14">
      <c r="A14" s="6" t="n">
        <v>188</v>
      </c>
      <c r="B14" s="5" t="inlineStr">
        <is>
          <t>S2</t>
        </is>
      </c>
      <c r="C14" s="5" t="inlineStr">
        <is>
          <t>22: Closed-loop wound-management platform with on-chip inference and drug delivery</t>
        </is>
      </c>
      <c r="D14" s="5" t="inlineStr">
        <is>
          <t>Smart Wound Management System Capable of On‐Chip Machine Learning and Closed‐Loop Therapeutic Feedback</t>
        </is>
      </c>
      <c r="E14" s="5" t="inlineStr">
        <is>
          <t>10.1002/adfm.202522329</t>
        </is>
      </c>
      <c r="G14" s="5" t="inlineStr">
        <is>
          <t>Limited clinical or large-animal validation</t>
        </is>
      </c>
      <c r="H14" s="6" t="inlineStr">
        <is>
          <t>1</t>
        </is>
      </c>
      <c r="K14" s="5" t="inlineStr">
        <is>
          <t>Provided article-level Table S2 coding (renumbered to current main bibliography)</t>
        </is>
      </c>
      <c r="L14" s="5" t="inlineStr">
        <is>
          <t>https://doi.org/10.1002/adfm.202522329</t>
        </is>
      </c>
      <c r="M14" s="5" t="inlineStr">
        <is>
          <t>100.0</t>
        </is>
      </c>
      <c r="N14" s="5" t="inlineStr">
        <is>
          <t>YES</t>
        </is>
      </c>
    </row>
    <row r="15">
      <c r="A15" s="6" t="n">
        <v>192</v>
      </c>
      <c r="B15" s="5" t="inlineStr">
        <is>
          <t>S2</t>
        </is>
      </c>
      <c r="C15" s="5" t="inlineStr">
        <is>
          <t>9: Ex vivo and surrogate skin dynamic permeation platforms</t>
        </is>
      </c>
      <c r="D15" s="5" t="inlineStr">
        <is>
          <t>Skin-on-a-chip device for ex vivo monitoring of transdermal delivery of drugs—design, fabrication, and testing</t>
        </is>
      </c>
      <c r="E15" s="5" t="inlineStr">
        <is>
          <t>10.3390/pharmaceutics11090445</t>
        </is>
      </c>
      <c r="G15" s="5" t="inlineStr">
        <is>
          <t>Limited clinical or large-animal validation</t>
        </is>
      </c>
      <c r="H15" s="6" t="inlineStr">
        <is>
          <t>1</t>
        </is>
      </c>
      <c r="K15" s="5" t="inlineStr">
        <is>
          <t>Provided article-level Table S2 coding (renumbered to current main bibliography)</t>
        </is>
      </c>
      <c r="L15" s="5" t="inlineStr">
        <is>
          <t>https://doi.org/10.3390/pharmaceutics11090445</t>
        </is>
      </c>
      <c r="M15" s="5" t="inlineStr">
        <is>
          <t>100.0</t>
        </is>
      </c>
      <c r="N15" s="5" t="inlineStr">
        <is>
          <t>YES</t>
        </is>
      </c>
    </row>
    <row r="16">
      <c r="A16" s="6" t="n">
        <v>193</v>
      </c>
      <c r="B16" s="5" t="inlineStr">
        <is>
          <t>S2</t>
        </is>
      </c>
      <c r="C16" s="5" t="inlineStr">
        <is>
          <t>9: Ex vivo and surrogate skin dynamic permeation platforms</t>
        </is>
      </c>
      <c r="D16" s="5" t="inlineStr">
        <is>
          <t>Comparison between Franz diffusion cell and a novel micro-physiological system for in vitro penetration assay using different skin models</t>
        </is>
      </c>
      <c r="E16" s="5" t="inlineStr">
        <is>
          <t>10.1016/j.slast.2021.12.006</t>
        </is>
      </c>
      <c r="G16" s="5" t="inlineStr">
        <is>
          <t>Limited clinical or large-animal validation</t>
        </is>
      </c>
      <c r="H16" s="6" t="inlineStr">
        <is>
          <t>1</t>
        </is>
      </c>
      <c r="K16" s="5" t="inlineStr">
        <is>
          <t>Provided article-level Table S2 coding (renumbered to current main bibliography)</t>
        </is>
      </c>
      <c r="L16" s="5" t="inlineStr">
        <is>
          <t>https://doi.org/10.1016/j.slast.2021.12.006</t>
        </is>
      </c>
      <c r="M16" s="5" t="inlineStr">
        <is>
          <t>100.0</t>
        </is>
      </c>
      <c r="N16" s="5" t="inlineStr">
        <is>
          <t>YES</t>
        </is>
      </c>
    </row>
    <row r="17">
      <c r="A17" s="6" t="n">
        <v>194</v>
      </c>
      <c r="B17" s="5" t="inlineStr">
        <is>
          <t>S2</t>
        </is>
      </c>
      <c r="C17" s="5" t="inlineStr">
        <is>
          <t>10: Skin-linked systemic toxicity chips</t>
        </is>
      </c>
      <c r="D17" s="5" t="inlineStr">
        <is>
          <t>Microphysiological heart–liver body-on-a-chip system with a skin mimic for evaluating topical drug delivery</t>
        </is>
      </c>
      <c r="E17" s="5" t="inlineStr">
        <is>
          <t>10.1039/c9lc00861f</t>
        </is>
      </c>
      <c r="G17" s="5" t="inlineStr">
        <is>
          <t>Limited clinical or large-animal validation</t>
        </is>
      </c>
      <c r="H17" s="6" t="inlineStr">
        <is>
          <t>1</t>
        </is>
      </c>
      <c r="K17" s="5" t="inlineStr">
        <is>
          <t>Provided article-level Table S2 coding (renumbered to current main bibliography)</t>
        </is>
      </c>
      <c r="L17" s="5" t="inlineStr">
        <is>
          <t>https://doi.org/10.1039/c9lc00861f</t>
        </is>
      </c>
      <c r="M17" s="5" t="inlineStr">
        <is>
          <t>100.0</t>
        </is>
      </c>
      <c r="N17" s="5" t="inlineStr">
        <is>
          <t>YES</t>
        </is>
      </c>
    </row>
    <row r="18">
      <c r="A18" s="6" t="n">
        <v>195</v>
      </c>
      <c r="B18" s="5" t="inlineStr">
        <is>
          <t>S2</t>
        </is>
      </c>
      <c r="C18" s="5" t="inlineStr">
        <is>
          <t>10: Skin-linked systemic toxicity chips</t>
        </is>
      </c>
      <c r="D18" s="5" t="inlineStr">
        <is>
          <t>Toxicity of topically applied drugs beyond skin irritation: Static skin model vs</t>
        </is>
      </c>
      <c r="E18" s="5" t="inlineStr">
        <is>
          <t>10.1016/j.ijpharm.2020.119788</t>
        </is>
      </c>
      <c r="G18" s="5" t="inlineStr">
        <is>
          <t>Limited clinical or large-animal validation</t>
        </is>
      </c>
      <c r="H18" s="6" t="inlineStr">
        <is>
          <t>1</t>
        </is>
      </c>
      <c r="K18" s="5" t="inlineStr">
        <is>
          <t>Provided article-level Table S2 coding (renumbered to current main bibliography)</t>
        </is>
      </c>
      <c r="L18" s="5" t="inlineStr">
        <is>
          <t>https://doi.org/10.1016/j.ijpharm.2020.119788</t>
        </is>
      </c>
      <c r="M18" s="5" t="inlineStr">
        <is>
          <t>100.0</t>
        </is>
      </c>
      <c r="N18" s="5" t="inlineStr">
        <is>
          <t>YES</t>
        </is>
      </c>
    </row>
    <row r="19">
      <c r="A19" s="6" t="n">
        <v>196</v>
      </c>
      <c r="B19" s="5" t="inlineStr">
        <is>
          <t>S2</t>
        </is>
      </c>
      <c r="C19" s="5" t="inlineStr">
        <is>
          <t>14: Dynamic reconstructed skin-on-chip for topical sensitizer response</t>
        </is>
      </c>
      <c r="D19" s="5" t="inlineStr">
        <is>
          <t>Proof-of-concept organ-on-chip study: topical cinnamaldehyde exposure of reconstructed human skin with integrated neopapillae cultured under dynamic flow</t>
        </is>
      </c>
      <c r="E19" s="5" t="inlineStr">
        <is>
          <t>10.3390/pharmaceutics14081529</t>
        </is>
      </c>
      <c r="G19" s="5" t="inlineStr">
        <is>
          <t>Limited clinical or large-animal validation</t>
        </is>
      </c>
      <c r="H19" s="6" t="inlineStr">
        <is>
          <t>1</t>
        </is>
      </c>
      <c r="K19" s="5" t="inlineStr">
        <is>
          <t>Provided article-level Table S2 coding (renumbered to current main bibliography)</t>
        </is>
      </c>
      <c r="L19" s="5" t="inlineStr">
        <is>
          <t>https://doi.org/10.3390/pharmaceutics14081529</t>
        </is>
      </c>
      <c r="M19" s="5" t="inlineStr">
        <is>
          <t>100.0</t>
        </is>
      </c>
      <c r="N19" s="5" t="inlineStr">
        <is>
          <t>YES</t>
        </is>
      </c>
    </row>
    <row r="20">
      <c r="A20" s="6" t="n">
        <v>197</v>
      </c>
      <c r="B20" s="5" t="inlineStr">
        <is>
          <t>S2</t>
        </is>
      </c>
      <c r="C20" s="5" t="inlineStr">
        <is>
          <t>15: Perfused inflammatory skin-on-chip with rapid cytokine detection</t>
        </is>
      </c>
      <c r="D20" s="5" t="inlineStr">
        <is>
          <t>Skin-on-a-Chip Coupled with a Rapid Inflammation Detection System for Cosmetic Ingredient Screening</t>
        </is>
      </c>
      <c r="G20" s="5" t="inlineStr">
        <is>
          <t>Limited clinical or large-animal validation</t>
        </is>
      </c>
      <c r="H20" s="6" t="inlineStr">
        <is>
          <t>1</t>
        </is>
      </c>
      <c r="K20" s="5" t="inlineStr">
        <is>
          <t>Provided article-level Table S2 coding (renumbered to current main bibliography)</t>
        </is>
      </c>
      <c r="M20" s="5" t="inlineStr">
        <is>
          <t>100.0</t>
        </is>
      </c>
      <c r="N20" s="5" t="inlineStr">
        <is>
          <t>YES</t>
        </is>
      </c>
    </row>
    <row r="21">
      <c r="A21" s="6" t="n">
        <v>198</v>
      </c>
      <c r="B21" s="5" t="inlineStr">
        <is>
          <t>S2</t>
        </is>
      </c>
      <c r="C21" s="5" t="inlineStr">
        <is>
          <t>16: Epidermal pruritus and barrier-support skin-on-chip</t>
        </is>
      </c>
      <c r="D21" s="5" t="inlineStr">
        <is>
          <t>Skin-on-Chip and clinical evaluation of the soothing potential of a topical natural treatment for atopic-prone skin: An exploratory study</t>
        </is>
      </c>
      <c r="E21" s="5" t="inlineStr">
        <is>
          <t>10.1016/j.biopha.2025.118957</t>
        </is>
      </c>
      <c r="G21" s="5" t="inlineStr">
        <is>
          <t>Limited clinical or large-animal validation</t>
        </is>
      </c>
      <c r="H21" s="6" t="inlineStr">
        <is>
          <t>1</t>
        </is>
      </c>
      <c r="K21" s="5" t="inlineStr">
        <is>
          <t>Provided article-level Table S2 coding (renumbered to current main bibliography)</t>
        </is>
      </c>
      <c r="L21" s="5" t="inlineStr">
        <is>
          <t>https://doi.org/10.1016/j.biopha.2025.118957</t>
        </is>
      </c>
      <c r="M21" s="5" t="inlineStr">
        <is>
          <t>100.0</t>
        </is>
      </c>
      <c r="N21" s="5" t="inlineStr">
        <is>
          <t>YES</t>
        </is>
      </c>
    </row>
    <row r="22">
      <c r="A22" s="6" t="n">
        <v>155</v>
      </c>
      <c r="B22" s="5" t="inlineStr">
        <is>
          <t>S2</t>
        </is>
      </c>
      <c r="C22" s="5" t="inlineStr">
        <is>
          <t>2: Perfused dermal perivascular angiogenesis chip</t>
        </is>
      </c>
      <c r="D22" s="5" t="inlineStr">
        <is>
          <t>A 3D millifluidic model of a dermal perivascular microenvironment on a chip</t>
        </is>
      </c>
      <c r="E22" s="5" t="inlineStr">
        <is>
          <t>10.1039/d4lc00898g</t>
        </is>
      </c>
      <c r="G22" s="5" t="inlineStr">
        <is>
          <t>Limited full-thickness cutaneous fidelity</t>
        </is>
      </c>
      <c r="H22" s="6" t="inlineStr">
        <is>
          <t>1</t>
        </is>
      </c>
      <c r="K22" s="5" t="inlineStr">
        <is>
          <t>Provided article-level Table S2 coding (renumbered to current main bibliography)</t>
        </is>
      </c>
      <c r="L22" s="5" t="inlineStr">
        <is>
          <t>https://doi.org/10.1039/d4lc00898g</t>
        </is>
      </c>
      <c r="M22" s="5" t="inlineStr">
        <is>
          <t>100.0</t>
        </is>
      </c>
      <c r="N22" s="5" t="inlineStr">
        <is>
          <t>YES</t>
        </is>
      </c>
    </row>
    <row r="23">
      <c r="A23" s="6" t="n">
        <v>164</v>
      </c>
      <c r="B23" s="5" t="inlineStr">
        <is>
          <t>S2</t>
        </is>
      </c>
      <c r="C23" s="5" t="inlineStr">
        <is>
          <t>5: Oxygen-gradient angiogenesis module</t>
        </is>
      </c>
      <c r="D23" s="5" t="inlineStr">
        <is>
          <t>Studying sprouting angiogenesis under combination of oxygen gradients and co-culture of fibroblasts using microfluidic cell culture model</t>
        </is>
      </c>
      <c r="E23" s="5" t="inlineStr">
        <is>
          <t>10.1016/j.mtbio.2023.100703</t>
        </is>
      </c>
      <c r="G23" s="5" t="inlineStr">
        <is>
          <t>Limited full-thickness cutaneous fidelity</t>
        </is>
      </c>
      <c r="H23" s="6" t="inlineStr">
        <is>
          <t>1</t>
        </is>
      </c>
      <c r="K23" s="5" t="inlineStr">
        <is>
          <t>Provided article-level Table S2 coding (renumbered to current main bibliography)</t>
        </is>
      </c>
      <c r="L23" s="5" t="inlineStr">
        <is>
          <t>https://doi.org/10.1016/j.mtbio.2023.100703</t>
        </is>
      </c>
      <c r="M23" s="5" t="inlineStr">
        <is>
          <t>100.0</t>
        </is>
      </c>
      <c r="N23" s="5" t="inlineStr">
        <is>
          <t>YES</t>
        </is>
      </c>
    </row>
    <row r="24">
      <c r="A24" s="6" t="n">
        <v>58</v>
      </c>
      <c r="B24" s="5" t="inlineStr">
        <is>
          <t>S2</t>
        </is>
      </c>
      <c r="C24" s="5" t="inlineStr">
        <is>
          <t>12: Perfused inflammatory full-thickness skin-on-chip model for drug-response testing</t>
        </is>
      </c>
      <c r="D24" s="5" t="inlineStr">
        <is>
          <t>Analysis of drug efficacy for inflammatory skin on an organ-chip system</t>
        </is>
      </c>
      <c r="E24" s="5" t="n"/>
      <c r="G24" s="5" t="inlineStr">
        <is>
          <t>Limited full-thickness cutaneous fidelity</t>
        </is>
      </c>
      <c r="H24" s="6" t="inlineStr">
        <is>
          <t>0</t>
        </is>
      </c>
      <c r="K24" s="5" t="inlineStr">
        <is>
          <t>Source-specific correction from Quan et al. 2022, not Gard et al. 2023; full-text primary source verified. Provided article-level Table S2 coding (renumbered to current main bibliography)</t>
        </is>
      </c>
      <c r="L24" s="5" t="inlineStr">
        <is>
          <t>https://doi.org/10.3389/fbioe.2022.939629</t>
        </is>
      </c>
      <c r="M24" s="5" t="inlineStr">
        <is>
          <t>100.0</t>
        </is>
      </c>
      <c r="N24" s="5" t="inlineStr">
        <is>
          <t>YES</t>
        </is>
      </c>
    </row>
    <row r="25">
      <c r="A25" s="6" t="n">
        <v>169</v>
      </c>
      <c r="B25" s="5" t="inlineStr">
        <is>
          <t>S2</t>
        </is>
      </c>
      <c r="C25" s="5" t="inlineStr">
        <is>
          <t>13: Infection-activated vessel-on-chip</t>
        </is>
      </c>
      <c r="D25" s="5" t="inlineStr">
        <is>
          <t>An in vitro human vessel model to study Neisseria meningitidis colonization and vascular damages</t>
        </is>
      </c>
      <c r="E25" s="5" t="inlineStr">
        <is>
          <t>10.7554/eLife.107813</t>
        </is>
      </c>
      <c r="G25" s="5" t="inlineStr">
        <is>
          <t>Limited full-thickness cutaneous fidelity</t>
        </is>
      </c>
      <c r="H25" s="6" t="inlineStr">
        <is>
          <t>1</t>
        </is>
      </c>
      <c r="K25" s="5" t="inlineStr">
        <is>
          <t>Provided article-level Table S2 coding (renumbered to current main bibliography)</t>
        </is>
      </c>
      <c r="L25" s="5" t="inlineStr">
        <is>
          <t>https://doi.org/10.7554/eLife.107813</t>
        </is>
      </c>
      <c r="M25" s="5" t="inlineStr">
        <is>
          <t>100.0</t>
        </is>
      </c>
      <c r="N25" s="5" t="inlineStr">
        <is>
          <t>YES</t>
        </is>
      </c>
    </row>
    <row r="26">
      <c r="A26" s="6" t="n">
        <v>101</v>
      </c>
      <c r="B26" s="5" t="inlineStr">
        <is>
          <t>S2</t>
        </is>
      </c>
      <c r="C26" s="5" t="inlineStr">
        <is>
          <t>18: Multiplexed wound-exudate sensing patches</t>
        </is>
      </c>
      <c r="D26" s="5" t="inlineStr">
        <is>
          <t>A flexible multiplexed immunosensor for point-of-care in situ wound monitoring</t>
        </is>
      </c>
      <c r="E26" s="5" t="inlineStr">
        <is>
          <t>10.1126/sciadv.abg9614</t>
        </is>
      </c>
      <c r="G26" s="5" t="inlineStr">
        <is>
          <t>Limited full-thickness cutaneous fidelity</t>
        </is>
      </c>
      <c r="H26" s="6" t="inlineStr">
        <is>
          <t>1</t>
        </is>
      </c>
      <c r="K26" s="5" t="inlineStr">
        <is>
          <t>Provided article-level Table S2 coding (renumbered to current main bibliography)</t>
        </is>
      </c>
      <c r="L26" s="5" t="inlineStr">
        <is>
          <t>https://doi.org/10.1126/sciadv.abg9614</t>
        </is>
      </c>
      <c r="M26" s="5" t="inlineStr">
        <is>
          <t>100.0</t>
        </is>
      </c>
      <c r="N26" s="5" t="inlineStr">
        <is>
          <t>YES</t>
        </is>
      </c>
    </row>
    <row r="27">
      <c r="A27" s="6" t="n">
        <v>182</v>
      </c>
      <c r="B27" s="5" t="inlineStr">
        <is>
          <t>S2</t>
        </is>
      </c>
      <c r="C27" s="5" t="inlineStr">
        <is>
          <t>18: Multiplexed wound-exudate sensing patches</t>
        </is>
      </c>
      <c r="D27" s="5" t="inlineStr">
        <is>
          <t>A flexible and multimodal biosensing patch integrated with microfluidics for chronic wound monitoring</t>
        </is>
      </c>
      <c r="E27" s="5" t="inlineStr">
        <is>
          <t>10.1016/j.cej.2024.157673</t>
        </is>
      </c>
      <c r="G27" s="5" t="inlineStr">
        <is>
          <t>Limited full-thickness cutaneous fidelity</t>
        </is>
      </c>
      <c r="H27" s="6" t="inlineStr">
        <is>
          <t>1</t>
        </is>
      </c>
      <c r="K27" s="5" t="inlineStr">
        <is>
          <t>Provided article-level Table S2 coding (renumbered to current main bibliography)</t>
        </is>
      </c>
      <c r="L27" s="5" t="inlineStr">
        <is>
          <t>https://doi.org/10.1016/j.cej.2024.157673</t>
        </is>
      </c>
      <c r="M27" s="5" t="inlineStr">
        <is>
          <t>100.0</t>
        </is>
      </c>
      <c r="N27" s="5" t="inlineStr">
        <is>
          <t>YES</t>
        </is>
      </c>
    </row>
    <row r="28">
      <c r="A28" s="6" t="n">
        <v>197</v>
      </c>
      <c r="B28" s="5" t="inlineStr">
        <is>
          <t>S2</t>
        </is>
      </c>
      <c r="C28" s="5" t="inlineStr">
        <is>
          <t>15: Perfused inflammatory skin-on-chip with rapid cytokine detection</t>
        </is>
      </c>
      <c r="D28" s="5" t="inlineStr">
        <is>
          <t>Skin-on-a-Chip Coupled with a Rapid Inflammation Detection System for Cosmetic Ingredient Screening</t>
        </is>
      </c>
      <c r="G28" s="5" t="inlineStr">
        <is>
          <t>Limited full-thickness cutaneous fidelity</t>
        </is>
      </c>
      <c r="H28" s="6" t="inlineStr">
        <is>
          <t>1</t>
        </is>
      </c>
      <c r="K28" s="5" t="inlineStr">
        <is>
          <t>Provided article-level Table S2 coding (renumbered to current main bibliography)</t>
        </is>
      </c>
      <c r="M28" s="5" t="inlineStr">
        <is>
          <t>100.0</t>
        </is>
      </c>
      <c r="N28" s="5" t="inlineStr">
        <is>
          <t>YES</t>
        </is>
      </c>
    </row>
    <row r="29">
      <c r="A29" s="6" t="n">
        <v>198</v>
      </c>
      <c r="B29" s="5" t="inlineStr">
        <is>
          <t>S2</t>
        </is>
      </c>
      <c r="C29" s="5" t="inlineStr">
        <is>
          <t>16: Epidermal pruritus and barrier-support skin-on-chip</t>
        </is>
      </c>
      <c r="D29" s="5" t="inlineStr">
        <is>
          <t>Skin-on-Chip and clinical evaluation of the soothing potential of a topical natural treatment for atopic-prone skin: An exploratory study</t>
        </is>
      </c>
      <c r="E29" s="5" t="inlineStr">
        <is>
          <t>10.1016/j.biopha.2025.118957</t>
        </is>
      </c>
      <c r="G29" s="5" t="inlineStr">
        <is>
          <t>Limited full-thickness cutaneous fidelity</t>
        </is>
      </c>
      <c r="H29" s="6" t="inlineStr">
        <is>
          <t>1</t>
        </is>
      </c>
      <c r="K29" s="5" t="inlineStr">
        <is>
          <t>Provided article-level Table S2 coding (renumbered to current main bibliography)</t>
        </is>
      </c>
      <c r="L29" s="5" t="inlineStr">
        <is>
          <t>https://doi.org/10.1016/j.biopha.2025.118957</t>
        </is>
      </c>
      <c r="M29" s="5" t="inlineStr">
        <is>
          <t>100.0</t>
        </is>
      </c>
      <c r="N29" s="5" t="inlineStr">
        <is>
          <t>YES</t>
        </is>
      </c>
    </row>
    <row r="30">
      <c r="A30" s="6" t="n">
        <v>155</v>
      </c>
      <c r="B30" s="5" t="inlineStr">
        <is>
          <t>S2</t>
        </is>
      </c>
      <c r="C30" s="5" t="inlineStr">
        <is>
          <t>2: Perfused dermal perivascular angiogenesis chip</t>
        </is>
      </c>
      <c r="D30" s="5" t="inlineStr">
        <is>
          <t>A 3D millifluidic model of a dermal perivascular microenvironment on a chip</t>
        </is>
      </c>
      <c r="E30" s="5" t="inlineStr">
        <is>
          <t>10.1039/d4lc00898g</t>
        </is>
      </c>
      <c r="G30" s="5" t="inlineStr">
        <is>
          <t>Limited immune-cell complexity</t>
        </is>
      </c>
      <c r="H30" s="6" t="inlineStr">
        <is>
          <t>1</t>
        </is>
      </c>
      <c r="K30" s="5" t="inlineStr">
        <is>
          <t>Provided article-level Table S2 coding (renumbered to current main bibliography)</t>
        </is>
      </c>
      <c r="L30" s="5" t="inlineStr">
        <is>
          <t>https://doi.org/10.1039/d4lc00898g</t>
        </is>
      </c>
      <c r="M30" s="5" t="inlineStr">
        <is>
          <t>100.0</t>
        </is>
      </c>
      <c r="N30" s="5" t="inlineStr">
        <is>
          <t>YES</t>
        </is>
      </c>
    </row>
    <row r="31">
      <c r="A31" s="6" t="n">
        <v>158</v>
      </c>
      <c r="B31" s="5" t="inlineStr">
        <is>
          <t>S2</t>
        </is>
      </c>
      <c r="C31" s="5" t="inlineStr">
        <is>
          <t>3: Ex vivo full-thickness human skin microbioreactor</t>
        </is>
      </c>
      <c r="D31" s="5" t="inlineStr">
        <is>
          <t>Design and evaluation of a skin-on-a-chip pumpless microfluidic device</t>
        </is>
      </c>
      <c r="E31" s="5" t="inlineStr">
        <is>
          <t>10.1038/s41598-023-34796-3</t>
        </is>
      </c>
      <c r="G31" s="5" t="inlineStr">
        <is>
          <t>Limited immune-cell complexity</t>
        </is>
      </c>
      <c r="H31" s="6" t="inlineStr">
        <is>
          <t>1</t>
        </is>
      </c>
      <c r="K31" s="5" t="inlineStr">
        <is>
          <t>Provided article-level Table S2 coding (renumbered to current main bibliography)</t>
        </is>
      </c>
      <c r="L31" s="5" t="inlineStr">
        <is>
          <t>https://doi.org/10.1038/s41598-023-34796-3</t>
        </is>
      </c>
      <c r="M31" s="5" t="inlineStr">
        <is>
          <t>100.0</t>
        </is>
      </c>
      <c r="N31" s="5" t="inlineStr">
        <is>
          <t>YES</t>
        </is>
      </c>
    </row>
    <row r="32">
      <c r="A32" s="6" t="n">
        <v>159</v>
      </c>
      <c r="B32" s="5" t="inlineStr">
        <is>
          <t>S2</t>
        </is>
      </c>
      <c r="C32" s="5" t="inlineStr">
        <is>
          <t>4: Layered tissue-generation chip</t>
        </is>
      </c>
      <c r="D32" s="5" t="inlineStr">
        <is>
          <t>A new microfluidic method enabling the generation of multi-layered tissues-on-chips using skin cells as a proof of concept</t>
        </is>
      </c>
      <c r="E32" s="5" t="inlineStr">
        <is>
          <t>10.1038/s41598-021-91875-z</t>
        </is>
      </c>
      <c r="G32" s="5" t="inlineStr">
        <is>
          <t>Limited immune-cell complexity</t>
        </is>
      </c>
      <c r="H32" s="6" t="inlineStr">
        <is>
          <t>1</t>
        </is>
      </c>
      <c r="K32" s="5" t="inlineStr">
        <is>
          <t>Provided article-level Table S2 coding (renumbered to current main bibliography)</t>
        </is>
      </c>
      <c r="L32" s="5" t="inlineStr">
        <is>
          <t>https://doi.org/10.1038/s41598-021-91875-z</t>
        </is>
      </c>
      <c r="M32" s="5" t="inlineStr">
        <is>
          <t>100.0</t>
        </is>
      </c>
      <c r="N32" s="5" t="inlineStr">
        <is>
          <t>YES</t>
        </is>
      </c>
    </row>
    <row r="33">
      <c r="A33" s="6" t="n">
        <v>164</v>
      </c>
      <c r="B33" s="5" t="inlineStr">
        <is>
          <t>S2</t>
        </is>
      </c>
      <c r="C33" s="5" t="inlineStr">
        <is>
          <t>5: Oxygen-gradient angiogenesis module</t>
        </is>
      </c>
      <c r="D33" s="5" t="inlineStr">
        <is>
          <t>Studying sprouting angiogenesis under combination of oxygen gradients and co-culture of fibroblasts using microfluidic cell culture model</t>
        </is>
      </c>
      <c r="E33" s="5" t="inlineStr">
        <is>
          <t>10.1016/j.mtbio.2023.100703</t>
        </is>
      </c>
      <c r="G33" s="5" t="inlineStr">
        <is>
          <t>Limited immune-cell complexity</t>
        </is>
      </c>
      <c r="H33" s="6" t="inlineStr">
        <is>
          <t>1</t>
        </is>
      </c>
      <c r="K33" s="5" t="inlineStr">
        <is>
          <t>Provided article-level Table S2 coding (renumbered to current main bibliography)</t>
        </is>
      </c>
      <c r="L33" s="5" t="inlineStr">
        <is>
          <t>https://doi.org/10.1016/j.mtbio.2023.100703</t>
        </is>
      </c>
      <c r="M33" s="5" t="inlineStr">
        <is>
          <t>100.0</t>
        </is>
      </c>
      <c r="N33" s="5" t="inlineStr">
        <is>
          <t>YES</t>
        </is>
      </c>
    </row>
    <row r="34">
      <c r="A34" s="6" t="n">
        <v>166</v>
      </c>
      <c r="B34" s="5" t="inlineStr">
        <is>
          <t>S2</t>
        </is>
      </c>
      <c r="C34" s="5" t="inlineStr">
        <is>
          <t>7: Perfused reconstructed skin-on-chip for transdermal diffusion</t>
        </is>
      </c>
      <c r="D34" s="5" t="inlineStr">
        <is>
          <t>In silico approach for validating organ-on-chips: exemplifying through a skin-on-chip device</t>
        </is>
      </c>
      <c r="E34" s="5" t="inlineStr">
        <is>
          <t>10.1007/s10404-025-02863-y</t>
        </is>
      </c>
      <c r="G34" s="5" t="inlineStr">
        <is>
          <t>Limited immune-cell complexity</t>
        </is>
      </c>
      <c r="H34" s="6" t="inlineStr">
        <is>
          <t>1</t>
        </is>
      </c>
      <c r="K34" s="5" t="inlineStr">
        <is>
          <t>Provided article-level Table S2 coding (renumbered to current main bibliography)</t>
        </is>
      </c>
      <c r="L34" s="5" t="inlineStr">
        <is>
          <t>https://doi.org/10.1007/s10404-025-02863-y</t>
        </is>
      </c>
      <c r="M34" s="5" t="inlineStr">
        <is>
          <t>100.0</t>
        </is>
      </c>
      <c r="N34" s="5" t="inlineStr">
        <is>
          <t>YES</t>
        </is>
      </c>
    </row>
    <row r="35">
      <c r="A35" s="6" t="n">
        <v>58</v>
      </c>
      <c r="B35" s="5" t="inlineStr">
        <is>
          <t>S2</t>
        </is>
      </c>
      <c r="C35" s="5" t="inlineStr">
        <is>
          <t>12: Perfused inflammatory full-thickness skin-on-chip model for drug-response testing</t>
        </is>
      </c>
      <c r="D35" s="5" t="inlineStr">
        <is>
          <t>Analysis of drug efficacy for inflammatory skin on an organ-chip system</t>
        </is>
      </c>
      <c r="E35" s="5" t="n"/>
      <c r="G35" s="5" t="inlineStr">
        <is>
          <t>Limited immune-cell complexity</t>
        </is>
      </c>
      <c r="H35" s="6" t="inlineStr">
        <is>
          <t>1</t>
        </is>
      </c>
      <c r="K35" s="5" t="inlineStr">
        <is>
          <t>Source-specific correction from Quan et al. 2022, not Gard et al. 2023; full-text primary source verified. Provided article-level Table S2 coding (renumbered to current main bibliography)</t>
        </is>
      </c>
      <c r="L35" s="5" t="inlineStr">
        <is>
          <t>https://doi.org/10.3389/fbioe.2022.939629</t>
        </is>
      </c>
      <c r="M35" s="5" t="inlineStr">
        <is>
          <t>100.0</t>
        </is>
      </c>
      <c r="N35" s="5" t="inlineStr">
        <is>
          <t>YES</t>
        </is>
      </c>
    </row>
    <row r="36">
      <c r="A36" s="6" t="n">
        <v>181</v>
      </c>
      <c r="B36" s="5" t="inlineStr">
        <is>
          <t>S2</t>
        </is>
      </c>
      <c r="C36" s="5" t="inlineStr">
        <is>
          <t>8: Perfused 3D skin-on-chip for barrier validation and drug permeation</t>
        </is>
      </c>
      <c r="D36" s="5" t="inlineStr">
        <is>
          <t>A 3D microfluidic model for preclinical drug permeation studies: Advancing validation of skin-on-chip technology</t>
        </is>
      </c>
      <c r="E36" s="5" t="inlineStr">
        <is>
          <t>10.1016/j.jpba.2025.117187</t>
        </is>
      </c>
      <c r="G36" s="5" t="inlineStr">
        <is>
          <t>Limited immune-cell complexity</t>
        </is>
      </c>
      <c r="H36" s="6" t="inlineStr">
        <is>
          <t>1</t>
        </is>
      </c>
      <c r="K36" s="5" t="inlineStr">
        <is>
          <t>Provided article-level Table S2 coding (renumbered to current main bibliography)</t>
        </is>
      </c>
      <c r="L36" s="5" t="inlineStr">
        <is>
          <t>https://doi.org/10.1016/j.jpba.2025.117187</t>
        </is>
      </c>
      <c r="M36" s="5" t="inlineStr">
        <is>
          <t>100.0</t>
        </is>
      </c>
      <c r="N36" s="5" t="inlineStr">
        <is>
          <t>YES</t>
        </is>
      </c>
    </row>
    <row r="37">
      <c r="A37" s="6" t="n">
        <v>183</v>
      </c>
      <c r="B37" s="5" t="inlineStr">
        <is>
          <t>S2</t>
        </is>
      </c>
      <c r="C37" s="5" t="inlineStr">
        <is>
          <t>19: Battery-free lactate prognostic wound monitor</t>
        </is>
      </c>
      <c r="D37" s="5" t="inlineStr">
        <is>
          <t>A miniaturized, battery‐free, wireless wound monitor that predicts wound closure rate early</t>
        </is>
      </c>
      <c r="E37" s="5" t="inlineStr">
        <is>
          <t>10.1002/adhm.202301280</t>
        </is>
      </c>
      <c r="G37" s="5" t="inlineStr">
        <is>
          <t>Limited immune-cell complexity</t>
        </is>
      </c>
      <c r="H37" s="6" t="inlineStr">
        <is>
          <t>1</t>
        </is>
      </c>
      <c r="K37" s="5" t="inlineStr">
        <is>
          <t>Provided article-level Table S2 coding (renumbered to current main bibliography)</t>
        </is>
      </c>
      <c r="L37" s="5" t="inlineStr">
        <is>
          <t>https://doi.org/10.1002/adhm.202301280</t>
        </is>
      </c>
      <c r="M37" s="5" t="inlineStr">
        <is>
          <t>100.0</t>
        </is>
      </c>
      <c r="N37" s="5" t="inlineStr">
        <is>
          <t>YES</t>
        </is>
      </c>
    </row>
    <row r="38">
      <c r="A38" s="6" t="n">
        <v>194</v>
      </c>
      <c r="B38" s="5" t="inlineStr">
        <is>
          <t>S2</t>
        </is>
      </c>
      <c r="C38" s="5" t="inlineStr">
        <is>
          <t>10: Skin-linked systemic toxicity chips</t>
        </is>
      </c>
      <c r="D38" s="5" t="inlineStr">
        <is>
          <t>Microphysiological heart–liver body-on-a-chip system with a skin mimic for evaluating topical drug delivery</t>
        </is>
      </c>
      <c r="E38" s="5" t="inlineStr">
        <is>
          <t>10.1039/c9lc00861f</t>
        </is>
      </c>
      <c r="G38" s="5" t="inlineStr">
        <is>
          <t>Limited immune-cell complexity</t>
        </is>
      </c>
      <c r="H38" s="6" t="inlineStr">
        <is>
          <t>1</t>
        </is>
      </c>
      <c r="K38" s="5" t="inlineStr">
        <is>
          <t>Provided article-level Table S2 coding (renumbered to current main bibliography)</t>
        </is>
      </c>
      <c r="L38" s="5" t="inlineStr">
        <is>
          <t>https://doi.org/10.1039/c9lc00861f</t>
        </is>
      </c>
      <c r="M38" s="5" t="inlineStr">
        <is>
          <t>100.0</t>
        </is>
      </c>
      <c r="N38" s="5" t="inlineStr">
        <is>
          <t>YES</t>
        </is>
      </c>
    </row>
    <row r="39">
      <c r="A39" s="6" t="n">
        <v>195</v>
      </c>
      <c r="B39" s="5" t="inlineStr">
        <is>
          <t>S2</t>
        </is>
      </c>
      <c r="C39" s="5" t="inlineStr">
        <is>
          <t>10: Skin-linked systemic toxicity chips</t>
        </is>
      </c>
      <c r="D39" s="5" t="inlineStr">
        <is>
          <t>Toxicity of topically applied drugs beyond skin irritation: Static skin model vs</t>
        </is>
      </c>
      <c r="E39" s="5" t="inlineStr">
        <is>
          <t>10.1016/j.ijpharm.2020.119788</t>
        </is>
      </c>
      <c r="G39" s="5" t="inlineStr">
        <is>
          <t>Limited immune-cell complexity</t>
        </is>
      </c>
      <c r="H39" s="6" t="inlineStr">
        <is>
          <t>1</t>
        </is>
      </c>
      <c r="K39" s="5" t="inlineStr">
        <is>
          <t>Provided article-level Table S2 coding (renumbered to current main bibliography)</t>
        </is>
      </c>
      <c r="L39" s="5" t="inlineStr">
        <is>
          <t>https://doi.org/10.1016/j.ijpharm.2020.119788</t>
        </is>
      </c>
      <c r="M39" s="5" t="inlineStr">
        <is>
          <t>100.0</t>
        </is>
      </c>
      <c r="N39" s="5" t="inlineStr">
        <is>
          <t>YES</t>
        </is>
      </c>
    </row>
    <row r="40">
      <c r="A40" s="6" t="n">
        <v>196</v>
      </c>
      <c r="B40" s="5" t="inlineStr">
        <is>
          <t>S2</t>
        </is>
      </c>
      <c r="C40" s="5" t="inlineStr">
        <is>
          <t>14: Dynamic reconstructed skin-on-chip for topical sensitizer response</t>
        </is>
      </c>
      <c r="D40" s="5" t="inlineStr">
        <is>
          <t>Proof-of-concept organ-on-chip study: topical cinnamaldehyde exposure of reconstructed human skin with integrated neopapillae cultured under dynamic flow</t>
        </is>
      </c>
      <c r="E40" s="5" t="inlineStr">
        <is>
          <t>10.3390/pharmaceutics14081529</t>
        </is>
      </c>
      <c r="G40" s="5" t="inlineStr">
        <is>
          <t>Limited immune-cell complexity</t>
        </is>
      </c>
      <c r="H40" s="6" t="inlineStr">
        <is>
          <t>1</t>
        </is>
      </c>
      <c r="K40" s="5" t="inlineStr">
        <is>
          <t>Provided article-level Table S2 coding (renumbered to current main bibliography)</t>
        </is>
      </c>
      <c r="L40" s="5" t="inlineStr">
        <is>
          <t>https://doi.org/10.3390/pharmaceutics14081529</t>
        </is>
      </c>
      <c r="M40" s="5" t="inlineStr">
        <is>
          <t>100.0</t>
        </is>
      </c>
      <c r="N40" s="5" t="inlineStr">
        <is>
          <t>YES</t>
        </is>
      </c>
    </row>
    <row r="41">
      <c r="A41" s="6" t="n">
        <v>197</v>
      </c>
      <c r="B41" s="5" t="inlineStr">
        <is>
          <t>S2</t>
        </is>
      </c>
      <c r="C41" s="5" t="inlineStr">
        <is>
          <t>15: Perfused inflammatory skin-on-chip with rapid cytokine detection</t>
        </is>
      </c>
      <c r="D41" s="5" t="inlineStr">
        <is>
          <t>Skin-on-a-Chip Coupled with a Rapid Inflammation Detection System for Cosmetic Ingredient Screening</t>
        </is>
      </c>
      <c r="G41" s="5" t="inlineStr">
        <is>
          <t>Limited immune-cell complexity</t>
        </is>
      </c>
      <c r="H41" s="6" t="inlineStr">
        <is>
          <t>1</t>
        </is>
      </c>
      <c r="K41" s="5" t="inlineStr">
        <is>
          <t>Provided article-level Table S2 coding (renumbered to current main bibliography)</t>
        </is>
      </c>
      <c r="M41" s="5" t="inlineStr">
        <is>
          <t>100.0</t>
        </is>
      </c>
      <c r="N41" s="5" t="inlineStr">
        <is>
          <t>YES</t>
        </is>
      </c>
    </row>
    <row r="42">
      <c r="A42" s="6" t="n">
        <v>198</v>
      </c>
      <c r="B42" s="5" t="inlineStr">
        <is>
          <t>S2</t>
        </is>
      </c>
      <c r="C42" s="5" t="inlineStr">
        <is>
          <t>16: Epidermal pruritus and barrier-support skin-on-chip</t>
        </is>
      </c>
      <c r="D42" s="5" t="inlineStr">
        <is>
          <t>Skin-on-Chip and clinical evaluation of the soothing potential of a topical natural treatment for atopic-prone skin: An exploratory study</t>
        </is>
      </c>
      <c r="E42" s="5" t="inlineStr">
        <is>
          <t>10.1016/j.biopha.2025.118957</t>
        </is>
      </c>
      <c r="G42" s="5" t="inlineStr">
        <is>
          <t>Limited immune-cell complexity</t>
        </is>
      </c>
      <c r="H42" s="6" t="inlineStr">
        <is>
          <t>1</t>
        </is>
      </c>
      <c r="K42" s="5" t="inlineStr">
        <is>
          <t>Provided article-level Table S2 coding (renumbered to current main bibliography)</t>
        </is>
      </c>
      <c r="L42" s="5" t="inlineStr">
        <is>
          <t>https://doi.org/10.1016/j.biopha.2025.118957</t>
        </is>
      </c>
      <c r="M42" s="5" t="inlineStr">
        <is>
          <t>100.0</t>
        </is>
      </c>
      <c r="N42" s="5" t="inlineStr">
        <is>
          <t>YES</t>
        </is>
      </c>
    </row>
    <row r="43">
      <c r="A43" s="6" t="n">
        <v>158</v>
      </c>
      <c r="B43" s="5" t="inlineStr">
        <is>
          <t>S2</t>
        </is>
      </c>
      <c r="C43" s="5" t="inlineStr">
        <is>
          <t>3: Ex vivo full-thickness human skin microbioreactor</t>
        </is>
      </c>
      <c r="D43" s="5" t="inlineStr">
        <is>
          <t>Design and evaluation of a skin-on-a-chip pumpless microfluidic device</t>
        </is>
      </c>
      <c r="E43" s="5" t="inlineStr">
        <is>
          <t>10.1038/s41598-023-34796-3</t>
        </is>
      </c>
      <c r="G43" s="5" t="inlineStr">
        <is>
          <t>Limited repair-quality endpoints</t>
        </is>
      </c>
      <c r="H43" s="6" t="inlineStr">
        <is>
          <t>1</t>
        </is>
      </c>
      <c r="K43" s="5" t="inlineStr">
        <is>
          <t>Provided article-level Table S2 coding (renumbered to current main bibliography)</t>
        </is>
      </c>
      <c r="L43" s="5" t="inlineStr">
        <is>
          <t>https://doi.org/10.1038/s41598-023-34796-3</t>
        </is>
      </c>
      <c r="M43" s="5" t="inlineStr">
        <is>
          <t>100.0</t>
        </is>
      </c>
      <c r="N43" s="5" t="inlineStr">
        <is>
          <t>YES</t>
        </is>
      </c>
    </row>
    <row r="44">
      <c r="A44" s="6" t="n">
        <v>159</v>
      </c>
      <c r="B44" s="5" t="inlineStr">
        <is>
          <t>S2</t>
        </is>
      </c>
      <c r="C44" s="5" t="inlineStr">
        <is>
          <t>4: Layered tissue-generation chip</t>
        </is>
      </c>
      <c r="D44" s="5" t="inlineStr">
        <is>
          <t>A new microfluidic method enabling the generation of multi-layered tissues-on-chips using skin cells as a proof of concept</t>
        </is>
      </c>
      <c r="E44" s="5" t="inlineStr">
        <is>
          <t>10.1038/s41598-021-91875-z</t>
        </is>
      </c>
      <c r="G44" s="5" t="inlineStr">
        <is>
          <t>Limited repair-quality endpoints</t>
        </is>
      </c>
      <c r="H44" s="6" t="inlineStr">
        <is>
          <t>1</t>
        </is>
      </c>
      <c r="K44" s="5" t="inlineStr">
        <is>
          <t>Provided article-level Table S2 coding (renumbered to current main bibliography)</t>
        </is>
      </c>
      <c r="L44" s="5" t="inlineStr">
        <is>
          <t>https://doi.org/10.1038/s41598-021-91875-z</t>
        </is>
      </c>
      <c r="M44" s="5" t="inlineStr">
        <is>
          <t>100.0</t>
        </is>
      </c>
      <c r="N44" s="5" t="inlineStr">
        <is>
          <t>YES</t>
        </is>
      </c>
    </row>
    <row r="45">
      <c r="A45" s="6" t="n">
        <v>58</v>
      </c>
      <c r="B45" s="5" t="inlineStr">
        <is>
          <t>S2</t>
        </is>
      </c>
      <c r="C45" s="5" t="inlineStr">
        <is>
          <t>12: Perfused inflammatory full-thickness skin-on-chip model for drug-response testing</t>
        </is>
      </c>
      <c r="D45" s="5" t="inlineStr">
        <is>
          <t>Analysis of drug efficacy for inflammatory skin on an organ-chip system</t>
        </is>
      </c>
      <c r="E45" s="5" t="n"/>
      <c r="G45" s="5" t="inlineStr">
        <is>
          <t>Limited repair-quality endpoints</t>
        </is>
      </c>
      <c r="H45" s="6" t="inlineStr">
        <is>
          <t>1</t>
        </is>
      </c>
      <c r="K45" s="5" t="inlineStr">
        <is>
          <t>Source-specific correction from Quan et al. 2022, not Gard et al. 2023; full-text primary source verified. Provided article-level Table S2 coding (renumbered to current main bibliography)</t>
        </is>
      </c>
      <c r="L45" s="5" t="inlineStr">
        <is>
          <t>https://doi.org/10.3389/fbioe.2022.939629</t>
        </is>
      </c>
      <c r="M45" s="5" t="inlineStr">
        <is>
          <t>100.0</t>
        </is>
      </c>
      <c r="N45" s="5" t="inlineStr">
        <is>
          <t>YES</t>
        </is>
      </c>
    </row>
    <row r="46">
      <c r="A46" s="6" t="n">
        <v>169</v>
      </c>
      <c r="B46" s="5" t="inlineStr">
        <is>
          <t>S2</t>
        </is>
      </c>
      <c r="C46" s="5" t="inlineStr">
        <is>
          <t>13: Infection-activated vessel-on-chip</t>
        </is>
      </c>
      <c r="D46" s="5" t="inlineStr">
        <is>
          <t>An in vitro human vessel model to study Neisseria meningitidis colonization and vascular damages</t>
        </is>
      </c>
      <c r="E46" s="5" t="inlineStr">
        <is>
          <t>10.7554/eLife.107813</t>
        </is>
      </c>
      <c r="G46" s="5" t="inlineStr">
        <is>
          <t>Limited repair-quality endpoints</t>
        </is>
      </c>
      <c r="H46" s="6" t="inlineStr">
        <is>
          <t>1</t>
        </is>
      </c>
      <c r="K46" s="5" t="inlineStr">
        <is>
          <t>Provided article-level Table S2 coding (renumbered to current main bibliography)</t>
        </is>
      </c>
      <c r="L46" s="5" t="inlineStr">
        <is>
          <t>https://doi.org/10.7554/eLife.107813</t>
        </is>
      </c>
      <c r="M46" s="5" t="inlineStr">
        <is>
          <t>100.0</t>
        </is>
      </c>
      <c r="N46" s="5" t="inlineStr">
        <is>
          <t>YES</t>
        </is>
      </c>
    </row>
    <row r="47">
      <c r="A47" s="6" t="n">
        <v>101</v>
      </c>
      <c r="B47" s="5" t="inlineStr">
        <is>
          <t>S2</t>
        </is>
      </c>
      <c r="C47" s="5" t="inlineStr">
        <is>
          <t>18: Multiplexed wound-exudate sensing patches</t>
        </is>
      </c>
      <c r="D47" s="5" t="inlineStr">
        <is>
          <t>A flexible multiplexed immunosensor for point-of-care in situ wound monitoring</t>
        </is>
      </c>
      <c r="E47" s="5" t="inlineStr">
        <is>
          <t>10.1126/sciadv.abg9614</t>
        </is>
      </c>
      <c r="G47" s="5" t="inlineStr">
        <is>
          <t>Limited repair-quality endpoints</t>
        </is>
      </c>
      <c r="H47" s="6" t="inlineStr">
        <is>
          <t>1</t>
        </is>
      </c>
      <c r="K47" s="5" t="inlineStr">
        <is>
          <t>Provided article-level Table S2 coding (renumbered to current main bibliography)</t>
        </is>
      </c>
      <c r="L47" s="5" t="inlineStr">
        <is>
          <t>https://doi.org/10.1126/sciadv.abg9614</t>
        </is>
      </c>
      <c r="M47" s="5" t="inlineStr">
        <is>
          <t>100.0</t>
        </is>
      </c>
      <c r="N47" s="5" t="inlineStr">
        <is>
          <t>YES</t>
        </is>
      </c>
    </row>
    <row r="48">
      <c r="A48" s="6" t="n">
        <v>182</v>
      </c>
      <c r="B48" s="5" t="inlineStr">
        <is>
          <t>S2</t>
        </is>
      </c>
      <c r="C48" s="5" t="inlineStr">
        <is>
          <t>18: Multiplexed wound-exudate sensing patches</t>
        </is>
      </c>
      <c r="D48" s="5" t="inlineStr">
        <is>
          <t>A flexible and multimodal biosensing patch integrated with microfluidics for chronic wound monitoring</t>
        </is>
      </c>
      <c r="E48" s="5" t="inlineStr">
        <is>
          <t>10.1016/j.cej.2024.157673</t>
        </is>
      </c>
      <c r="G48" s="5" t="inlineStr">
        <is>
          <t>Limited repair-quality endpoints</t>
        </is>
      </c>
      <c r="H48" s="6" t="inlineStr">
        <is>
          <t>1</t>
        </is>
      </c>
      <c r="K48" s="5" t="inlineStr">
        <is>
          <t>Provided article-level Table S2 coding (renumbered to current main bibliography)</t>
        </is>
      </c>
      <c r="L48" s="5" t="inlineStr">
        <is>
          <t>https://doi.org/10.1016/j.cej.2024.157673</t>
        </is>
      </c>
      <c r="M48" s="5" t="inlineStr">
        <is>
          <t>100.0</t>
        </is>
      </c>
      <c r="N48" s="5" t="inlineStr">
        <is>
          <t>YES</t>
        </is>
      </c>
    </row>
    <row r="49">
      <c r="A49" s="6" t="n">
        <v>183</v>
      </c>
      <c r="B49" s="5" t="inlineStr">
        <is>
          <t>S2</t>
        </is>
      </c>
      <c r="C49" s="5" t="inlineStr">
        <is>
          <t>19: Battery-free lactate prognostic wound monitor</t>
        </is>
      </c>
      <c r="D49" s="5" t="inlineStr">
        <is>
          <t>A miniaturized, battery‐free, wireless wound monitor that predicts wound closure rate early</t>
        </is>
      </c>
      <c r="E49" s="5" t="inlineStr">
        <is>
          <t>10.1002/adhm.202301280</t>
        </is>
      </c>
      <c r="G49" s="5" t="inlineStr">
        <is>
          <t>Limited repair-quality endpoints</t>
        </is>
      </c>
      <c r="H49" s="6" t="inlineStr">
        <is>
          <t>1</t>
        </is>
      </c>
      <c r="K49" s="5" t="inlineStr">
        <is>
          <t>Provided article-level Table S2 coding (renumbered to current main bibliography)</t>
        </is>
      </c>
      <c r="L49" s="5" t="inlineStr">
        <is>
          <t>https://doi.org/10.1002/adhm.202301280</t>
        </is>
      </c>
      <c r="M49" s="5" t="inlineStr">
        <is>
          <t>100.0</t>
        </is>
      </c>
      <c r="N49" s="5" t="inlineStr">
        <is>
          <t>YES</t>
        </is>
      </c>
    </row>
    <row r="50">
      <c r="A50" s="6" t="n">
        <v>188</v>
      </c>
      <c r="B50" s="5" t="inlineStr">
        <is>
          <t>S2</t>
        </is>
      </c>
      <c r="C50" s="5" t="inlineStr">
        <is>
          <t>22: Closed-loop wound-management platform with on-chip inference and drug delivery</t>
        </is>
      </c>
      <c r="D50" s="5" t="inlineStr">
        <is>
          <t>Smart Wound Management System Capable of On‐Chip Machine Learning and Closed‐Loop Therapeutic Feedback</t>
        </is>
      </c>
      <c r="E50" s="5" t="inlineStr">
        <is>
          <t>10.1002/adfm.202522329</t>
        </is>
      </c>
      <c r="G50" s="5" t="inlineStr">
        <is>
          <t>Limited repair-quality endpoints</t>
        </is>
      </c>
      <c r="H50" s="6" t="inlineStr">
        <is>
          <t>1</t>
        </is>
      </c>
      <c r="K50" s="5" t="inlineStr">
        <is>
          <t>Provided article-level Table S2 coding (renumbered to current main bibliography)</t>
        </is>
      </c>
      <c r="L50" s="5" t="inlineStr">
        <is>
          <t>https://doi.org/10.1002/adfm.202522329</t>
        </is>
      </c>
      <c r="M50" s="5" t="inlineStr">
        <is>
          <t>100.0</t>
        </is>
      </c>
      <c r="N50" s="5" t="inlineStr">
        <is>
          <t>YES</t>
        </is>
      </c>
    </row>
    <row r="51">
      <c r="A51" s="6" t="n">
        <v>192</v>
      </c>
      <c r="B51" s="5" t="inlineStr">
        <is>
          <t>S2</t>
        </is>
      </c>
      <c r="C51" s="5" t="inlineStr">
        <is>
          <t>9: Ex vivo and surrogate skin dynamic permeation platforms</t>
        </is>
      </c>
      <c r="D51" s="5" t="inlineStr">
        <is>
          <t>Skin-on-a-chip device for ex vivo monitoring of transdermal delivery of drugs—design, fabrication, and testing</t>
        </is>
      </c>
      <c r="E51" s="5" t="inlineStr">
        <is>
          <t>10.3390/pharmaceutics11090445</t>
        </is>
      </c>
      <c r="G51" s="5" t="inlineStr">
        <is>
          <t>Limited repair-quality endpoints</t>
        </is>
      </c>
      <c r="H51" s="6" t="inlineStr">
        <is>
          <t>1</t>
        </is>
      </c>
      <c r="K51" s="5" t="inlineStr">
        <is>
          <t>Provided article-level Table S2 coding (renumbered to current main bibliography)</t>
        </is>
      </c>
      <c r="L51" s="5" t="inlineStr">
        <is>
          <t>https://doi.org/10.3390/pharmaceutics11090445</t>
        </is>
      </c>
      <c r="M51" s="5" t="inlineStr">
        <is>
          <t>100.0</t>
        </is>
      </c>
      <c r="N51" s="5" t="inlineStr">
        <is>
          <t>YES</t>
        </is>
      </c>
    </row>
    <row r="52">
      <c r="A52" s="6" t="n">
        <v>193</v>
      </c>
      <c r="B52" s="5" t="inlineStr">
        <is>
          <t>S2</t>
        </is>
      </c>
      <c r="C52" s="5" t="inlineStr">
        <is>
          <t>9: Ex vivo and surrogate skin dynamic permeation platforms</t>
        </is>
      </c>
      <c r="D52" s="5" t="inlineStr">
        <is>
          <t>Comparison between Franz diffusion cell and a novel micro-physiological system for in vitro penetration assay using different skin models</t>
        </is>
      </c>
      <c r="E52" s="5" t="inlineStr">
        <is>
          <t>10.1016/j.slast.2021.12.006</t>
        </is>
      </c>
      <c r="G52" s="5" t="inlineStr">
        <is>
          <t>Limited repair-quality endpoints</t>
        </is>
      </c>
      <c r="H52" s="6" t="inlineStr">
        <is>
          <t>1</t>
        </is>
      </c>
      <c r="K52" s="5" t="inlineStr">
        <is>
          <t>Provided article-level Table S2 coding (renumbered to current main bibliography)</t>
        </is>
      </c>
      <c r="L52" s="5" t="inlineStr">
        <is>
          <t>https://doi.org/10.1016/j.slast.2021.12.006</t>
        </is>
      </c>
      <c r="M52" s="5" t="inlineStr">
        <is>
          <t>100.0</t>
        </is>
      </c>
      <c r="N52" s="5" t="inlineStr">
        <is>
          <t>YES</t>
        </is>
      </c>
    </row>
    <row r="53">
      <c r="A53" s="6" t="n">
        <v>194</v>
      </c>
      <c r="B53" s="5" t="inlineStr">
        <is>
          <t>S2</t>
        </is>
      </c>
      <c r="C53" s="5" t="inlineStr">
        <is>
          <t>10: Skin-linked systemic toxicity chips</t>
        </is>
      </c>
      <c r="D53" s="5" t="inlineStr">
        <is>
          <t>Microphysiological heart–liver body-on-a-chip system with a skin mimic for evaluating topical drug delivery</t>
        </is>
      </c>
      <c r="E53" s="5" t="inlineStr">
        <is>
          <t>10.1039/c9lc00861f</t>
        </is>
      </c>
      <c r="G53" s="5" t="inlineStr">
        <is>
          <t>Limited repair-quality endpoints</t>
        </is>
      </c>
      <c r="H53" s="6" t="inlineStr">
        <is>
          <t>1</t>
        </is>
      </c>
      <c r="K53" s="5" t="inlineStr">
        <is>
          <t>Provided article-level Table S2 coding (renumbered to current main bibliography)</t>
        </is>
      </c>
      <c r="L53" s="5" t="inlineStr">
        <is>
          <t>https://doi.org/10.1039/c9lc00861f</t>
        </is>
      </c>
      <c r="M53" s="5" t="inlineStr">
        <is>
          <t>100.0</t>
        </is>
      </c>
      <c r="N53" s="5" t="inlineStr">
        <is>
          <t>YES</t>
        </is>
      </c>
    </row>
    <row r="54">
      <c r="A54" s="6" t="n">
        <v>195</v>
      </c>
      <c r="B54" s="5" t="inlineStr">
        <is>
          <t>S2</t>
        </is>
      </c>
      <c r="C54" s="5" t="inlineStr">
        <is>
          <t>10: Skin-linked systemic toxicity chips</t>
        </is>
      </c>
      <c r="D54" s="5" t="inlineStr">
        <is>
          <t>Toxicity of topically applied drugs beyond skin irritation: Static skin model vs</t>
        </is>
      </c>
      <c r="E54" s="5" t="inlineStr">
        <is>
          <t>10.1016/j.ijpharm.2020.119788</t>
        </is>
      </c>
      <c r="G54" s="5" t="inlineStr">
        <is>
          <t>Limited repair-quality endpoints</t>
        </is>
      </c>
      <c r="H54" s="6" t="inlineStr">
        <is>
          <t>1</t>
        </is>
      </c>
      <c r="K54" s="5" t="inlineStr">
        <is>
          <t>Provided article-level Table S2 coding (renumbered to current main bibliography)</t>
        </is>
      </c>
      <c r="L54" s="5" t="inlineStr">
        <is>
          <t>https://doi.org/10.1016/j.ijpharm.2020.119788</t>
        </is>
      </c>
      <c r="M54" s="5" t="inlineStr">
        <is>
          <t>100.0</t>
        </is>
      </c>
      <c r="N54" s="5" t="inlineStr">
        <is>
          <t>YES</t>
        </is>
      </c>
    </row>
    <row r="55">
      <c r="A55" s="6" t="n">
        <v>198</v>
      </c>
      <c r="B55" s="5" t="inlineStr">
        <is>
          <t>S2</t>
        </is>
      </c>
      <c r="C55" s="5" t="inlineStr">
        <is>
          <t>16: Epidermal pruritus and barrier-support skin-on-chip</t>
        </is>
      </c>
      <c r="D55" s="5" t="inlineStr">
        <is>
          <t>Skin-on-Chip and clinical evaluation of the soothing potential of a topical natural treatment for atopic-prone skin: An exploratory study</t>
        </is>
      </c>
      <c r="E55" s="5" t="inlineStr">
        <is>
          <t>10.1016/j.biopha.2025.118957</t>
        </is>
      </c>
      <c r="G55" s="5" t="inlineStr">
        <is>
          <t>Limited repair-quality endpoints</t>
        </is>
      </c>
      <c r="H55" s="6" t="inlineStr">
        <is>
          <t>1</t>
        </is>
      </c>
      <c r="K55" s="5" t="inlineStr">
        <is>
          <t>Provided article-level Table S2 coding (renumbered to current main bibliography)</t>
        </is>
      </c>
      <c r="L55" s="5" t="inlineStr">
        <is>
          <t>https://doi.org/10.1016/j.biopha.2025.118957</t>
        </is>
      </c>
      <c r="M55" s="5" t="inlineStr">
        <is>
          <t>100.0</t>
        </is>
      </c>
      <c r="N55" s="5" t="inlineStr">
        <is>
          <t>YES</t>
        </is>
      </c>
    </row>
    <row r="56">
      <c r="A56" s="6" t="n">
        <v>155</v>
      </c>
      <c r="B56" s="5" t="inlineStr">
        <is>
          <t>S2</t>
        </is>
      </c>
      <c r="C56" s="5" t="inlineStr">
        <is>
          <t>2: Perfused dermal perivascular angiogenesis chip</t>
        </is>
      </c>
      <c r="D56" s="5" t="inlineStr">
        <is>
          <t>A 3D millifluidic model of a dermal perivascular microenvironment on a chip</t>
        </is>
      </c>
      <c r="E56" s="5" t="inlineStr">
        <is>
          <t>10.1039/d4lc00898g</t>
        </is>
      </c>
      <c r="G56" s="5" t="inlineStr">
        <is>
          <t>No chronic or diabetic wound context</t>
        </is>
      </c>
      <c r="H56" s="6" t="inlineStr">
        <is>
          <t>1</t>
        </is>
      </c>
      <c r="K56" s="5" t="inlineStr">
        <is>
          <t>Provided article-level Table S2 coding (renumbered to current main bibliography)</t>
        </is>
      </c>
      <c r="L56" s="5" t="inlineStr">
        <is>
          <t>https://doi.org/10.1039/d4lc00898g</t>
        </is>
      </c>
      <c r="M56" s="5" t="inlineStr">
        <is>
          <t>100.0</t>
        </is>
      </c>
      <c r="N56" s="5" t="inlineStr">
        <is>
          <t>YES</t>
        </is>
      </c>
    </row>
    <row r="57">
      <c r="A57" s="6" t="n">
        <v>158</v>
      </c>
      <c r="B57" s="5" t="inlineStr">
        <is>
          <t>S2</t>
        </is>
      </c>
      <c r="C57" s="5" t="inlineStr">
        <is>
          <t>3: Ex vivo full-thickness human skin microbioreactor</t>
        </is>
      </c>
      <c r="D57" s="5" t="inlineStr">
        <is>
          <t>Design and evaluation of a skin-on-a-chip pumpless microfluidic device</t>
        </is>
      </c>
      <c r="E57" s="5" t="inlineStr">
        <is>
          <t>10.1038/s41598-023-34796-3</t>
        </is>
      </c>
      <c r="G57" s="5" t="inlineStr">
        <is>
          <t>No chronic or diabetic wound context</t>
        </is>
      </c>
      <c r="H57" s="6" t="inlineStr">
        <is>
          <t>1</t>
        </is>
      </c>
      <c r="K57" s="5" t="inlineStr">
        <is>
          <t>Provided article-level Table S2 coding (renumbered to current main bibliography)</t>
        </is>
      </c>
      <c r="L57" s="5" t="inlineStr">
        <is>
          <t>https://doi.org/10.1038/s41598-023-34796-3</t>
        </is>
      </c>
      <c r="M57" s="5" t="inlineStr">
        <is>
          <t>100.0</t>
        </is>
      </c>
      <c r="N57" s="5" t="inlineStr">
        <is>
          <t>YES</t>
        </is>
      </c>
    </row>
    <row r="58">
      <c r="A58" s="6" t="n">
        <v>159</v>
      </c>
      <c r="B58" s="5" t="inlineStr">
        <is>
          <t>S2</t>
        </is>
      </c>
      <c r="C58" s="5" t="inlineStr">
        <is>
          <t>4: Layered tissue-generation chip</t>
        </is>
      </c>
      <c r="D58" s="5" t="inlineStr">
        <is>
          <t>A new microfluidic method enabling the generation of multi-layered tissues-on-chips using skin cells as a proof of concept</t>
        </is>
      </c>
      <c r="E58" s="5" t="inlineStr">
        <is>
          <t>10.1038/s41598-021-91875-z</t>
        </is>
      </c>
      <c r="G58" s="5" t="inlineStr">
        <is>
          <t>No chronic or diabetic wound context</t>
        </is>
      </c>
      <c r="H58" s="6" t="inlineStr">
        <is>
          <t>1</t>
        </is>
      </c>
      <c r="K58" s="5" t="inlineStr">
        <is>
          <t>Provided article-level Table S2 coding (renumbered to current main bibliography)</t>
        </is>
      </c>
      <c r="L58" s="5" t="inlineStr">
        <is>
          <t>https://doi.org/10.1038/s41598-021-91875-z</t>
        </is>
      </c>
      <c r="M58" s="5" t="inlineStr">
        <is>
          <t>100.0</t>
        </is>
      </c>
      <c r="N58" s="5" t="inlineStr">
        <is>
          <t>YES</t>
        </is>
      </c>
    </row>
    <row r="59">
      <c r="A59" s="6" t="n">
        <v>164</v>
      </c>
      <c r="B59" s="5" t="inlineStr">
        <is>
          <t>S2</t>
        </is>
      </c>
      <c r="C59" s="5" t="inlineStr">
        <is>
          <t>5: Oxygen-gradient angiogenesis module</t>
        </is>
      </c>
      <c r="D59" s="5" t="inlineStr">
        <is>
          <t>Studying sprouting angiogenesis under combination of oxygen gradients and co-culture of fibroblasts using microfluidic cell culture model</t>
        </is>
      </c>
      <c r="E59" s="5" t="inlineStr">
        <is>
          <t>10.1016/j.mtbio.2023.100703</t>
        </is>
      </c>
      <c r="G59" s="5" t="inlineStr">
        <is>
          <t>No chronic or diabetic wound context</t>
        </is>
      </c>
      <c r="H59" s="6" t="inlineStr">
        <is>
          <t>1</t>
        </is>
      </c>
      <c r="K59" s="5" t="inlineStr">
        <is>
          <t>Provided article-level Table S2 coding (renumbered to current main bibliography)</t>
        </is>
      </c>
      <c r="L59" s="5" t="inlineStr">
        <is>
          <t>https://doi.org/10.1016/j.mtbio.2023.100703</t>
        </is>
      </c>
      <c r="M59" s="5" t="inlineStr">
        <is>
          <t>100.0</t>
        </is>
      </c>
      <c r="N59" s="5" t="inlineStr">
        <is>
          <t>YES</t>
        </is>
      </c>
    </row>
    <row r="60">
      <c r="A60" s="6" t="n">
        <v>166</v>
      </c>
      <c r="B60" s="5" t="inlineStr">
        <is>
          <t>S2</t>
        </is>
      </c>
      <c r="C60" s="5" t="inlineStr">
        <is>
          <t>7: Perfused reconstructed skin-on-chip for transdermal diffusion</t>
        </is>
      </c>
      <c r="D60" s="5" t="inlineStr">
        <is>
          <t>In silico approach for validating organ-on-chips: exemplifying through a skin-on-chip device</t>
        </is>
      </c>
      <c r="E60" s="5" t="inlineStr">
        <is>
          <t>10.1007/s10404-025-02863-y</t>
        </is>
      </c>
      <c r="G60" s="5" t="inlineStr">
        <is>
          <t>No chronic or diabetic wound context</t>
        </is>
      </c>
      <c r="H60" s="6" t="inlineStr">
        <is>
          <t>1</t>
        </is>
      </c>
      <c r="K60" s="5" t="inlineStr">
        <is>
          <t>Provided article-level Table S2 coding (renumbered to current main bibliography)</t>
        </is>
      </c>
      <c r="L60" s="5" t="inlineStr">
        <is>
          <t>https://doi.org/10.1007/s10404-025-02863-y</t>
        </is>
      </c>
      <c r="M60" s="5" t="inlineStr">
        <is>
          <t>100.0</t>
        </is>
      </c>
      <c r="N60" s="5" t="inlineStr">
        <is>
          <t>YES</t>
        </is>
      </c>
    </row>
    <row r="61">
      <c r="A61" s="6" t="n">
        <v>58</v>
      </c>
      <c r="B61" s="5" t="inlineStr">
        <is>
          <t>S2</t>
        </is>
      </c>
      <c r="C61" s="5" t="inlineStr">
        <is>
          <t>12: Perfused inflammatory full-thickness skin-on-chip model for drug-response testing</t>
        </is>
      </c>
      <c r="D61" s="5" t="inlineStr">
        <is>
          <t>Analysis of drug efficacy for inflammatory skin on an organ-chip system</t>
        </is>
      </c>
      <c r="E61" s="5" t="n"/>
      <c r="G61" s="5" t="inlineStr">
        <is>
          <t>No chronic or diabetic wound context</t>
        </is>
      </c>
      <c r="H61" s="6" t="inlineStr">
        <is>
          <t>1</t>
        </is>
      </c>
      <c r="K61" s="5" t="inlineStr">
        <is>
          <t>Source-specific correction from Quan et al. 2022, not Gard et al. 2023; full-text primary source verified. Provided article-level Table S2 coding (renumbered to current main bibliography)</t>
        </is>
      </c>
      <c r="L61" s="5" t="inlineStr">
        <is>
          <t>https://doi.org/10.3389/fbioe.2022.939629</t>
        </is>
      </c>
      <c r="M61" s="5" t="inlineStr">
        <is>
          <t>100.0</t>
        </is>
      </c>
      <c r="N61" s="5" t="inlineStr">
        <is>
          <t>YES</t>
        </is>
      </c>
    </row>
    <row r="62">
      <c r="A62" s="6" t="n">
        <v>169</v>
      </c>
      <c r="B62" s="5" t="inlineStr">
        <is>
          <t>S2</t>
        </is>
      </c>
      <c r="C62" s="5" t="inlineStr">
        <is>
          <t>13: Infection-activated vessel-on-chip</t>
        </is>
      </c>
      <c r="D62" s="5" t="inlineStr">
        <is>
          <t>An in vitro human vessel model to study Neisseria meningitidis colonization and vascular damages</t>
        </is>
      </c>
      <c r="E62" s="5" t="inlineStr">
        <is>
          <t>10.7554/eLife.107813</t>
        </is>
      </c>
      <c r="G62" s="5" t="inlineStr">
        <is>
          <t>No chronic or diabetic wound context</t>
        </is>
      </c>
      <c r="H62" s="6" t="inlineStr">
        <is>
          <t>1</t>
        </is>
      </c>
      <c r="K62" s="5" t="inlineStr">
        <is>
          <t>Provided article-level Table S2 coding (renumbered to current main bibliography)</t>
        </is>
      </c>
      <c r="L62" s="5" t="inlineStr">
        <is>
          <t>https://doi.org/10.7554/eLife.107813</t>
        </is>
      </c>
      <c r="M62" s="5" t="inlineStr">
        <is>
          <t>100.0</t>
        </is>
      </c>
      <c r="N62" s="5" t="inlineStr">
        <is>
          <t>YES</t>
        </is>
      </c>
    </row>
    <row r="63">
      <c r="A63" s="6" t="n">
        <v>181</v>
      </c>
      <c r="B63" s="5" t="inlineStr">
        <is>
          <t>S2</t>
        </is>
      </c>
      <c r="C63" s="5" t="inlineStr">
        <is>
          <t>8: Perfused 3D skin-on-chip for barrier validation and drug permeation</t>
        </is>
      </c>
      <c r="D63" s="5" t="inlineStr">
        <is>
          <t>A 3D microfluidic model for preclinical drug permeation studies: Advancing validation of skin-on-chip technology</t>
        </is>
      </c>
      <c r="E63" s="5" t="inlineStr">
        <is>
          <t>10.1016/j.jpba.2025.117187</t>
        </is>
      </c>
      <c r="G63" s="5" t="inlineStr">
        <is>
          <t>No chronic or diabetic wound context</t>
        </is>
      </c>
      <c r="H63" s="6" t="inlineStr">
        <is>
          <t>1</t>
        </is>
      </c>
      <c r="K63" s="5" t="inlineStr">
        <is>
          <t>Provided article-level Table S2 coding (renumbered to current main bibliography)</t>
        </is>
      </c>
      <c r="L63" s="5" t="inlineStr">
        <is>
          <t>https://doi.org/10.1016/j.jpba.2025.117187</t>
        </is>
      </c>
      <c r="M63" s="5" t="inlineStr">
        <is>
          <t>100.0</t>
        </is>
      </c>
      <c r="N63" s="5" t="inlineStr">
        <is>
          <t>YES</t>
        </is>
      </c>
    </row>
    <row r="64">
      <c r="A64" s="6" t="n">
        <v>188</v>
      </c>
      <c r="B64" s="5" t="inlineStr">
        <is>
          <t>S2</t>
        </is>
      </c>
      <c r="C64" s="5" t="inlineStr">
        <is>
          <t>22: Closed-loop wound-management platform with on-chip inference and drug delivery</t>
        </is>
      </c>
      <c r="D64" s="5" t="inlineStr">
        <is>
          <t>Smart Wound Management System Capable of On‐Chip Machine Learning and Closed‐Loop Therapeutic Feedback</t>
        </is>
      </c>
      <c r="E64" s="5" t="inlineStr">
        <is>
          <t>10.1002/adfm.202522329</t>
        </is>
      </c>
      <c r="G64" s="5" t="inlineStr">
        <is>
          <t>No chronic or diabetic wound context</t>
        </is>
      </c>
      <c r="H64" s="6" t="inlineStr">
        <is>
          <t>1</t>
        </is>
      </c>
      <c r="K64" s="5" t="inlineStr">
        <is>
          <t>Provided article-level Table S2 coding (renumbered to current main bibliography)</t>
        </is>
      </c>
      <c r="L64" s="5" t="inlineStr">
        <is>
          <t>https://doi.org/10.1002/adfm.202522329</t>
        </is>
      </c>
      <c r="M64" s="5" t="inlineStr">
        <is>
          <t>100.0</t>
        </is>
      </c>
      <c r="N64" s="5" t="inlineStr">
        <is>
          <t>YES</t>
        </is>
      </c>
    </row>
    <row r="65">
      <c r="A65" s="6" t="n">
        <v>192</v>
      </c>
      <c r="B65" s="5" t="inlineStr">
        <is>
          <t>S2</t>
        </is>
      </c>
      <c r="C65" s="5" t="inlineStr">
        <is>
          <t>9: Ex vivo and surrogate skin dynamic permeation platforms</t>
        </is>
      </c>
      <c r="D65" s="5" t="inlineStr">
        <is>
          <t>Skin-on-a-chip device for ex vivo monitoring of transdermal delivery of drugs—design, fabrication, and testing</t>
        </is>
      </c>
      <c r="E65" s="5" t="inlineStr">
        <is>
          <t>10.3390/pharmaceutics11090445</t>
        </is>
      </c>
      <c r="G65" s="5" t="inlineStr">
        <is>
          <t>No chronic or diabetic wound context</t>
        </is>
      </c>
      <c r="H65" s="6" t="inlineStr">
        <is>
          <t>1</t>
        </is>
      </c>
      <c r="K65" s="5" t="inlineStr">
        <is>
          <t>Provided article-level Table S2 coding (renumbered to current main bibliography)</t>
        </is>
      </c>
      <c r="L65" s="5" t="inlineStr">
        <is>
          <t>https://doi.org/10.3390/pharmaceutics11090445</t>
        </is>
      </c>
      <c r="M65" s="5" t="inlineStr">
        <is>
          <t>100.0</t>
        </is>
      </c>
      <c r="N65" s="5" t="inlineStr">
        <is>
          <t>YES</t>
        </is>
      </c>
    </row>
    <row r="66">
      <c r="A66" s="6" t="n">
        <v>193</v>
      </c>
      <c r="B66" s="5" t="inlineStr">
        <is>
          <t>S2</t>
        </is>
      </c>
      <c r="C66" s="5" t="inlineStr">
        <is>
          <t>9: Ex vivo and surrogate skin dynamic permeation platforms</t>
        </is>
      </c>
      <c r="D66" s="5" t="inlineStr">
        <is>
          <t>Comparison between Franz diffusion cell and a novel micro-physiological system for in vitro penetration assay using different skin models</t>
        </is>
      </c>
      <c r="E66" s="5" t="inlineStr">
        <is>
          <t>10.1016/j.slast.2021.12.006</t>
        </is>
      </c>
      <c r="G66" s="5" t="inlineStr">
        <is>
          <t>No chronic or diabetic wound context</t>
        </is>
      </c>
      <c r="H66" s="6" t="inlineStr">
        <is>
          <t>1</t>
        </is>
      </c>
      <c r="K66" s="5" t="inlineStr">
        <is>
          <t>Provided article-level Table S2 coding (renumbered to current main bibliography)</t>
        </is>
      </c>
      <c r="L66" s="5" t="inlineStr">
        <is>
          <t>https://doi.org/10.1016/j.slast.2021.12.006</t>
        </is>
      </c>
      <c r="M66" s="5" t="inlineStr">
        <is>
          <t>100.0</t>
        </is>
      </c>
      <c r="N66" s="5" t="inlineStr">
        <is>
          <t>YES</t>
        </is>
      </c>
    </row>
    <row r="67">
      <c r="A67" s="6" t="n">
        <v>194</v>
      </c>
      <c r="B67" s="5" t="inlineStr">
        <is>
          <t>S2</t>
        </is>
      </c>
      <c r="C67" s="5" t="inlineStr">
        <is>
          <t>10: Skin-linked systemic toxicity chips</t>
        </is>
      </c>
      <c r="D67" s="5" t="inlineStr">
        <is>
          <t>Microphysiological heart–liver body-on-a-chip system with a skin mimic for evaluating topical drug delivery</t>
        </is>
      </c>
      <c r="E67" s="5" t="inlineStr">
        <is>
          <t>10.1039/c9lc00861f</t>
        </is>
      </c>
      <c r="G67" s="5" t="inlineStr">
        <is>
          <t>No chronic or diabetic wound context</t>
        </is>
      </c>
      <c r="H67" s="6" t="inlineStr">
        <is>
          <t>1</t>
        </is>
      </c>
      <c r="K67" s="5" t="inlineStr">
        <is>
          <t>Provided article-level Table S2 coding (renumbered to current main bibliography)</t>
        </is>
      </c>
      <c r="L67" s="5" t="inlineStr">
        <is>
          <t>https://doi.org/10.1039/c9lc00861f</t>
        </is>
      </c>
      <c r="M67" s="5" t="inlineStr">
        <is>
          <t>100.0</t>
        </is>
      </c>
      <c r="N67" s="5" t="inlineStr">
        <is>
          <t>YES</t>
        </is>
      </c>
    </row>
    <row r="68">
      <c r="A68" s="6" t="n">
        <v>195</v>
      </c>
      <c r="B68" s="5" t="inlineStr">
        <is>
          <t>S2</t>
        </is>
      </c>
      <c r="C68" s="5" t="inlineStr">
        <is>
          <t>10: Skin-linked systemic toxicity chips</t>
        </is>
      </c>
      <c r="D68" s="5" t="inlineStr">
        <is>
          <t>Toxicity of topically applied drugs beyond skin irritation: Static skin model vs</t>
        </is>
      </c>
      <c r="E68" s="5" t="inlineStr">
        <is>
          <t>10.1016/j.ijpharm.2020.119788</t>
        </is>
      </c>
      <c r="G68" s="5" t="inlineStr">
        <is>
          <t>No chronic or diabetic wound context</t>
        </is>
      </c>
      <c r="H68" s="6" t="inlineStr">
        <is>
          <t>1</t>
        </is>
      </c>
      <c r="K68" s="5" t="inlineStr">
        <is>
          <t>Provided article-level Table S2 coding (renumbered to current main bibliography)</t>
        </is>
      </c>
      <c r="L68" s="5" t="inlineStr">
        <is>
          <t>https://doi.org/10.1016/j.ijpharm.2020.119788</t>
        </is>
      </c>
      <c r="M68" s="5" t="inlineStr">
        <is>
          <t>100.0</t>
        </is>
      </c>
      <c r="N68" s="5" t="inlineStr">
        <is>
          <t>YES</t>
        </is>
      </c>
    </row>
    <row r="69">
      <c r="A69" s="6" t="n">
        <v>196</v>
      </c>
      <c r="B69" s="5" t="inlineStr">
        <is>
          <t>S2</t>
        </is>
      </c>
      <c r="C69" s="5" t="inlineStr">
        <is>
          <t>14: Dynamic reconstructed skin-on-chip for topical sensitizer response</t>
        </is>
      </c>
      <c r="D69" s="5" t="inlineStr">
        <is>
          <t>Proof-of-concept organ-on-chip study: topical cinnamaldehyde exposure of reconstructed human skin with integrated neopapillae cultured under dynamic flow</t>
        </is>
      </c>
      <c r="E69" s="5" t="inlineStr">
        <is>
          <t>10.3390/pharmaceutics14081529</t>
        </is>
      </c>
      <c r="G69" s="5" t="inlineStr">
        <is>
          <t>No chronic or diabetic wound context</t>
        </is>
      </c>
      <c r="H69" s="6" t="inlineStr">
        <is>
          <t>1</t>
        </is>
      </c>
      <c r="K69" s="5" t="inlineStr">
        <is>
          <t>Provided article-level Table S2 coding (renumbered to current main bibliography)</t>
        </is>
      </c>
      <c r="L69" s="5" t="inlineStr">
        <is>
          <t>https://doi.org/10.3390/pharmaceutics14081529</t>
        </is>
      </c>
      <c r="M69" s="5" t="inlineStr">
        <is>
          <t>100.0</t>
        </is>
      </c>
      <c r="N69" s="5" t="inlineStr">
        <is>
          <t>YES</t>
        </is>
      </c>
    </row>
    <row r="70">
      <c r="A70" s="6" t="n">
        <v>197</v>
      </c>
      <c r="B70" s="5" t="inlineStr">
        <is>
          <t>S2</t>
        </is>
      </c>
      <c r="C70" s="5" t="inlineStr">
        <is>
          <t>15: Perfused inflammatory skin-on-chip with rapid cytokine detection</t>
        </is>
      </c>
      <c r="D70" s="5" t="inlineStr">
        <is>
          <t>Skin-on-a-Chip Coupled with a Rapid Inflammation Detection System for Cosmetic Ingredient Screening</t>
        </is>
      </c>
      <c r="G70" s="5" t="inlineStr">
        <is>
          <t>No chronic or diabetic wound context</t>
        </is>
      </c>
      <c r="H70" s="6" t="inlineStr">
        <is>
          <t>1</t>
        </is>
      </c>
      <c r="K70" s="5" t="inlineStr">
        <is>
          <t>Provided article-level Table S2 coding (renumbered to current main bibliography)</t>
        </is>
      </c>
      <c r="M70" s="5" t="inlineStr">
        <is>
          <t>100.0</t>
        </is>
      </c>
      <c r="N70" s="5" t="inlineStr">
        <is>
          <t>YES</t>
        </is>
      </c>
    </row>
    <row r="71">
      <c r="A71" s="6" t="n">
        <v>198</v>
      </c>
      <c r="B71" s="5" t="inlineStr">
        <is>
          <t>S2</t>
        </is>
      </c>
      <c r="C71" s="5" t="inlineStr">
        <is>
          <t>16: Epidermal pruritus and barrier-support skin-on-chip</t>
        </is>
      </c>
      <c r="D71" s="5" t="inlineStr">
        <is>
          <t>Skin-on-Chip and clinical evaluation of the soothing potential of a topical natural treatment for atopic-prone skin: An exploratory study</t>
        </is>
      </c>
      <c r="E71" s="5" t="inlineStr">
        <is>
          <t>10.1016/j.biopha.2025.118957</t>
        </is>
      </c>
      <c r="G71" s="5" t="inlineStr">
        <is>
          <t>No chronic or diabetic wound context</t>
        </is>
      </c>
      <c r="H71" s="6" t="inlineStr">
        <is>
          <t>1</t>
        </is>
      </c>
      <c r="K71" s="5" t="inlineStr">
        <is>
          <t>Provided article-level Table S2 coding (renumbered to current main bibliography)</t>
        </is>
      </c>
      <c r="L71" s="5" t="inlineStr">
        <is>
          <t>https://doi.org/10.1016/j.biopha.2025.118957</t>
        </is>
      </c>
      <c r="M71" s="5" t="inlineStr">
        <is>
          <t>100.0</t>
        </is>
      </c>
      <c r="N71" s="5" t="inlineStr">
        <is>
          <t>YES</t>
        </is>
      </c>
    </row>
    <row r="72">
      <c r="A72" s="6" t="n">
        <v>155</v>
      </c>
      <c r="B72" s="5" t="inlineStr">
        <is>
          <t>S2</t>
        </is>
      </c>
      <c r="C72" s="5" t="inlineStr">
        <is>
          <t>2: Perfused dermal perivascular angiogenesis chip</t>
        </is>
      </c>
      <c r="D72" s="5" t="inlineStr">
        <is>
          <t>A 3D millifluidic model of a dermal perivascular microenvironment on a chip</t>
        </is>
      </c>
      <c r="E72" s="5" t="inlineStr">
        <is>
          <t>10.1039/d4lc00898g</t>
        </is>
      </c>
      <c r="G72" s="5" t="inlineStr">
        <is>
          <t>No direct wound injury or closure</t>
        </is>
      </c>
      <c r="H72" s="6" t="inlineStr">
        <is>
          <t>1</t>
        </is>
      </c>
      <c r="K72" s="5" t="inlineStr">
        <is>
          <t>Provided article-level Table S2 coding (renumbered to current main bibliography)</t>
        </is>
      </c>
      <c r="L72" s="5" t="inlineStr">
        <is>
          <t>https://doi.org/10.1039/d4lc00898g</t>
        </is>
      </c>
      <c r="M72" s="5" t="inlineStr">
        <is>
          <t>100.0</t>
        </is>
      </c>
      <c r="N72" s="5" t="inlineStr">
        <is>
          <t>YES</t>
        </is>
      </c>
    </row>
    <row r="73">
      <c r="A73" s="6" t="n">
        <v>158</v>
      </c>
      <c r="B73" s="5" t="inlineStr">
        <is>
          <t>S2</t>
        </is>
      </c>
      <c r="C73" s="5" t="inlineStr">
        <is>
          <t>3: Ex vivo full-thickness human skin microbioreactor</t>
        </is>
      </c>
      <c r="D73" s="5" t="inlineStr">
        <is>
          <t>Design and evaluation of a skin-on-a-chip pumpless microfluidic device</t>
        </is>
      </c>
      <c r="E73" s="5" t="inlineStr">
        <is>
          <t>10.1038/s41598-023-34796-3</t>
        </is>
      </c>
      <c r="G73" s="5" t="inlineStr">
        <is>
          <t>No direct wound injury or closure</t>
        </is>
      </c>
      <c r="H73" s="6" t="inlineStr">
        <is>
          <t>1</t>
        </is>
      </c>
      <c r="K73" s="5" t="inlineStr">
        <is>
          <t>Provided article-level Table S2 coding (renumbered to current main bibliography)</t>
        </is>
      </c>
      <c r="L73" s="5" t="inlineStr">
        <is>
          <t>https://doi.org/10.1038/s41598-023-34796-3</t>
        </is>
      </c>
      <c r="M73" s="5" t="inlineStr">
        <is>
          <t>100.0</t>
        </is>
      </c>
      <c r="N73" s="5" t="inlineStr">
        <is>
          <t>YES</t>
        </is>
      </c>
    </row>
    <row r="74">
      <c r="A74" s="6" t="n">
        <v>159</v>
      </c>
      <c r="B74" s="5" t="inlineStr">
        <is>
          <t>S2</t>
        </is>
      </c>
      <c r="C74" s="5" t="inlineStr">
        <is>
          <t>4: Layered tissue-generation chip</t>
        </is>
      </c>
      <c r="D74" s="5" t="inlineStr">
        <is>
          <t>A new microfluidic method enabling the generation of multi-layered tissues-on-chips using skin cells as a proof of concept</t>
        </is>
      </c>
      <c r="E74" s="5" t="inlineStr">
        <is>
          <t>10.1038/s41598-021-91875-z</t>
        </is>
      </c>
      <c r="G74" s="5" t="inlineStr">
        <is>
          <t>No direct wound injury or closure</t>
        </is>
      </c>
      <c r="H74" s="6" t="inlineStr">
        <is>
          <t>1</t>
        </is>
      </c>
      <c r="K74" s="5" t="inlineStr">
        <is>
          <t>Provided article-level Table S2 coding (renumbered to current main bibliography)</t>
        </is>
      </c>
      <c r="L74" s="5" t="inlineStr">
        <is>
          <t>https://doi.org/10.1038/s41598-021-91875-z</t>
        </is>
      </c>
      <c r="M74" s="5" t="inlineStr">
        <is>
          <t>100.0</t>
        </is>
      </c>
      <c r="N74" s="5" t="inlineStr">
        <is>
          <t>YES</t>
        </is>
      </c>
    </row>
    <row r="75">
      <c r="A75" s="6" t="n">
        <v>164</v>
      </c>
      <c r="B75" s="5" t="inlineStr">
        <is>
          <t>S2</t>
        </is>
      </c>
      <c r="C75" s="5" t="inlineStr">
        <is>
          <t>5: Oxygen-gradient angiogenesis module</t>
        </is>
      </c>
      <c r="D75" s="5" t="inlineStr">
        <is>
          <t>Studying sprouting angiogenesis under combination of oxygen gradients and co-culture of fibroblasts using microfluidic cell culture model</t>
        </is>
      </c>
      <c r="E75" s="5" t="inlineStr">
        <is>
          <t>10.1016/j.mtbio.2023.100703</t>
        </is>
      </c>
      <c r="G75" s="5" t="inlineStr">
        <is>
          <t>No direct wound injury or closure</t>
        </is>
      </c>
      <c r="H75" s="6" t="inlineStr">
        <is>
          <t>1</t>
        </is>
      </c>
      <c r="K75" s="5" t="inlineStr">
        <is>
          <t>Provided article-level Table S2 coding (renumbered to current main bibliography)</t>
        </is>
      </c>
      <c r="L75" s="5" t="inlineStr">
        <is>
          <t>https://doi.org/10.1016/j.mtbio.2023.100703</t>
        </is>
      </c>
      <c r="M75" s="5" t="inlineStr">
        <is>
          <t>100.0</t>
        </is>
      </c>
      <c r="N75" s="5" t="inlineStr">
        <is>
          <t>YES</t>
        </is>
      </c>
    </row>
    <row r="76">
      <c r="A76" s="6" t="n">
        <v>166</v>
      </c>
      <c r="B76" s="5" t="inlineStr">
        <is>
          <t>S2</t>
        </is>
      </c>
      <c r="C76" s="5" t="inlineStr">
        <is>
          <t>7: Perfused reconstructed skin-on-chip for transdermal diffusion</t>
        </is>
      </c>
      <c r="D76" s="5" t="inlineStr">
        <is>
          <t>In silico approach for validating organ-on-chips: exemplifying through a skin-on-chip device</t>
        </is>
      </c>
      <c r="E76" s="5" t="inlineStr">
        <is>
          <t>10.1007/s10404-025-02863-y</t>
        </is>
      </c>
      <c r="G76" s="5" t="inlineStr">
        <is>
          <t>No direct wound injury or closure</t>
        </is>
      </c>
      <c r="H76" s="6" t="inlineStr">
        <is>
          <t>1</t>
        </is>
      </c>
      <c r="K76" s="5" t="inlineStr">
        <is>
          <t>Provided article-level Table S2 coding (renumbered to current main bibliography)</t>
        </is>
      </c>
      <c r="L76" s="5" t="inlineStr">
        <is>
          <t>https://doi.org/10.1007/s10404-025-02863-y</t>
        </is>
      </c>
      <c r="M76" s="5" t="inlineStr">
        <is>
          <t>100.0</t>
        </is>
      </c>
      <c r="N76" s="5" t="inlineStr">
        <is>
          <t>YES</t>
        </is>
      </c>
    </row>
    <row r="77">
      <c r="A77" s="6" t="n">
        <v>58</v>
      </c>
      <c r="B77" s="5" t="inlineStr">
        <is>
          <t>S2</t>
        </is>
      </c>
      <c r="C77" s="5" t="inlineStr">
        <is>
          <t>12: Perfused inflammatory full-thickness skin-on-chip model for drug-response testing</t>
        </is>
      </c>
      <c r="D77" s="5" t="inlineStr">
        <is>
          <t>Analysis of drug efficacy for inflammatory skin on an organ-chip system</t>
        </is>
      </c>
      <c r="E77" s="5" t="n"/>
      <c r="G77" s="5" t="inlineStr">
        <is>
          <t>No direct wound injury or closure</t>
        </is>
      </c>
      <c r="H77" s="6" t="inlineStr">
        <is>
          <t>1</t>
        </is>
      </c>
      <c r="K77" s="5" t="inlineStr">
        <is>
          <t>Source-specific correction from Quan et al. 2022, not Gard et al. 2023; full-text primary source verified. Provided article-level Table S2 coding (renumbered to current main bibliography)</t>
        </is>
      </c>
      <c r="L77" s="5" t="inlineStr">
        <is>
          <t>https://doi.org/10.3389/fbioe.2022.939629</t>
        </is>
      </c>
      <c r="M77" s="5" t="inlineStr">
        <is>
          <t>100.0</t>
        </is>
      </c>
      <c r="N77" s="5" t="inlineStr">
        <is>
          <t>YES</t>
        </is>
      </c>
    </row>
    <row r="78">
      <c r="A78" s="6" t="n">
        <v>169</v>
      </c>
      <c r="B78" s="5" t="inlineStr">
        <is>
          <t>S2</t>
        </is>
      </c>
      <c r="C78" s="5" t="inlineStr">
        <is>
          <t>13: Infection-activated vessel-on-chip</t>
        </is>
      </c>
      <c r="D78" s="5" t="inlineStr">
        <is>
          <t>An in vitro human vessel model to study Neisseria meningitidis colonization and vascular damages</t>
        </is>
      </c>
      <c r="E78" s="5" t="inlineStr">
        <is>
          <t>10.7554/eLife.107813</t>
        </is>
      </c>
      <c r="G78" s="5" t="inlineStr">
        <is>
          <t>No direct wound injury or closure</t>
        </is>
      </c>
      <c r="H78" s="6" t="inlineStr">
        <is>
          <t>1</t>
        </is>
      </c>
      <c r="K78" s="5" t="inlineStr">
        <is>
          <t>Provided article-level Table S2 coding (renumbered to current main bibliography)</t>
        </is>
      </c>
      <c r="L78" s="5" t="inlineStr">
        <is>
          <t>https://doi.org/10.7554/eLife.107813</t>
        </is>
      </c>
      <c r="M78" s="5" t="inlineStr">
        <is>
          <t>100.0</t>
        </is>
      </c>
      <c r="N78" s="5" t="inlineStr">
        <is>
          <t>YES</t>
        </is>
      </c>
    </row>
    <row r="79">
      <c r="A79" s="6" t="n">
        <v>181</v>
      </c>
      <c r="B79" s="5" t="inlineStr">
        <is>
          <t>S2</t>
        </is>
      </c>
      <c r="C79" s="5" t="inlineStr">
        <is>
          <t>8: Perfused 3D skin-on-chip for barrier validation and drug permeation</t>
        </is>
      </c>
      <c r="D79" s="5" t="inlineStr">
        <is>
          <t>A 3D microfluidic model for preclinical drug permeation studies: Advancing validation of skin-on-chip technology</t>
        </is>
      </c>
      <c r="E79" s="5" t="inlineStr">
        <is>
          <t>10.1016/j.jpba.2025.117187</t>
        </is>
      </c>
      <c r="G79" s="5" t="inlineStr">
        <is>
          <t>No direct wound injury or closure</t>
        </is>
      </c>
      <c r="H79" s="6" t="inlineStr">
        <is>
          <t>1</t>
        </is>
      </c>
      <c r="K79" s="5" t="inlineStr">
        <is>
          <t>Provided article-level Table S2 coding (renumbered to current main bibliography)</t>
        </is>
      </c>
      <c r="L79" s="5" t="inlineStr">
        <is>
          <t>https://doi.org/10.1016/j.jpba.2025.117187</t>
        </is>
      </c>
      <c r="M79" s="5" t="inlineStr">
        <is>
          <t>100.0</t>
        </is>
      </c>
      <c r="N79" s="5" t="inlineStr">
        <is>
          <t>YES</t>
        </is>
      </c>
    </row>
    <row r="80">
      <c r="A80" s="6" t="n">
        <v>192</v>
      </c>
      <c r="B80" s="5" t="inlineStr">
        <is>
          <t>S2</t>
        </is>
      </c>
      <c r="C80" s="5" t="inlineStr">
        <is>
          <t>9: Ex vivo and surrogate skin dynamic permeation platforms</t>
        </is>
      </c>
      <c r="D80" s="5" t="inlineStr">
        <is>
          <t>Skin-on-a-chip device for ex vivo monitoring of transdermal delivery of drugs—design, fabrication, and testing</t>
        </is>
      </c>
      <c r="E80" s="5" t="inlineStr">
        <is>
          <t>10.3390/pharmaceutics11090445</t>
        </is>
      </c>
      <c r="G80" s="5" t="inlineStr">
        <is>
          <t>No direct wound injury or closure</t>
        </is>
      </c>
      <c r="H80" s="6" t="inlineStr">
        <is>
          <t>1</t>
        </is>
      </c>
      <c r="K80" s="5" t="inlineStr">
        <is>
          <t>Provided article-level Table S2 coding (renumbered to current main bibliography)</t>
        </is>
      </c>
      <c r="L80" s="5" t="inlineStr">
        <is>
          <t>https://doi.org/10.3390/pharmaceutics11090445</t>
        </is>
      </c>
      <c r="M80" s="5" t="inlineStr">
        <is>
          <t>100.0</t>
        </is>
      </c>
      <c r="N80" s="5" t="inlineStr">
        <is>
          <t>YES</t>
        </is>
      </c>
    </row>
    <row r="81">
      <c r="A81" s="6" t="n">
        <v>193</v>
      </c>
      <c r="B81" s="5" t="inlineStr">
        <is>
          <t>S2</t>
        </is>
      </c>
      <c r="C81" s="5" t="inlineStr">
        <is>
          <t>9: Ex vivo and surrogate skin dynamic permeation platforms</t>
        </is>
      </c>
      <c r="D81" s="5" t="inlineStr">
        <is>
          <t>Comparison between Franz diffusion cell and a novel micro-physiological system for in vitro penetration assay using different skin models</t>
        </is>
      </c>
      <c r="E81" s="5" t="inlineStr">
        <is>
          <t>10.1016/j.slast.2021.12.006</t>
        </is>
      </c>
      <c r="G81" s="5" t="inlineStr">
        <is>
          <t>No direct wound injury or closure</t>
        </is>
      </c>
      <c r="H81" s="6" t="inlineStr">
        <is>
          <t>1</t>
        </is>
      </c>
      <c r="K81" s="5" t="inlineStr">
        <is>
          <t>Provided article-level Table S2 coding (renumbered to current main bibliography)</t>
        </is>
      </c>
      <c r="L81" s="5" t="inlineStr">
        <is>
          <t>https://doi.org/10.1016/j.slast.2021.12.006</t>
        </is>
      </c>
      <c r="M81" s="5" t="inlineStr">
        <is>
          <t>100.0</t>
        </is>
      </c>
      <c r="N81" s="5" t="inlineStr">
        <is>
          <t>YES</t>
        </is>
      </c>
    </row>
    <row r="82">
      <c r="A82" s="6" t="n">
        <v>194</v>
      </c>
      <c r="B82" s="5" t="inlineStr">
        <is>
          <t>S2</t>
        </is>
      </c>
      <c r="C82" s="5" t="inlineStr">
        <is>
          <t>10: Skin-linked systemic toxicity chips</t>
        </is>
      </c>
      <c r="D82" s="5" t="inlineStr">
        <is>
          <t>Microphysiological heart–liver body-on-a-chip system with a skin mimic for evaluating topical drug delivery</t>
        </is>
      </c>
      <c r="E82" s="5" t="inlineStr">
        <is>
          <t>10.1039/c9lc00861f</t>
        </is>
      </c>
      <c r="G82" s="5" t="inlineStr">
        <is>
          <t>No direct wound injury or closure</t>
        </is>
      </c>
      <c r="H82" s="6" t="inlineStr">
        <is>
          <t>1</t>
        </is>
      </c>
      <c r="K82" s="5" t="inlineStr">
        <is>
          <t>Provided article-level Table S2 coding (renumbered to current main bibliography)</t>
        </is>
      </c>
      <c r="L82" s="5" t="inlineStr">
        <is>
          <t>https://doi.org/10.1039/c9lc00861f</t>
        </is>
      </c>
      <c r="M82" s="5" t="inlineStr">
        <is>
          <t>100.0</t>
        </is>
      </c>
      <c r="N82" s="5" t="inlineStr">
        <is>
          <t>YES</t>
        </is>
      </c>
    </row>
    <row r="83">
      <c r="A83" s="6" t="n">
        <v>195</v>
      </c>
      <c r="B83" s="5" t="inlineStr">
        <is>
          <t>S2</t>
        </is>
      </c>
      <c r="C83" s="5" t="inlineStr">
        <is>
          <t>10: Skin-linked systemic toxicity chips</t>
        </is>
      </c>
      <c r="D83" s="5" t="inlineStr">
        <is>
          <t>Toxicity of topically applied drugs beyond skin irritation: Static skin model vs</t>
        </is>
      </c>
      <c r="E83" s="5" t="inlineStr">
        <is>
          <t>10.1016/j.ijpharm.2020.119788</t>
        </is>
      </c>
      <c r="G83" s="5" t="inlineStr">
        <is>
          <t>No direct wound injury or closure</t>
        </is>
      </c>
      <c r="H83" s="6" t="inlineStr">
        <is>
          <t>1</t>
        </is>
      </c>
      <c r="K83" s="5" t="inlineStr">
        <is>
          <t>Provided article-level Table S2 coding (renumbered to current main bibliography)</t>
        </is>
      </c>
      <c r="L83" s="5" t="inlineStr">
        <is>
          <t>https://doi.org/10.1016/j.ijpharm.2020.119788</t>
        </is>
      </c>
      <c r="M83" s="5" t="inlineStr">
        <is>
          <t>100.0</t>
        </is>
      </c>
      <c r="N83" s="5" t="inlineStr">
        <is>
          <t>YES</t>
        </is>
      </c>
    </row>
    <row r="84">
      <c r="A84" s="6" t="n">
        <v>196</v>
      </c>
      <c r="B84" s="5" t="inlineStr">
        <is>
          <t>S2</t>
        </is>
      </c>
      <c r="C84" s="5" t="inlineStr">
        <is>
          <t>14: Dynamic reconstructed skin-on-chip for topical sensitizer response</t>
        </is>
      </c>
      <c r="D84" s="5" t="inlineStr">
        <is>
          <t>Proof-of-concept organ-on-chip study: topical cinnamaldehyde exposure of reconstructed human skin with integrated neopapillae cultured under dynamic flow</t>
        </is>
      </c>
      <c r="E84" s="5" t="inlineStr">
        <is>
          <t>10.3390/pharmaceutics14081529</t>
        </is>
      </c>
      <c r="G84" s="5" t="inlineStr">
        <is>
          <t>No direct wound injury or closure</t>
        </is>
      </c>
      <c r="H84" s="6" t="inlineStr">
        <is>
          <t>1</t>
        </is>
      </c>
      <c r="K84" s="5" t="inlineStr">
        <is>
          <t>Provided article-level Table S2 coding (renumbered to current main bibliography)</t>
        </is>
      </c>
      <c r="L84" s="5" t="inlineStr">
        <is>
          <t>https://doi.org/10.3390/pharmaceutics14081529</t>
        </is>
      </c>
      <c r="M84" s="5" t="inlineStr">
        <is>
          <t>100.0</t>
        </is>
      </c>
      <c r="N84" s="5" t="inlineStr">
        <is>
          <t>YES</t>
        </is>
      </c>
    </row>
    <row r="85">
      <c r="A85" s="6" t="n">
        <v>197</v>
      </c>
      <c r="B85" s="5" t="inlineStr">
        <is>
          <t>S2</t>
        </is>
      </c>
      <c r="C85" s="5" t="inlineStr">
        <is>
          <t>15: Perfused inflammatory skin-on-chip with rapid cytokine detection</t>
        </is>
      </c>
      <c r="D85" s="5" t="inlineStr">
        <is>
          <t>Skin-on-a-Chip Coupled with a Rapid Inflammation Detection System for Cosmetic Ingredient Screening</t>
        </is>
      </c>
      <c r="G85" s="5" t="inlineStr">
        <is>
          <t>No direct wound injury or closure</t>
        </is>
      </c>
      <c r="H85" s="6" t="inlineStr">
        <is>
          <t>1</t>
        </is>
      </c>
      <c r="K85" s="5" t="inlineStr">
        <is>
          <t>Provided article-level Table S2 coding (renumbered to current main bibliography)</t>
        </is>
      </c>
      <c r="M85" s="5" t="inlineStr">
        <is>
          <t>100.0</t>
        </is>
      </c>
      <c r="N85" s="5" t="inlineStr">
        <is>
          <t>YES</t>
        </is>
      </c>
    </row>
    <row r="86">
      <c r="A86" s="6" t="n">
        <v>198</v>
      </c>
      <c r="B86" s="5" t="inlineStr">
        <is>
          <t>S2</t>
        </is>
      </c>
      <c r="C86" s="5" t="inlineStr">
        <is>
          <t>16: Epidermal pruritus and barrier-support skin-on-chip</t>
        </is>
      </c>
      <c r="D86" s="5" t="inlineStr">
        <is>
          <t>Skin-on-Chip and clinical evaluation of the soothing potential of a topical natural treatment for atopic-prone skin: An exploratory study</t>
        </is>
      </c>
      <c r="E86" s="5" t="inlineStr">
        <is>
          <t>10.1016/j.biopha.2025.118957</t>
        </is>
      </c>
      <c r="G86" s="5" t="inlineStr">
        <is>
          <t>No direct wound injury or closure</t>
        </is>
      </c>
      <c r="H86" s="6" t="inlineStr">
        <is>
          <t>1</t>
        </is>
      </c>
      <c r="K86" s="5" t="inlineStr">
        <is>
          <t>Provided article-level Table S2 coding (renumbered to current main bibliography)</t>
        </is>
      </c>
      <c r="L86" s="5" t="inlineStr">
        <is>
          <t>https://doi.org/10.1016/j.biopha.2025.118957</t>
        </is>
      </c>
      <c r="M86" s="5" t="inlineStr">
        <is>
          <t>100.0</t>
        </is>
      </c>
      <c r="N86" s="5" t="inlineStr">
        <is>
          <t>YES</t>
        </is>
      </c>
    </row>
    <row r="87">
      <c r="A87" s="6" t="n">
        <v>155</v>
      </c>
      <c r="B87" s="5" t="inlineStr">
        <is>
          <t>S2</t>
        </is>
      </c>
      <c r="C87" s="5" t="inlineStr">
        <is>
          <t>2: Perfused dermal perivascular angiogenesis chip</t>
        </is>
      </c>
      <c r="D87" s="5" t="inlineStr">
        <is>
          <t>A 3D millifluidic model of a dermal perivascular microenvironment on a chip</t>
        </is>
      </c>
      <c r="E87" s="5" t="inlineStr">
        <is>
          <t>10.1039/d4lc00898g</t>
        </is>
      </c>
      <c r="G87" s="5" t="inlineStr">
        <is>
          <t>No infection or biofilm module</t>
        </is>
      </c>
      <c r="H87" s="6" t="inlineStr">
        <is>
          <t>1</t>
        </is>
      </c>
      <c r="K87" s="5" t="inlineStr">
        <is>
          <t>Provided article-level Table S2 coding (renumbered to current main bibliography)</t>
        </is>
      </c>
      <c r="L87" s="5" t="inlineStr">
        <is>
          <t>https://doi.org/10.1039/d4lc00898g</t>
        </is>
      </c>
      <c r="M87" s="5" t="inlineStr">
        <is>
          <t>100.0</t>
        </is>
      </c>
      <c r="N87" s="5" t="inlineStr">
        <is>
          <t>YES</t>
        </is>
      </c>
    </row>
    <row r="88">
      <c r="A88" s="6" t="n">
        <v>158</v>
      </c>
      <c r="B88" s="5" t="inlineStr">
        <is>
          <t>S2</t>
        </is>
      </c>
      <c r="C88" s="5" t="inlineStr">
        <is>
          <t>3: Ex vivo full-thickness human skin microbioreactor</t>
        </is>
      </c>
      <c r="D88" s="5" t="inlineStr">
        <is>
          <t>Design and evaluation of a skin-on-a-chip pumpless microfluidic device</t>
        </is>
      </c>
      <c r="E88" s="5" t="inlineStr">
        <is>
          <t>10.1038/s41598-023-34796-3</t>
        </is>
      </c>
      <c r="G88" s="5" t="inlineStr">
        <is>
          <t>No infection or biofilm module</t>
        </is>
      </c>
      <c r="H88" s="6" t="inlineStr">
        <is>
          <t>1</t>
        </is>
      </c>
      <c r="K88" s="5" t="inlineStr">
        <is>
          <t>Provided article-level Table S2 coding (renumbered to current main bibliography)</t>
        </is>
      </c>
      <c r="L88" s="5" t="inlineStr">
        <is>
          <t>https://doi.org/10.1038/s41598-023-34796-3</t>
        </is>
      </c>
      <c r="M88" s="5" t="inlineStr">
        <is>
          <t>100.0</t>
        </is>
      </c>
      <c r="N88" s="5" t="inlineStr">
        <is>
          <t>YES</t>
        </is>
      </c>
    </row>
    <row r="89">
      <c r="A89" s="6" t="n">
        <v>159</v>
      </c>
      <c r="B89" s="5" t="inlineStr">
        <is>
          <t>S2</t>
        </is>
      </c>
      <c r="C89" s="5" t="inlineStr">
        <is>
          <t>4: Layered tissue-generation chip</t>
        </is>
      </c>
      <c r="D89" s="5" t="inlineStr">
        <is>
          <t>A new microfluidic method enabling the generation of multi-layered tissues-on-chips using skin cells as a proof of concept</t>
        </is>
      </c>
      <c r="E89" s="5" t="inlineStr">
        <is>
          <t>10.1038/s41598-021-91875-z</t>
        </is>
      </c>
      <c r="G89" s="5" t="inlineStr">
        <is>
          <t>No infection or biofilm module</t>
        </is>
      </c>
      <c r="H89" s="6" t="inlineStr">
        <is>
          <t>1</t>
        </is>
      </c>
      <c r="K89" s="5" t="inlineStr">
        <is>
          <t>Provided article-level Table S2 coding (renumbered to current main bibliography)</t>
        </is>
      </c>
      <c r="L89" s="5" t="inlineStr">
        <is>
          <t>https://doi.org/10.1038/s41598-021-91875-z</t>
        </is>
      </c>
      <c r="M89" s="5" t="inlineStr">
        <is>
          <t>100.0</t>
        </is>
      </c>
      <c r="N89" s="5" t="inlineStr">
        <is>
          <t>YES</t>
        </is>
      </c>
    </row>
    <row r="90">
      <c r="A90" s="6" t="n">
        <v>164</v>
      </c>
      <c r="B90" s="5" t="inlineStr">
        <is>
          <t>S2</t>
        </is>
      </c>
      <c r="C90" s="5" t="inlineStr">
        <is>
          <t>5: Oxygen-gradient angiogenesis module</t>
        </is>
      </c>
      <c r="D90" s="5" t="inlineStr">
        <is>
          <t>Studying sprouting angiogenesis under combination of oxygen gradients and co-culture of fibroblasts using microfluidic cell culture model</t>
        </is>
      </c>
      <c r="E90" s="5" t="inlineStr">
        <is>
          <t>10.1016/j.mtbio.2023.100703</t>
        </is>
      </c>
      <c r="G90" s="5" t="inlineStr">
        <is>
          <t>No infection or biofilm module</t>
        </is>
      </c>
      <c r="H90" s="6" t="inlineStr">
        <is>
          <t>1</t>
        </is>
      </c>
      <c r="K90" s="5" t="inlineStr">
        <is>
          <t>Provided article-level Table S2 coding (renumbered to current main bibliography)</t>
        </is>
      </c>
      <c r="L90" s="5" t="inlineStr">
        <is>
          <t>https://doi.org/10.1016/j.mtbio.2023.100703</t>
        </is>
      </c>
      <c r="M90" s="5" t="inlineStr">
        <is>
          <t>100.0</t>
        </is>
      </c>
      <c r="N90" s="5" t="inlineStr">
        <is>
          <t>YES</t>
        </is>
      </c>
    </row>
    <row r="91">
      <c r="A91" s="6" t="n">
        <v>166</v>
      </c>
      <c r="B91" s="5" t="inlineStr">
        <is>
          <t>S2</t>
        </is>
      </c>
      <c r="C91" s="5" t="inlineStr">
        <is>
          <t>7: Perfused reconstructed skin-on-chip for transdermal diffusion</t>
        </is>
      </c>
      <c r="D91" s="5" t="inlineStr">
        <is>
          <t>In silico approach for validating organ-on-chips: exemplifying through a skin-on-chip device</t>
        </is>
      </c>
      <c r="E91" s="5" t="inlineStr">
        <is>
          <t>10.1007/s10404-025-02863-y</t>
        </is>
      </c>
      <c r="G91" s="5" t="inlineStr">
        <is>
          <t>No infection or biofilm module</t>
        </is>
      </c>
      <c r="H91" s="6" t="inlineStr">
        <is>
          <t>1</t>
        </is>
      </c>
      <c r="K91" s="5" t="inlineStr">
        <is>
          <t>Provided article-level Table S2 coding (renumbered to current main bibliography)</t>
        </is>
      </c>
      <c r="L91" s="5" t="inlineStr">
        <is>
          <t>https://doi.org/10.1007/s10404-025-02863-y</t>
        </is>
      </c>
      <c r="M91" s="5" t="inlineStr">
        <is>
          <t>100.0</t>
        </is>
      </c>
      <c r="N91" s="5" t="inlineStr">
        <is>
          <t>YES</t>
        </is>
      </c>
    </row>
    <row r="92">
      <c r="A92" s="6" t="n">
        <v>58</v>
      </c>
      <c r="B92" s="5" t="inlineStr">
        <is>
          <t>S2</t>
        </is>
      </c>
      <c r="C92" s="5" t="inlineStr">
        <is>
          <t>12: Perfused inflammatory full-thickness skin-on-chip model for drug-response testing</t>
        </is>
      </c>
      <c r="D92" s="5" t="inlineStr">
        <is>
          <t>Analysis of drug efficacy for inflammatory skin on an organ-chip system</t>
        </is>
      </c>
      <c r="E92" s="5" t="n"/>
      <c r="G92" s="5" t="inlineStr">
        <is>
          <t>No infection or biofilm module</t>
        </is>
      </c>
      <c r="H92" s="6" t="inlineStr">
        <is>
          <t>0</t>
        </is>
      </c>
      <c r="K92" s="5" t="inlineStr">
        <is>
          <t>Source-specific correction from Quan et al. 2022, not Gard et al. 2023; full-text primary source verified. Provided article-level Table S2 coding (renumbered to current main bibliography)</t>
        </is>
      </c>
      <c r="L92" s="5" t="inlineStr">
        <is>
          <t>https://doi.org/10.3389/fbioe.2022.939629</t>
        </is>
      </c>
      <c r="M92" s="5" t="inlineStr">
        <is>
          <t>100.0</t>
        </is>
      </c>
      <c r="N92" s="5" t="inlineStr">
        <is>
          <t>YES</t>
        </is>
      </c>
    </row>
    <row r="93">
      <c r="A93" s="6" t="n">
        <v>181</v>
      </c>
      <c r="B93" s="5" t="inlineStr">
        <is>
          <t>S2</t>
        </is>
      </c>
      <c r="C93" s="5" t="inlineStr">
        <is>
          <t>8: Perfused 3D skin-on-chip for barrier validation and drug permeation</t>
        </is>
      </c>
      <c r="D93" s="5" t="inlineStr">
        <is>
          <t>A 3D microfluidic model for preclinical drug permeation studies: Advancing validation of skin-on-chip technology</t>
        </is>
      </c>
      <c r="E93" s="5" t="inlineStr">
        <is>
          <t>10.1016/j.jpba.2025.117187</t>
        </is>
      </c>
      <c r="G93" s="5" t="inlineStr">
        <is>
          <t>No infection or biofilm module</t>
        </is>
      </c>
      <c r="H93" s="6" t="inlineStr">
        <is>
          <t>1</t>
        </is>
      </c>
      <c r="K93" s="5" t="inlineStr">
        <is>
          <t>Provided article-level Table S2 coding (renumbered to current main bibliography)</t>
        </is>
      </c>
      <c r="L93" s="5" t="inlineStr">
        <is>
          <t>https://doi.org/10.1016/j.jpba.2025.117187</t>
        </is>
      </c>
      <c r="M93" s="5" t="inlineStr">
        <is>
          <t>100.0</t>
        </is>
      </c>
      <c r="N93" s="5" t="inlineStr">
        <is>
          <t>YES</t>
        </is>
      </c>
    </row>
    <row r="94">
      <c r="A94" s="6" t="n">
        <v>188</v>
      </c>
      <c r="B94" s="5" t="inlineStr">
        <is>
          <t>S2</t>
        </is>
      </c>
      <c r="C94" s="5" t="inlineStr">
        <is>
          <t>22: Closed-loop wound-management platform with on-chip inference and drug delivery</t>
        </is>
      </c>
      <c r="D94" s="5" t="inlineStr">
        <is>
          <t>Smart Wound Management System Capable of On‐Chip Machine Learning and Closed‐Loop Therapeutic Feedback</t>
        </is>
      </c>
      <c r="E94" s="5" t="inlineStr">
        <is>
          <t>10.1002/adfm.202522329</t>
        </is>
      </c>
      <c r="G94" s="5" t="inlineStr">
        <is>
          <t>No infection or biofilm module</t>
        </is>
      </c>
      <c r="H94" s="6" t="inlineStr">
        <is>
          <t>1</t>
        </is>
      </c>
      <c r="K94" s="5" t="inlineStr">
        <is>
          <t>Provided article-level Table S2 coding (renumbered to current main bibliography)</t>
        </is>
      </c>
      <c r="L94" s="5" t="inlineStr">
        <is>
          <t>https://doi.org/10.1002/adfm.202522329</t>
        </is>
      </c>
      <c r="M94" s="5" t="inlineStr">
        <is>
          <t>100.0</t>
        </is>
      </c>
      <c r="N94" s="5" t="inlineStr">
        <is>
          <t>YES</t>
        </is>
      </c>
    </row>
    <row r="95">
      <c r="A95" s="6" t="n">
        <v>192</v>
      </c>
      <c r="B95" s="5" t="inlineStr">
        <is>
          <t>S2</t>
        </is>
      </c>
      <c r="C95" s="5" t="inlineStr">
        <is>
          <t>9: Ex vivo and surrogate skin dynamic permeation platforms</t>
        </is>
      </c>
      <c r="D95" s="5" t="inlineStr">
        <is>
          <t>Skin-on-a-chip device for ex vivo monitoring of transdermal delivery of drugs—design, fabrication, and testing</t>
        </is>
      </c>
      <c r="E95" s="5" t="inlineStr">
        <is>
          <t>10.3390/pharmaceutics11090445</t>
        </is>
      </c>
      <c r="G95" s="5" t="inlineStr">
        <is>
          <t>No infection or biofilm module</t>
        </is>
      </c>
      <c r="H95" s="6" t="inlineStr">
        <is>
          <t>1</t>
        </is>
      </c>
      <c r="K95" s="5" t="inlineStr">
        <is>
          <t>Provided article-level Table S2 coding (renumbered to current main bibliography)</t>
        </is>
      </c>
      <c r="L95" s="5" t="inlineStr">
        <is>
          <t>https://doi.org/10.3390/pharmaceutics11090445</t>
        </is>
      </c>
      <c r="M95" s="5" t="inlineStr">
        <is>
          <t>100.0</t>
        </is>
      </c>
      <c r="N95" s="5" t="inlineStr">
        <is>
          <t>YES</t>
        </is>
      </c>
    </row>
    <row r="96">
      <c r="A96" s="6" t="n">
        <v>193</v>
      </c>
      <c r="B96" s="5" t="inlineStr">
        <is>
          <t>S2</t>
        </is>
      </c>
      <c r="C96" s="5" t="inlineStr">
        <is>
          <t>9: Ex vivo and surrogate skin dynamic permeation platforms</t>
        </is>
      </c>
      <c r="D96" s="5" t="inlineStr">
        <is>
          <t>Comparison between Franz diffusion cell and a novel micro-physiological system for in vitro penetration assay using different skin models</t>
        </is>
      </c>
      <c r="E96" s="5" t="inlineStr">
        <is>
          <t>10.1016/j.slast.2021.12.006</t>
        </is>
      </c>
      <c r="G96" s="5" t="inlineStr">
        <is>
          <t>No infection or biofilm module</t>
        </is>
      </c>
      <c r="H96" s="6" t="inlineStr">
        <is>
          <t>1</t>
        </is>
      </c>
      <c r="K96" s="5" t="inlineStr">
        <is>
          <t>Provided article-level Table S2 coding (renumbered to current main bibliography)</t>
        </is>
      </c>
      <c r="L96" s="5" t="inlineStr">
        <is>
          <t>https://doi.org/10.1016/j.slast.2021.12.006</t>
        </is>
      </c>
      <c r="M96" s="5" t="inlineStr">
        <is>
          <t>100.0</t>
        </is>
      </c>
      <c r="N96" s="5" t="inlineStr">
        <is>
          <t>YES</t>
        </is>
      </c>
    </row>
    <row r="97">
      <c r="A97" s="6" t="n">
        <v>194</v>
      </c>
      <c r="B97" s="5" t="inlineStr">
        <is>
          <t>S2</t>
        </is>
      </c>
      <c r="C97" s="5" t="inlineStr">
        <is>
          <t>10: Skin-linked systemic toxicity chips</t>
        </is>
      </c>
      <c r="D97" s="5" t="inlineStr">
        <is>
          <t>Microphysiological heart–liver body-on-a-chip system with a skin mimic for evaluating topical drug delivery</t>
        </is>
      </c>
      <c r="E97" s="5" t="inlineStr">
        <is>
          <t>10.1039/c9lc00861f</t>
        </is>
      </c>
      <c r="G97" s="5" t="inlineStr">
        <is>
          <t>No infection or biofilm module</t>
        </is>
      </c>
      <c r="H97" s="6" t="inlineStr">
        <is>
          <t>1</t>
        </is>
      </c>
      <c r="K97" s="5" t="inlineStr">
        <is>
          <t>Provided article-level Table S2 coding (renumbered to current main bibliography)</t>
        </is>
      </c>
      <c r="L97" s="5" t="inlineStr">
        <is>
          <t>https://doi.org/10.1039/c9lc00861f</t>
        </is>
      </c>
      <c r="M97" s="5" t="inlineStr">
        <is>
          <t>100.0</t>
        </is>
      </c>
      <c r="N97" s="5" t="inlineStr">
        <is>
          <t>YES</t>
        </is>
      </c>
    </row>
    <row r="98">
      <c r="A98" s="6" t="n">
        <v>195</v>
      </c>
      <c r="B98" s="5" t="inlineStr">
        <is>
          <t>S2</t>
        </is>
      </c>
      <c r="C98" s="5" t="inlineStr">
        <is>
          <t>10: Skin-linked systemic toxicity chips</t>
        </is>
      </c>
      <c r="D98" s="5" t="inlineStr">
        <is>
          <t>Toxicity of topically applied drugs beyond skin irritation: Static skin model vs</t>
        </is>
      </c>
      <c r="E98" s="5" t="inlineStr">
        <is>
          <t>10.1016/j.ijpharm.2020.119788</t>
        </is>
      </c>
      <c r="G98" s="5" t="inlineStr">
        <is>
          <t>No infection or biofilm module</t>
        </is>
      </c>
      <c r="H98" s="6" t="inlineStr">
        <is>
          <t>1</t>
        </is>
      </c>
      <c r="K98" s="5" t="inlineStr">
        <is>
          <t>Provided article-level Table S2 coding (renumbered to current main bibliography)</t>
        </is>
      </c>
      <c r="L98" s="5" t="inlineStr">
        <is>
          <t>https://doi.org/10.1016/j.ijpharm.2020.119788</t>
        </is>
      </c>
      <c r="M98" s="5" t="inlineStr">
        <is>
          <t>100.0</t>
        </is>
      </c>
      <c r="N98" s="5" t="inlineStr">
        <is>
          <t>YES</t>
        </is>
      </c>
    </row>
    <row r="99">
      <c r="A99" s="6" t="n">
        <v>196</v>
      </c>
      <c r="B99" s="5" t="inlineStr">
        <is>
          <t>S2</t>
        </is>
      </c>
      <c r="C99" s="5" t="inlineStr">
        <is>
          <t>14: Dynamic reconstructed skin-on-chip for topical sensitizer response</t>
        </is>
      </c>
      <c r="D99" s="5" t="inlineStr">
        <is>
          <t>Proof-of-concept organ-on-chip study: topical cinnamaldehyde exposure of reconstructed human skin with integrated neopapillae cultured under dynamic flow</t>
        </is>
      </c>
      <c r="E99" s="5" t="inlineStr">
        <is>
          <t>10.3390/pharmaceutics14081529</t>
        </is>
      </c>
      <c r="G99" s="5" t="inlineStr">
        <is>
          <t>No infection or biofilm module</t>
        </is>
      </c>
      <c r="H99" s="6" t="inlineStr">
        <is>
          <t>1</t>
        </is>
      </c>
      <c r="K99" s="5" t="inlineStr">
        <is>
          <t>Provided article-level Table S2 coding (renumbered to current main bibliography)</t>
        </is>
      </c>
      <c r="L99" s="5" t="inlineStr">
        <is>
          <t>https://doi.org/10.3390/pharmaceutics14081529</t>
        </is>
      </c>
      <c r="M99" s="5" t="inlineStr">
        <is>
          <t>100.0</t>
        </is>
      </c>
      <c r="N99" s="5" t="inlineStr">
        <is>
          <t>YES</t>
        </is>
      </c>
    </row>
    <row r="100">
      <c r="A100" s="6" t="n">
        <v>198</v>
      </c>
      <c r="B100" s="5" t="inlineStr">
        <is>
          <t>S2</t>
        </is>
      </c>
      <c r="C100" s="5" t="inlineStr">
        <is>
          <t>16: Epidermal pruritus and barrier-support skin-on-chip</t>
        </is>
      </c>
      <c r="D100" s="5" t="inlineStr">
        <is>
          <t>Skin-on-Chip and clinical evaluation of the soothing potential of a topical natural treatment for atopic-prone skin: An exploratory study</t>
        </is>
      </c>
      <c r="E100" s="5" t="inlineStr">
        <is>
          <t>10.1016/j.biopha.2025.118957</t>
        </is>
      </c>
      <c r="G100" s="5" t="inlineStr">
        <is>
          <t>No infection or biofilm module</t>
        </is>
      </c>
      <c r="H100" s="6" t="inlineStr">
        <is>
          <t>1</t>
        </is>
      </c>
      <c r="K100" s="5" t="inlineStr">
        <is>
          <t>Provided article-level Table S2 coding (renumbered to current main bibliography)</t>
        </is>
      </c>
      <c r="L100" s="5" t="inlineStr">
        <is>
          <t>https://doi.org/10.1016/j.biopha.2025.118957</t>
        </is>
      </c>
      <c r="M100" s="5" t="inlineStr">
        <is>
          <t>100.0</t>
        </is>
      </c>
      <c r="N100" s="5" t="inlineStr">
        <is>
          <t>YES</t>
        </is>
      </c>
    </row>
    <row r="101">
      <c r="A101" s="6" t="n">
        <v>155</v>
      </c>
      <c r="B101" s="5" t="inlineStr">
        <is>
          <t>S2</t>
        </is>
      </c>
      <c r="C101" s="5" t="inlineStr">
        <is>
          <t>2: Perfused dermal perivascular angiogenesis chip</t>
        </is>
      </c>
      <c r="D101" s="5" t="inlineStr">
        <is>
          <t>A 3D millifluidic model of a dermal perivascular microenvironment on a chip</t>
        </is>
      </c>
      <c r="E101" s="5" t="inlineStr">
        <is>
          <t>10.1039/d4lc00898g</t>
        </is>
      </c>
      <c r="G101" s="5" t="inlineStr">
        <is>
          <t>No wound-repair therapeutic testing</t>
        </is>
      </c>
      <c r="H101" s="6" t="inlineStr">
        <is>
          <t>1</t>
        </is>
      </c>
      <c r="K101" s="5" t="inlineStr">
        <is>
          <t>Provided article-level Table S2 coding (renumbered to current main bibliography)</t>
        </is>
      </c>
      <c r="L101" s="5" t="inlineStr">
        <is>
          <t>https://doi.org/10.1039/d4lc00898g</t>
        </is>
      </c>
      <c r="M101" s="5" t="inlineStr">
        <is>
          <t>100.0</t>
        </is>
      </c>
      <c r="N101" s="5" t="inlineStr">
        <is>
          <t>YES</t>
        </is>
      </c>
    </row>
    <row r="102">
      <c r="A102" s="6" t="n">
        <v>158</v>
      </c>
      <c r="B102" s="5" t="inlineStr">
        <is>
          <t>S2</t>
        </is>
      </c>
      <c r="C102" s="5" t="inlineStr">
        <is>
          <t>3: Ex vivo full-thickness human skin microbioreactor</t>
        </is>
      </c>
      <c r="D102" s="5" t="inlineStr">
        <is>
          <t>Design and evaluation of a skin-on-a-chip pumpless microfluidic device</t>
        </is>
      </c>
      <c r="E102" s="5" t="inlineStr">
        <is>
          <t>10.1038/s41598-023-34796-3</t>
        </is>
      </c>
      <c r="G102" s="5" t="inlineStr">
        <is>
          <t>No wound-repair therapeutic testing</t>
        </is>
      </c>
      <c r="H102" s="6" t="inlineStr">
        <is>
          <t>1</t>
        </is>
      </c>
      <c r="K102" s="5" t="inlineStr">
        <is>
          <t>Provided article-level Table S2 coding (renumbered to current main bibliography)</t>
        </is>
      </c>
      <c r="L102" s="5" t="inlineStr">
        <is>
          <t>https://doi.org/10.1038/s41598-023-34796-3</t>
        </is>
      </c>
      <c r="M102" s="5" t="inlineStr">
        <is>
          <t>100.0</t>
        </is>
      </c>
      <c r="N102" s="5" t="inlineStr">
        <is>
          <t>YES</t>
        </is>
      </c>
    </row>
    <row r="103">
      <c r="A103" s="6" t="n">
        <v>159</v>
      </c>
      <c r="B103" s="5" t="inlineStr">
        <is>
          <t>S2</t>
        </is>
      </c>
      <c r="C103" s="5" t="inlineStr">
        <is>
          <t>4: Layered tissue-generation chip</t>
        </is>
      </c>
      <c r="D103" s="5" t="inlineStr">
        <is>
          <t>A new microfluidic method enabling the generation of multi-layered tissues-on-chips using skin cells as a proof of concept</t>
        </is>
      </c>
      <c r="E103" s="5" t="inlineStr">
        <is>
          <t>10.1038/s41598-021-91875-z</t>
        </is>
      </c>
      <c r="G103" s="5" t="inlineStr">
        <is>
          <t>No wound-repair therapeutic testing</t>
        </is>
      </c>
      <c r="H103" s="6" t="inlineStr">
        <is>
          <t>1</t>
        </is>
      </c>
      <c r="K103" s="5" t="inlineStr">
        <is>
          <t>Provided article-level Table S2 coding (renumbered to current main bibliography)</t>
        </is>
      </c>
      <c r="L103" s="5" t="inlineStr">
        <is>
          <t>https://doi.org/10.1038/s41598-021-91875-z</t>
        </is>
      </c>
      <c r="M103" s="5" t="inlineStr">
        <is>
          <t>100.0</t>
        </is>
      </c>
      <c r="N103" s="5" t="inlineStr">
        <is>
          <t>YES</t>
        </is>
      </c>
    </row>
    <row r="104">
      <c r="A104" s="6" t="n">
        <v>164</v>
      </c>
      <c r="B104" s="5" t="inlineStr">
        <is>
          <t>S2</t>
        </is>
      </c>
      <c r="C104" s="5" t="inlineStr">
        <is>
          <t>5: Oxygen-gradient angiogenesis module</t>
        </is>
      </c>
      <c r="D104" s="5" t="inlineStr">
        <is>
          <t>Studying sprouting angiogenesis under combination of oxygen gradients and co-culture of fibroblasts using microfluidic cell culture model</t>
        </is>
      </c>
      <c r="E104" s="5" t="inlineStr">
        <is>
          <t>10.1016/j.mtbio.2023.100703</t>
        </is>
      </c>
      <c r="G104" s="5" t="inlineStr">
        <is>
          <t>No wound-repair therapeutic testing</t>
        </is>
      </c>
      <c r="H104" s="6" t="inlineStr">
        <is>
          <t>1</t>
        </is>
      </c>
      <c r="K104" s="5" t="inlineStr">
        <is>
          <t>Provided article-level Table S2 coding (renumbered to current main bibliography)</t>
        </is>
      </c>
      <c r="L104" s="5" t="inlineStr">
        <is>
          <t>https://doi.org/10.1016/j.mtbio.2023.100703</t>
        </is>
      </c>
      <c r="M104" s="5" t="inlineStr">
        <is>
          <t>100.0</t>
        </is>
      </c>
      <c r="N104" s="5" t="inlineStr">
        <is>
          <t>YES</t>
        </is>
      </c>
    </row>
    <row r="105">
      <c r="A105" s="6" t="n">
        <v>166</v>
      </c>
      <c r="B105" s="5" t="inlineStr">
        <is>
          <t>S2</t>
        </is>
      </c>
      <c r="C105" s="5" t="inlineStr">
        <is>
          <t>7: Perfused reconstructed skin-on-chip for transdermal diffusion</t>
        </is>
      </c>
      <c r="D105" s="5" t="inlineStr">
        <is>
          <t>In silico approach for validating organ-on-chips: exemplifying through a skin-on-chip device</t>
        </is>
      </c>
      <c r="E105" s="5" t="inlineStr">
        <is>
          <t>10.1007/s10404-025-02863-y</t>
        </is>
      </c>
      <c r="G105" s="5" t="inlineStr">
        <is>
          <t>No wound-repair therapeutic testing</t>
        </is>
      </c>
      <c r="H105" s="6" t="inlineStr">
        <is>
          <t>1</t>
        </is>
      </c>
      <c r="K105" s="5" t="inlineStr">
        <is>
          <t>Provided article-level Table S2 coding (renumbered to current main bibliography)</t>
        </is>
      </c>
      <c r="L105" s="5" t="inlineStr">
        <is>
          <t>https://doi.org/10.1007/s10404-025-02863-y</t>
        </is>
      </c>
      <c r="M105" s="5" t="inlineStr">
        <is>
          <t>100.0</t>
        </is>
      </c>
      <c r="N105" s="5" t="inlineStr">
        <is>
          <t>YES</t>
        </is>
      </c>
    </row>
    <row r="106">
      <c r="A106" s="6" t="n">
        <v>169</v>
      </c>
      <c r="B106" s="5" t="inlineStr">
        <is>
          <t>S2</t>
        </is>
      </c>
      <c r="C106" s="5" t="inlineStr">
        <is>
          <t>13: Infection-activated vessel-on-chip</t>
        </is>
      </c>
      <c r="D106" s="5" t="inlineStr">
        <is>
          <t>An in vitro human vessel model to study Neisseria meningitidis colonization and vascular damages</t>
        </is>
      </c>
      <c r="E106" s="5" t="inlineStr">
        <is>
          <t>10.7554/eLife.107813</t>
        </is>
      </c>
      <c r="G106" s="5" t="inlineStr">
        <is>
          <t>No wound-repair therapeutic testing</t>
        </is>
      </c>
      <c r="H106" s="6" t="inlineStr">
        <is>
          <t>1</t>
        </is>
      </c>
      <c r="K106" s="5" t="inlineStr">
        <is>
          <t>Provided article-level Table S2 coding (renumbered to current main bibliography)</t>
        </is>
      </c>
      <c r="L106" s="5" t="inlineStr">
        <is>
          <t>https://doi.org/10.7554/eLife.107813</t>
        </is>
      </c>
      <c r="M106" s="5" t="inlineStr">
        <is>
          <t>100.0</t>
        </is>
      </c>
      <c r="N106" s="5" t="inlineStr">
        <is>
          <t>YES</t>
        </is>
      </c>
    </row>
    <row r="107">
      <c r="A107" s="6" t="n">
        <v>181</v>
      </c>
      <c r="B107" s="5" t="inlineStr">
        <is>
          <t>S2</t>
        </is>
      </c>
      <c r="C107" s="5" t="inlineStr">
        <is>
          <t>8: Perfused 3D skin-on-chip for barrier validation and drug permeation</t>
        </is>
      </c>
      <c r="D107" s="5" t="inlineStr">
        <is>
          <t>A 3D microfluidic model for preclinical drug permeation studies: Advancing validation of skin-on-chip technology</t>
        </is>
      </c>
      <c r="E107" s="5" t="inlineStr">
        <is>
          <t>10.1016/j.jpba.2025.117187</t>
        </is>
      </c>
      <c r="G107" s="5" t="inlineStr">
        <is>
          <t>No wound-repair therapeutic testing</t>
        </is>
      </c>
      <c r="H107" s="6" t="inlineStr">
        <is>
          <t>1</t>
        </is>
      </c>
      <c r="K107" s="5" t="inlineStr">
        <is>
          <t>Provided article-level Table S2 coding (renumbered to current main bibliography)</t>
        </is>
      </c>
      <c r="L107" s="5" t="inlineStr">
        <is>
          <t>https://doi.org/10.1016/j.jpba.2025.117187</t>
        </is>
      </c>
      <c r="M107" s="5" t="inlineStr">
        <is>
          <t>100.0</t>
        </is>
      </c>
      <c r="N107" s="5" t="inlineStr">
        <is>
          <t>YES</t>
        </is>
      </c>
    </row>
    <row r="108">
      <c r="A108" s="6" t="n">
        <v>183</v>
      </c>
      <c r="B108" s="5" t="inlineStr">
        <is>
          <t>S2</t>
        </is>
      </c>
      <c r="C108" s="5" t="inlineStr">
        <is>
          <t>19: Battery-free lactate prognostic wound monitor</t>
        </is>
      </c>
      <c r="D108" s="5" t="inlineStr">
        <is>
          <t>A miniaturized, battery‐free, wireless wound monitor that predicts wound closure rate early</t>
        </is>
      </c>
      <c r="E108" s="5" t="inlineStr">
        <is>
          <t>10.1002/adhm.202301280</t>
        </is>
      </c>
      <c r="G108" s="5" t="inlineStr">
        <is>
          <t>No wound-repair therapeutic testing</t>
        </is>
      </c>
      <c r="H108" s="6" t="inlineStr">
        <is>
          <t>1</t>
        </is>
      </c>
      <c r="K108" s="5" t="inlineStr">
        <is>
          <t>Provided article-level Table S2 coding (renumbered to current main bibliography)</t>
        </is>
      </c>
      <c r="L108" s="5" t="inlineStr">
        <is>
          <t>https://doi.org/10.1002/adhm.202301280</t>
        </is>
      </c>
      <c r="M108" s="5" t="inlineStr">
        <is>
          <t>100.0</t>
        </is>
      </c>
      <c r="N108" s="5" t="inlineStr">
        <is>
          <t>YES</t>
        </is>
      </c>
    </row>
    <row r="109">
      <c r="A109" s="6" t="n">
        <v>192</v>
      </c>
      <c r="B109" s="5" t="inlineStr">
        <is>
          <t>S2</t>
        </is>
      </c>
      <c r="C109" s="5" t="inlineStr">
        <is>
          <t>9: Ex vivo and surrogate skin dynamic permeation platforms</t>
        </is>
      </c>
      <c r="D109" s="5" t="inlineStr">
        <is>
          <t>Skin-on-a-chip device for ex vivo monitoring of transdermal delivery of drugs—design, fabrication, and testing</t>
        </is>
      </c>
      <c r="E109" s="5" t="inlineStr">
        <is>
          <t>10.3390/pharmaceutics11090445</t>
        </is>
      </c>
      <c r="G109" s="5" t="inlineStr">
        <is>
          <t>No wound-repair therapeutic testing</t>
        </is>
      </c>
      <c r="H109" s="6" t="inlineStr">
        <is>
          <t>1</t>
        </is>
      </c>
      <c r="K109" s="5" t="inlineStr">
        <is>
          <t>Provided article-level Table S2 coding (renumbered to current main bibliography)</t>
        </is>
      </c>
      <c r="L109" s="5" t="inlineStr">
        <is>
          <t>https://doi.org/10.3390/pharmaceutics11090445</t>
        </is>
      </c>
      <c r="M109" s="5" t="inlineStr">
        <is>
          <t>100.0</t>
        </is>
      </c>
      <c r="N109" s="5" t="inlineStr">
        <is>
          <t>YES</t>
        </is>
      </c>
    </row>
    <row r="110">
      <c r="A110" s="6" t="n">
        <v>193</v>
      </c>
      <c r="B110" s="5" t="inlineStr">
        <is>
          <t>S2</t>
        </is>
      </c>
      <c r="C110" s="5" t="inlineStr">
        <is>
          <t>9: Ex vivo and surrogate skin dynamic permeation platforms</t>
        </is>
      </c>
      <c r="D110" s="5" t="inlineStr">
        <is>
          <t>Comparison between Franz diffusion cell and a novel micro-physiological system for in vitro penetration assay using different skin models</t>
        </is>
      </c>
      <c r="E110" s="5" t="inlineStr">
        <is>
          <t>10.1016/j.slast.2021.12.006</t>
        </is>
      </c>
      <c r="G110" s="5" t="inlineStr">
        <is>
          <t>No wound-repair therapeutic testing</t>
        </is>
      </c>
      <c r="H110" s="6" t="inlineStr">
        <is>
          <t>1</t>
        </is>
      </c>
      <c r="K110" s="5" t="inlineStr">
        <is>
          <t>Provided article-level Table S2 coding (renumbered to current main bibliography)</t>
        </is>
      </c>
      <c r="L110" s="5" t="inlineStr">
        <is>
          <t>https://doi.org/10.1016/j.slast.2021.12.006</t>
        </is>
      </c>
      <c r="M110" s="5" t="inlineStr">
        <is>
          <t>100.0</t>
        </is>
      </c>
      <c r="N110" s="5" t="inlineStr">
        <is>
          <t>YES</t>
        </is>
      </c>
    </row>
    <row r="111">
      <c r="A111" s="6" t="n">
        <v>194</v>
      </c>
      <c r="B111" s="5" t="inlineStr">
        <is>
          <t>S2</t>
        </is>
      </c>
      <c r="C111" s="5" t="inlineStr">
        <is>
          <t>10: Skin-linked systemic toxicity chips</t>
        </is>
      </c>
      <c r="D111" s="5" t="inlineStr">
        <is>
          <t>Microphysiological heart–liver body-on-a-chip system with a skin mimic for evaluating topical drug delivery</t>
        </is>
      </c>
      <c r="E111" s="5" t="inlineStr">
        <is>
          <t>10.1039/c9lc00861f</t>
        </is>
      </c>
      <c r="G111" s="5" t="inlineStr">
        <is>
          <t>No wound-repair therapeutic testing</t>
        </is>
      </c>
      <c r="H111" s="6" t="inlineStr">
        <is>
          <t>1</t>
        </is>
      </c>
      <c r="K111" s="5" t="inlineStr">
        <is>
          <t>Provided article-level Table S2 coding (renumbered to current main bibliography)</t>
        </is>
      </c>
      <c r="L111" s="5" t="inlineStr">
        <is>
          <t>https://doi.org/10.1039/c9lc00861f</t>
        </is>
      </c>
      <c r="M111" s="5" t="inlineStr">
        <is>
          <t>100.0</t>
        </is>
      </c>
      <c r="N111" s="5" t="inlineStr">
        <is>
          <t>YES</t>
        </is>
      </c>
    </row>
    <row r="112">
      <c r="A112" s="6" t="n">
        <v>195</v>
      </c>
      <c r="B112" s="5" t="inlineStr">
        <is>
          <t>S2</t>
        </is>
      </c>
      <c r="C112" s="5" t="inlineStr">
        <is>
          <t>10: Skin-linked systemic toxicity chips</t>
        </is>
      </c>
      <c r="D112" s="5" t="inlineStr">
        <is>
          <t>Toxicity of topically applied drugs beyond skin irritation: Static skin model vs</t>
        </is>
      </c>
      <c r="E112" s="5" t="inlineStr">
        <is>
          <t>10.1016/j.ijpharm.2020.119788</t>
        </is>
      </c>
      <c r="G112" s="5" t="inlineStr">
        <is>
          <t>No wound-repair therapeutic testing</t>
        </is>
      </c>
      <c r="H112" s="6" t="inlineStr">
        <is>
          <t>1</t>
        </is>
      </c>
      <c r="K112" s="5" t="inlineStr">
        <is>
          <t>Provided article-level Table S2 coding (renumbered to current main bibliography)</t>
        </is>
      </c>
      <c r="L112" s="5" t="inlineStr">
        <is>
          <t>https://doi.org/10.1016/j.ijpharm.2020.119788</t>
        </is>
      </c>
      <c r="M112" s="5" t="inlineStr">
        <is>
          <t>100.0</t>
        </is>
      </c>
      <c r="N112" s="5" t="inlineStr">
        <is>
          <t>YES</t>
        </is>
      </c>
    </row>
    <row r="113">
      <c r="A113" s="6" t="n">
        <v>196</v>
      </c>
      <c r="B113" s="5" t="inlineStr">
        <is>
          <t>S2</t>
        </is>
      </c>
      <c r="C113" s="5" t="inlineStr">
        <is>
          <t>14: Dynamic reconstructed skin-on-chip for topical sensitizer response</t>
        </is>
      </c>
      <c r="D113" s="5" t="inlineStr">
        <is>
          <t>Proof-of-concept organ-on-chip study: topical cinnamaldehyde exposure of reconstructed human skin with integrated neopapillae cultured under dynamic flow</t>
        </is>
      </c>
      <c r="E113" s="5" t="inlineStr">
        <is>
          <t>10.3390/pharmaceutics14081529</t>
        </is>
      </c>
      <c r="G113" s="5" t="inlineStr">
        <is>
          <t>No wound-repair therapeutic testing</t>
        </is>
      </c>
      <c r="H113" s="6" t="inlineStr">
        <is>
          <t>1</t>
        </is>
      </c>
      <c r="K113" s="5" t="inlineStr">
        <is>
          <t>Provided article-level Table S2 coding (renumbered to current main bibliography)</t>
        </is>
      </c>
      <c r="L113" s="5" t="inlineStr">
        <is>
          <t>https://doi.org/10.3390/pharmaceutics14081529</t>
        </is>
      </c>
      <c r="M113" s="5" t="inlineStr">
        <is>
          <t>100.0</t>
        </is>
      </c>
      <c r="N113" s="5" t="inlineStr">
        <is>
          <t>YES</t>
        </is>
      </c>
    </row>
    <row r="114">
      <c r="A114" s="6" t="n">
        <v>197</v>
      </c>
      <c r="B114" s="5" t="inlineStr">
        <is>
          <t>S2</t>
        </is>
      </c>
      <c r="C114" s="5" t="inlineStr">
        <is>
          <t>15: Perfused inflammatory skin-on-chip with rapid cytokine detection</t>
        </is>
      </c>
      <c r="D114" s="5" t="inlineStr">
        <is>
          <t>Skin-on-a-Chip Coupled with a Rapid Inflammation Detection System for Cosmetic Ingredient Screening</t>
        </is>
      </c>
      <c r="G114" s="5" t="inlineStr">
        <is>
          <t>No wound-repair therapeutic testing</t>
        </is>
      </c>
      <c r="H114" s="6" t="inlineStr">
        <is>
          <t>1</t>
        </is>
      </c>
      <c r="K114" s="5" t="inlineStr">
        <is>
          <t>Provided article-level Table S2 coding (renumbered to current main bibliography)</t>
        </is>
      </c>
      <c r="M114" s="5" t="inlineStr">
        <is>
          <t>100.0</t>
        </is>
      </c>
      <c r="N114" s="5" t="inlineStr">
        <is>
          <t>YES</t>
        </is>
      </c>
    </row>
    <row r="115">
      <c r="A115" s="6" t="n">
        <v>155</v>
      </c>
      <c r="B115" s="5" t="inlineStr">
        <is>
          <t>S2</t>
        </is>
      </c>
      <c r="C115" s="5" t="inlineStr">
        <is>
          <t>2: Perfused dermal perivascular angiogenesis chip</t>
        </is>
      </c>
      <c r="D115" s="5" t="inlineStr">
        <is>
          <t>A 3D millifluidic model of a dermal perivascular microenvironment on a chip</t>
        </is>
      </c>
      <c r="E115" s="5" t="inlineStr">
        <is>
          <t>10.1039/d4lc00898g</t>
        </is>
      </c>
      <c r="G115" s="5" t="inlineStr">
        <is>
          <t>Scale-up or device translation barrier</t>
        </is>
      </c>
      <c r="H115" s="6" t="inlineStr">
        <is>
          <t>1</t>
        </is>
      </c>
      <c r="K115" s="5" t="inlineStr">
        <is>
          <t>Provided article-level Table S2 coding (renumbered to current main bibliography)</t>
        </is>
      </c>
      <c r="L115" s="5" t="inlineStr">
        <is>
          <t>https://doi.org/10.1039/d4lc00898g</t>
        </is>
      </c>
      <c r="M115" s="5" t="inlineStr">
        <is>
          <t>100.0</t>
        </is>
      </c>
      <c r="N115" s="5" t="inlineStr">
        <is>
          <t>YES</t>
        </is>
      </c>
    </row>
    <row r="116">
      <c r="A116" s="6" t="n">
        <v>158</v>
      </c>
      <c r="B116" s="5" t="inlineStr">
        <is>
          <t>S2</t>
        </is>
      </c>
      <c r="C116" s="5" t="inlineStr">
        <is>
          <t>3: Ex vivo full-thickness human skin microbioreactor</t>
        </is>
      </c>
      <c r="D116" s="5" t="inlineStr">
        <is>
          <t>Design and evaluation of a skin-on-a-chip pumpless microfluidic device</t>
        </is>
      </c>
      <c r="E116" s="5" t="inlineStr">
        <is>
          <t>10.1038/s41598-023-34796-3</t>
        </is>
      </c>
      <c r="G116" s="5" t="inlineStr">
        <is>
          <t>Scale-up or device translation barrier</t>
        </is>
      </c>
      <c r="H116" s="6" t="inlineStr">
        <is>
          <t>1</t>
        </is>
      </c>
      <c r="K116" s="5" t="inlineStr">
        <is>
          <t>Provided article-level Table S2 coding (renumbered to current main bibliography)</t>
        </is>
      </c>
      <c r="L116" s="5" t="inlineStr">
        <is>
          <t>https://doi.org/10.1038/s41598-023-34796-3</t>
        </is>
      </c>
      <c r="M116" s="5" t="inlineStr">
        <is>
          <t>100.0</t>
        </is>
      </c>
      <c r="N116" s="5" t="inlineStr">
        <is>
          <t>YES</t>
        </is>
      </c>
    </row>
    <row r="117">
      <c r="A117" s="6" t="n">
        <v>159</v>
      </c>
      <c r="B117" s="5" t="inlineStr">
        <is>
          <t>S2</t>
        </is>
      </c>
      <c r="C117" s="5" t="inlineStr">
        <is>
          <t>4: Layered tissue-generation chip</t>
        </is>
      </c>
      <c r="D117" s="5" t="inlineStr">
        <is>
          <t>A new microfluidic method enabling the generation of multi-layered tissues-on-chips using skin cells as a proof of concept</t>
        </is>
      </c>
      <c r="E117" s="5" t="inlineStr">
        <is>
          <t>10.1038/s41598-021-91875-z</t>
        </is>
      </c>
      <c r="G117" s="5" t="inlineStr">
        <is>
          <t>Scale-up or device translation barrier</t>
        </is>
      </c>
      <c r="H117" s="6" t="inlineStr">
        <is>
          <t>1</t>
        </is>
      </c>
      <c r="K117" s="5" t="inlineStr">
        <is>
          <t>Provided article-level Table S2 coding (renumbered to current main bibliography)</t>
        </is>
      </c>
      <c r="L117" s="5" t="inlineStr">
        <is>
          <t>https://doi.org/10.1038/s41598-021-91875-z</t>
        </is>
      </c>
      <c r="M117" s="5" t="inlineStr">
        <is>
          <t>100.0</t>
        </is>
      </c>
      <c r="N117" s="5" t="inlineStr">
        <is>
          <t>YES</t>
        </is>
      </c>
    </row>
    <row r="118">
      <c r="A118" s="6" t="n">
        <v>187</v>
      </c>
      <c r="B118" s="5" t="inlineStr">
        <is>
          <t>S2</t>
        </is>
      </c>
      <c r="C118" s="5" t="inlineStr">
        <is>
          <t>21: Wireless smart bandage with sensing and electrical stimulation</t>
        </is>
      </c>
      <c r="D118" s="5" t="inlineStr">
        <is>
          <t>Wireless, closed-loop, smart bandage with integrated sensors and stimulators for advanced wound care and accelerated healing</t>
        </is>
      </c>
      <c r="E118" s="5" t="inlineStr">
        <is>
          <t>10.1038/s41587-022-01528-3</t>
        </is>
      </c>
      <c r="G118" s="5" t="inlineStr">
        <is>
          <t>Scale-up or device translation barrier</t>
        </is>
      </c>
      <c r="H118" s="6" t="inlineStr">
        <is>
          <t>1</t>
        </is>
      </c>
      <c r="K118" s="5" t="inlineStr">
        <is>
          <t>Provided article-level Table S2 coding (renumbered to current main bibliography)</t>
        </is>
      </c>
      <c r="L118" s="5" t="inlineStr">
        <is>
          <t>https://doi.org/10.1038/s41587-022-01528-3</t>
        </is>
      </c>
      <c r="M118" s="5" t="inlineStr">
        <is>
          <t>100.0</t>
        </is>
      </c>
      <c r="N118" s="5" t="inlineStr">
        <is>
          <t>YES</t>
        </is>
      </c>
    </row>
    <row r="119">
      <c r="A119" s="6" t="n">
        <v>188</v>
      </c>
      <c r="B119" s="5" t="inlineStr">
        <is>
          <t>S2</t>
        </is>
      </c>
      <c r="C119" s="5" t="inlineStr">
        <is>
          <t>22: Closed-loop wound-management platform with on-chip inference and drug delivery</t>
        </is>
      </c>
      <c r="D119" s="5" t="inlineStr">
        <is>
          <t>Smart Wound Management System Capable of On‐Chip Machine Learning and Closed‐Loop Therapeutic Feedback</t>
        </is>
      </c>
      <c r="E119" s="5" t="inlineStr">
        <is>
          <t>10.1002/adfm.202522329</t>
        </is>
      </c>
      <c r="G119" s="5" t="inlineStr">
        <is>
          <t>Scale-up or device translation barrier</t>
        </is>
      </c>
      <c r="H119" s="6" t="inlineStr">
        <is>
          <t>1</t>
        </is>
      </c>
      <c r="K119" s="5" t="inlineStr">
        <is>
          <t>Provided article-level Table S2 coding (renumbered to current main bibliography)</t>
        </is>
      </c>
      <c r="L119" s="5" t="inlineStr">
        <is>
          <t>https://doi.org/10.1002/adfm.202522329</t>
        </is>
      </c>
      <c r="M119" s="5" t="inlineStr">
        <is>
          <t>100.0</t>
        </is>
      </c>
      <c r="N119" s="5" t="inlineStr">
        <is>
          <t>YES</t>
        </is>
      </c>
    </row>
    <row r="120">
      <c r="A120" s="6" t="n">
        <v>183</v>
      </c>
      <c r="B120" s="5" t="inlineStr">
        <is>
          <t>S2</t>
        </is>
      </c>
      <c r="C120" s="5" t="inlineStr">
        <is>
          <t>19: Battery-free lactate prognostic wound monitor</t>
        </is>
      </c>
      <c r="D120" s="5" t="inlineStr">
        <is>
          <t>A miniaturized, battery‐free, wireless wound monitor that predicts wound closure rate early</t>
        </is>
      </c>
      <c r="E120" s="5" t="inlineStr">
        <is>
          <t>10.1002/adhm.202301280</t>
        </is>
      </c>
      <c r="G120" s="5" t="inlineStr">
        <is>
          <t>Single-analyte or narrow sensor panel</t>
        </is>
      </c>
      <c r="H120" s="6" t="inlineStr">
        <is>
          <t>1</t>
        </is>
      </c>
      <c r="K120" s="5" t="inlineStr">
        <is>
          <t>Provided article-level Table S2 coding (renumbered to current main bibliography)</t>
        </is>
      </c>
      <c r="L120" s="5" t="inlineStr">
        <is>
          <t>https://doi.org/10.1002/adhm.202301280</t>
        </is>
      </c>
      <c r="M120" s="5" t="inlineStr">
        <is>
          <t>100.0</t>
        </is>
      </c>
      <c r="N120" s="5" t="inlineStr">
        <is>
          <t>YES</t>
        </is>
      </c>
    </row>
  </sheetData>
  <autoFilter ref="A1:N120"/>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 xmlns:r="http://schemas.openxmlformats.org/officeDocument/2006/relationships" ref="L26" r:id="rId24"/>
    <hyperlink xmlns:r="http://schemas.openxmlformats.org/officeDocument/2006/relationships" ref="L27" r:id="rId25"/>
    <hyperlink xmlns:r="http://schemas.openxmlformats.org/officeDocument/2006/relationships" ref="L29" r:id="rId26"/>
    <hyperlink xmlns:r="http://schemas.openxmlformats.org/officeDocument/2006/relationships" ref="L30" r:id="rId27"/>
    <hyperlink xmlns:r="http://schemas.openxmlformats.org/officeDocument/2006/relationships" ref="L31" r:id="rId28"/>
    <hyperlink xmlns:r="http://schemas.openxmlformats.org/officeDocument/2006/relationships" ref="L32" r:id="rId29"/>
    <hyperlink xmlns:r="http://schemas.openxmlformats.org/officeDocument/2006/relationships" ref="L33" r:id="rId30"/>
    <hyperlink xmlns:r="http://schemas.openxmlformats.org/officeDocument/2006/relationships" ref="L34" r:id="rId31"/>
    <hyperlink xmlns:r="http://schemas.openxmlformats.org/officeDocument/2006/relationships" ref="L35" r:id="rId32"/>
    <hyperlink xmlns:r="http://schemas.openxmlformats.org/officeDocument/2006/relationships" ref="L36" r:id="rId33"/>
    <hyperlink xmlns:r="http://schemas.openxmlformats.org/officeDocument/2006/relationships" ref="L37" r:id="rId34"/>
    <hyperlink xmlns:r="http://schemas.openxmlformats.org/officeDocument/2006/relationships" ref="L38" r:id="rId35"/>
    <hyperlink xmlns:r="http://schemas.openxmlformats.org/officeDocument/2006/relationships" ref="L39" r:id="rId36"/>
    <hyperlink xmlns:r="http://schemas.openxmlformats.org/officeDocument/2006/relationships" ref="L40"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1" r:id="rId66"/>
    <hyperlink xmlns:r="http://schemas.openxmlformats.org/officeDocument/2006/relationships" ref="L72" r:id="rId67"/>
    <hyperlink xmlns:r="http://schemas.openxmlformats.org/officeDocument/2006/relationships" ref="L73" r:id="rId68"/>
    <hyperlink xmlns:r="http://schemas.openxmlformats.org/officeDocument/2006/relationships" ref="L74" r:id="rId69"/>
    <hyperlink xmlns:r="http://schemas.openxmlformats.org/officeDocument/2006/relationships" ref="L75" r:id="rId70"/>
    <hyperlink xmlns:r="http://schemas.openxmlformats.org/officeDocument/2006/relationships" ref="L76" r:id="rId71"/>
    <hyperlink xmlns:r="http://schemas.openxmlformats.org/officeDocument/2006/relationships" ref="L77" r:id="rId72"/>
    <hyperlink xmlns:r="http://schemas.openxmlformats.org/officeDocument/2006/relationships" ref="L78" r:id="rId73"/>
    <hyperlink xmlns:r="http://schemas.openxmlformats.org/officeDocument/2006/relationships" ref="L79" r:id="rId74"/>
    <hyperlink xmlns:r="http://schemas.openxmlformats.org/officeDocument/2006/relationships" ref="L80" r:id="rId75"/>
    <hyperlink xmlns:r="http://schemas.openxmlformats.org/officeDocument/2006/relationships" ref="L81" r:id="rId76"/>
    <hyperlink xmlns:r="http://schemas.openxmlformats.org/officeDocument/2006/relationships" ref="L82" r:id="rId77"/>
    <hyperlink xmlns:r="http://schemas.openxmlformats.org/officeDocument/2006/relationships" ref="L83" r:id="rId78"/>
    <hyperlink xmlns:r="http://schemas.openxmlformats.org/officeDocument/2006/relationships" ref="L84" r:id="rId79"/>
    <hyperlink xmlns:r="http://schemas.openxmlformats.org/officeDocument/2006/relationships" ref="L86" r:id="rId80"/>
    <hyperlink xmlns:r="http://schemas.openxmlformats.org/officeDocument/2006/relationships" ref="L87" r:id="rId81"/>
    <hyperlink xmlns:r="http://schemas.openxmlformats.org/officeDocument/2006/relationships" ref="L88" r:id="rId82"/>
    <hyperlink xmlns:r="http://schemas.openxmlformats.org/officeDocument/2006/relationships" ref="L89" r:id="rId83"/>
    <hyperlink xmlns:r="http://schemas.openxmlformats.org/officeDocument/2006/relationships" ref="L90" r:id="rId84"/>
    <hyperlink xmlns:r="http://schemas.openxmlformats.org/officeDocument/2006/relationships" ref="L91" r:id="rId85"/>
    <hyperlink xmlns:r="http://schemas.openxmlformats.org/officeDocument/2006/relationships" ref="L92" r:id="rId86"/>
    <hyperlink xmlns:r="http://schemas.openxmlformats.org/officeDocument/2006/relationships" ref="L93" r:id="rId87"/>
    <hyperlink xmlns:r="http://schemas.openxmlformats.org/officeDocument/2006/relationships" ref="L94" r:id="rId88"/>
    <hyperlink xmlns:r="http://schemas.openxmlformats.org/officeDocument/2006/relationships" ref="L95" r:id="rId89"/>
    <hyperlink xmlns:r="http://schemas.openxmlformats.org/officeDocument/2006/relationships" ref="L96" r:id="rId90"/>
    <hyperlink xmlns:r="http://schemas.openxmlformats.org/officeDocument/2006/relationships" ref="L97" r:id="rId91"/>
    <hyperlink xmlns:r="http://schemas.openxmlformats.org/officeDocument/2006/relationships" ref="L98" r:id="rId92"/>
    <hyperlink xmlns:r="http://schemas.openxmlformats.org/officeDocument/2006/relationships" ref="L99" r:id="rId93"/>
    <hyperlink xmlns:r="http://schemas.openxmlformats.org/officeDocument/2006/relationships" ref="L100" r:id="rId94"/>
    <hyperlink xmlns:r="http://schemas.openxmlformats.org/officeDocument/2006/relationships" ref="L101" r:id="rId95"/>
    <hyperlink xmlns:r="http://schemas.openxmlformats.org/officeDocument/2006/relationships" ref="L102" r:id="rId96"/>
    <hyperlink xmlns:r="http://schemas.openxmlformats.org/officeDocument/2006/relationships" ref="L103" r:id="rId97"/>
    <hyperlink xmlns:r="http://schemas.openxmlformats.org/officeDocument/2006/relationships" ref="L104" r:id="rId98"/>
    <hyperlink xmlns:r="http://schemas.openxmlformats.org/officeDocument/2006/relationships" ref="L105" r:id="rId99"/>
    <hyperlink xmlns:r="http://schemas.openxmlformats.org/officeDocument/2006/relationships" ref="L106" r:id="rId100"/>
    <hyperlink xmlns:r="http://schemas.openxmlformats.org/officeDocument/2006/relationships" ref="L107" r:id="rId101"/>
    <hyperlink xmlns:r="http://schemas.openxmlformats.org/officeDocument/2006/relationships" ref="L108" r:id="rId102"/>
    <hyperlink xmlns:r="http://schemas.openxmlformats.org/officeDocument/2006/relationships" ref="L109" r:id="rId103"/>
    <hyperlink xmlns:r="http://schemas.openxmlformats.org/officeDocument/2006/relationships" ref="L110" r:id="rId104"/>
    <hyperlink xmlns:r="http://schemas.openxmlformats.org/officeDocument/2006/relationships" ref="L111" r:id="rId105"/>
    <hyperlink xmlns:r="http://schemas.openxmlformats.org/officeDocument/2006/relationships" ref="L112" r:id="rId106"/>
    <hyperlink xmlns:r="http://schemas.openxmlformats.org/officeDocument/2006/relationships" ref="L113" r:id="rId107"/>
    <hyperlink xmlns:r="http://schemas.openxmlformats.org/officeDocument/2006/relationships" ref="L115" r:id="rId108"/>
    <hyperlink xmlns:r="http://schemas.openxmlformats.org/officeDocument/2006/relationships" ref="L116" r:id="rId109"/>
    <hyperlink xmlns:r="http://schemas.openxmlformats.org/officeDocument/2006/relationships" ref="L117" r:id="rId110"/>
    <hyperlink xmlns:r="http://schemas.openxmlformats.org/officeDocument/2006/relationships" ref="L118" r:id="rId111"/>
    <hyperlink xmlns:r="http://schemas.openxmlformats.org/officeDocument/2006/relationships" ref="L119" r:id="rId112"/>
    <hyperlink xmlns:r="http://schemas.openxmlformats.org/officeDocument/2006/relationships" ref="L120" r:id="rId113"/>
  </hyperlinks>
  <pageMargins left="0.7" right="0.7" top="0.75" bottom="0.75" header="0.3" footer="0.3"/>
</worksheet>
</file>

<file path=xl/worksheets/sheet15.xml><?xml version="1.0" encoding="utf-8"?>
<worksheet xmlns="http://schemas.openxmlformats.org/spreadsheetml/2006/main">
  <sheetPr>
    <tabColor rgb="FF23678D"/>
    <outlinePr summaryBelow="1" summaryRight="1"/>
    <pageSetUpPr/>
  </sheetPr>
  <dimension ref="A1:B11"/>
  <sheetViews>
    <sheetView showGridLines="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56.7109375" customWidth="1" min="1" max="1"/>
    <col width="19.7109375" customWidth="1" min="2" max="2"/>
  </cols>
  <sheetData>
    <row r="1" ht="75" customHeight="1">
      <c r="A1" s="2" t="inlineStr">
        <is>
          <t>Coded domain/category</t>
        </is>
      </c>
      <c r="B1" s="2" t="inlineStr">
        <is>
          <t>Study count</t>
        </is>
      </c>
    </row>
    <row r="2">
      <c r="A2" s="5" t="inlineStr">
        <is>
          <t>Limited clinical or
large-animal validation</t>
        </is>
      </c>
      <c r="B2" s="7" t="n">
        <f>COUNTIFS('Code_S05'!$G$2:$G$120,SUBSTITUTE($A2,CHAR(10)," "),'Code_S05'!$H$2:$H$120,1)</f>
        <v>20</v>
      </c>
    </row>
    <row r="3">
      <c r="A3" s="5" t="inlineStr">
        <is>
          <t>No chronic or
diabetic wound context</t>
        </is>
      </c>
      <c r="B3" s="7" t="n">
        <f>COUNTIFS('Code_S05'!$G$2:$G$120,SUBSTITUTE($A3,CHAR(10)," "),'Code_S05'!$H$2:$H$120,1)</f>
        <v>16</v>
      </c>
    </row>
    <row r="4">
      <c r="A4" s="5" t="inlineStr">
        <is>
          <t>No direct wound
injury or closure</t>
        </is>
      </c>
      <c r="B4" s="7" t="n">
        <f>COUNTIFS('Code_S05'!$G$2:$G$120,SUBSTITUTE($A4,CHAR(10)," "),'Code_S05'!$H$2:$H$120,1)</f>
        <v>15</v>
      </c>
    </row>
    <row r="5">
      <c r="A5" s="5" t="inlineStr">
        <is>
          <t>No wound-repair
therapeutic testing</t>
        </is>
      </c>
      <c r="B5" s="7" t="n">
        <f>COUNTIFS('Code_S05'!$G$2:$G$120,SUBSTITUTE($A5,CHAR(10)," "),'Code_S05'!$H$2:$H$120,1)</f>
        <v>14</v>
      </c>
    </row>
    <row r="6">
      <c r="A6" s="5" t="inlineStr">
        <is>
          <t>No infection or
biofilm module</t>
        </is>
      </c>
      <c r="B6" s="7" t="n">
        <f>COUNTIFS('Code_S05'!$G$2:$G$120,SUBSTITUTE($A6,CHAR(10)," "),'Code_S05'!$H$2:$H$120,1)</f>
        <v>13</v>
      </c>
    </row>
    <row r="7">
      <c r="A7" s="5" t="inlineStr">
        <is>
          <t>Limited immune-cell
complexity</t>
        </is>
      </c>
      <c r="B7" s="7" t="n">
        <f>COUNTIFS('Code_S05'!$G$2:$G$120,SUBSTITUTE($A7,CHAR(10)," "),'Code_S05'!$H$2:$H$120,1)</f>
        <v>13</v>
      </c>
    </row>
    <row r="8">
      <c r="A8" s="5" t="inlineStr">
        <is>
          <t>Limited repair-quality
endpoints</t>
        </is>
      </c>
      <c r="B8" s="7" t="n">
        <f>COUNTIFS('Code_S05'!$G$2:$G$120,SUBSTITUTE($A8,CHAR(10)," "),'Code_S05'!$H$2:$H$120,1)</f>
        <v>13</v>
      </c>
    </row>
    <row r="9">
      <c r="A9" s="5" t="inlineStr">
        <is>
          <t>Limited full-thickness
cutaneous fidelity</t>
        </is>
      </c>
      <c r="B9" s="7" t="n">
        <f>COUNTIFS('Code_S05'!$G$2:$G$120,SUBSTITUTE($A9,CHAR(10)," "),'Code_S05'!$H$2:$H$120,1)</f>
        <v>7</v>
      </c>
    </row>
    <row r="10">
      <c r="A10" s="5" t="inlineStr">
        <is>
          <t>Scale-up or device
translation barrier</t>
        </is>
      </c>
      <c r="B10" s="7" t="n">
        <f>COUNTIFS('Code_S05'!$G$2:$G$120,SUBSTITUTE($A10,CHAR(10)," "),'Code_S05'!$H$2:$H$120,1)</f>
        <v>5</v>
      </c>
    </row>
    <row r="11">
      <c r="A11" s="5" t="inlineStr">
        <is>
          <t>Single-analyte or
narrow sensor panel</t>
        </is>
      </c>
      <c r="B11" s="7" t="n">
        <f>COUNTIFS('Code_S05'!$G$2:$G$120,SUBSTITUTE($A11,CHAR(10)," "),'Code_S05'!$H$2:$H$120,1)</f>
        <v>1</v>
      </c>
    </row>
  </sheetData>
  <pageMargins left="0.7" right="0.7" top="0.75" bottom="0.75" header="0.3" footer="0.3"/>
</worksheet>
</file>

<file path=xl/worksheets/sheet16.xml><?xml version="1.0" encoding="utf-8"?>
<worksheet xmlns="http://schemas.openxmlformats.org/spreadsheetml/2006/main">
  <sheetPr>
    <tabColor rgb="FF2B8C83"/>
    <outlinePr summaryBelow="1" summaryRight="1"/>
    <pageSetUpPr/>
  </sheetPr>
  <dimension ref="A1:N357"/>
  <sheetViews>
    <sheetView showGridLines="0" workbookViewId="0">
      <pane xSplit="3" ySplit="1" topLeftCell="D2" activePane="bottomRight" state="frozen"/>
      <selection pane="topRight" activeCell="D1" sqref="D1"/>
      <selection pane="bottomLeft" activeCell="A2" sqref="A2"/>
      <selection pane="bottomRight" activeCell="A1" sqref="A1"/>
    </sheetView>
  </sheetViews>
  <sheetFormatPr baseColWidth="8" defaultRowHeight="15"/>
  <cols>
    <col width="14.7109375" customWidth="1" min="1" max="1"/>
    <col width="15.7109375" customWidth="1" min="2" max="2"/>
    <col width="50.7109375" customWidth="1" min="3" max="3"/>
    <col width="65.7109375" customWidth="1" min="4" max="4"/>
    <col width="25.7109375" customWidth="1" min="5" max="5"/>
    <col width="60.7109375" customWidth="1" min="6" max="6"/>
    <col width="43.7109375" customWidth="1" min="7" max="7"/>
    <col width="15.7109375" customWidth="1" min="8" max="8"/>
    <col width="17.7109375" customWidth="1" min="9" max="10"/>
    <col width="58.7109375" customWidth="1" min="11" max="11"/>
    <col width="57.7109375" customWidth="1" min="12" max="12"/>
    <col width="22.7109375" customWidth="1" min="13" max="13"/>
    <col width="20.7109375" customWidth="1" min="14" max="14"/>
  </cols>
  <sheetData>
    <row r="1" ht="51" customHeight="1">
      <c r="A1" s="2" t="inlineStr">
        <is>
          <t>Main_ref</t>
        </is>
      </c>
      <c r="B1" s="2" t="inlineStr">
        <is>
          <t>SI_source_table</t>
        </is>
      </c>
      <c r="C1" s="2" t="inlineStr">
        <is>
          <t>SI_table_row</t>
        </is>
      </c>
      <c r="D1" s="2" t="inlineStr">
        <is>
          <t>Main_article_title</t>
        </is>
      </c>
      <c r="E1" s="2" t="inlineStr">
        <is>
          <t>DOI_in_main_register</t>
        </is>
      </c>
      <c r="F1" s="2" t="inlineStr">
        <is>
          <t>Group</t>
        </is>
      </c>
      <c r="G1" s="2" t="inlineStr">
        <is>
          <t>Domain</t>
        </is>
      </c>
      <c r="H1" s="2" t="inlineStr">
        <is>
          <t>Code_0_1</t>
        </is>
      </c>
      <c r="I1" s="2" t="inlineStr">
        <is>
          <t>Proposed_structural_score</t>
        </is>
      </c>
      <c r="J1" s="2" t="inlineStr">
        <is>
          <t>Proposed_disease_score</t>
        </is>
      </c>
      <c r="K1" s="2" t="inlineStr">
        <is>
          <t>Provenance_note</t>
        </is>
      </c>
      <c r="L1" s="2" t="inlineStr">
        <is>
          <t>Source_URL</t>
        </is>
      </c>
      <c r="M1" s="2" t="inlineStr">
        <is>
          <t>Bibliography_title_match_pct</t>
        </is>
      </c>
      <c r="N1" s="2" t="inlineStr">
        <is>
          <t>Citation_present_in_main</t>
        </is>
      </c>
    </row>
    <row r="2">
      <c r="A2" s="6" t="n">
        <v>200</v>
      </c>
      <c r="B2" s="5" t="inlineStr">
        <is>
          <t>S3</t>
        </is>
      </c>
      <c r="C2" s="5" t="inlineStr">
        <is>
          <t>3: Redox-, glucose-, and mixed-stimulus adaptive hydrogels</t>
        </is>
      </c>
      <c r="D2" s="5" t="inlineStr">
        <is>
          <t>Construction of oxidized dextran-based pH/ROS responsive hydrogel with live bacterial microcapsules for accelerating diabetic wound healing via reducing inflammatory factors</t>
        </is>
      </c>
      <c r="E2" s="5" t="inlineStr">
        <is>
          <t>10.1016/j.ijbiomac.2026.151405</t>
        </is>
      </c>
      <c r="F2" s="5" t="inlineStr">
        <is>
          <t>pH-responsive</t>
        </is>
      </c>
      <c r="G2" s="5" t="inlineStr">
        <is>
          <t>Release kinetics measured</t>
        </is>
      </c>
      <c r="H2" s="6" t="inlineStr">
        <is>
          <t>1</t>
        </is>
      </c>
      <c r="K2" s="5" t="inlineStr">
        <is>
          <t xml:space="preserve">; </t>
        </is>
      </c>
      <c r="M2" s="5" t="inlineStr">
        <is>
          <t>100.0</t>
        </is>
      </c>
      <c r="N2" s="5" t="inlineStr">
        <is>
          <t>YES</t>
        </is>
      </c>
    </row>
    <row r="3">
      <c r="A3" s="6" t="n">
        <v>200</v>
      </c>
      <c r="B3" s="5" t="inlineStr">
        <is>
          <t>S3</t>
        </is>
      </c>
      <c r="C3" s="5" t="inlineStr">
        <is>
          <t>3: Redox-, glucose-, and mixed-stimulus adaptive hydrogels</t>
        </is>
      </c>
      <c r="D3" s="5" t="inlineStr">
        <is>
          <t>Construction of oxidized dextran-based pH/ROS responsive hydrogel with live bacterial microcapsules for accelerating diabetic wound healing via reducing inflammatory factors</t>
        </is>
      </c>
      <c r="E3" s="5" t="inlineStr">
        <is>
          <t>10.1016/j.ijbiomac.2026.151405</t>
        </is>
      </c>
      <c r="F3" s="5" t="inlineStr">
        <is>
          <t>pH-responsive</t>
        </is>
      </c>
      <c r="G3" s="5" t="inlineStr">
        <is>
          <t>Antimicrobial or biofilm control</t>
        </is>
      </c>
      <c r="H3" s="6" t="inlineStr">
        <is>
          <t>1</t>
        </is>
      </c>
      <c r="K3" s="5" t="inlineStr">
        <is>
          <t xml:space="preserve">; </t>
        </is>
      </c>
      <c r="M3" s="5" t="inlineStr">
        <is>
          <t>100.0</t>
        </is>
      </c>
      <c r="N3" s="5" t="inlineStr">
        <is>
          <t>YES</t>
        </is>
      </c>
    </row>
    <row r="4">
      <c r="A4" s="6" t="n">
        <v>200</v>
      </c>
      <c r="B4" s="5" t="inlineStr">
        <is>
          <t>S3</t>
        </is>
      </c>
      <c r="C4" s="5" t="inlineStr">
        <is>
          <t>3: Redox-, glucose-, and mixed-stimulus adaptive hydrogels</t>
        </is>
      </c>
      <c r="D4" s="5" t="inlineStr">
        <is>
          <t>Construction of oxidized dextran-based pH/ROS responsive hydrogel with live bacterial microcapsules for accelerating diabetic wound healing via reducing inflammatory factors</t>
        </is>
      </c>
      <c r="E4" s="5" t="inlineStr">
        <is>
          <t>10.1016/j.ijbiomac.2026.151405</t>
        </is>
      </c>
      <c r="F4" s="5" t="inlineStr">
        <is>
          <t>pH-responsive</t>
        </is>
      </c>
      <c r="G4" s="5" t="inlineStr">
        <is>
          <t>Inflammation or macrophage modulation</t>
        </is>
      </c>
      <c r="H4" s="6" t="inlineStr">
        <is>
          <t>1</t>
        </is>
      </c>
      <c r="K4" s="5" t="inlineStr">
        <is>
          <t xml:space="preserve">; </t>
        </is>
      </c>
      <c r="M4" s="5" t="inlineStr">
        <is>
          <t>100.0</t>
        </is>
      </c>
      <c r="N4" s="5" t="inlineStr">
        <is>
          <t>YES</t>
        </is>
      </c>
    </row>
    <row r="5">
      <c r="A5" s="6" t="n">
        <v>200</v>
      </c>
      <c r="B5" s="5" t="inlineStr">
        <is>
          <t>S3</t>
        </is>
      </c>
      <c r="C5" s="5" t="inlineStr">
        <is>
          <t>3: Redox-, glucose-, and mixed-stimulus adaptive hydrogels</t>
        </is>
      </c>
      <c r="D5" s="5" t="inlineStr">
        <is>
          <t>Construction of oxidized dextran-based pH/ROS responsive hydrogel with live bacterial microcapsules for accelerating diabetic wound healing via reducing inflammatory factors</t>
        </is>
      </c>
      <c r="E5" s="5" t="inlineStr">
        <is>
          <t>10.1016/j.ijbiomac.2026.151405</t>
        </is>
      </c>
      <c r="F5" s="5" t="inlineStr">
        <is>
          <t>pH-responsive</t>
        </is>
      </c>
      <c r="G5" s="5" t="inlineStr">
        <is>
          <t>Angiogenesis</t>
        </is>
      </c>
      <c r="H5" s="6" t="inlineStr">
        <is>
          <t>1</t>
        </is>
      </c>
      <c r="K5" s="5" t="inlineStr">
        <is>
          <t xml:space="preserve">; </t>
        </is>
      </c>
      <c r="M5" s="5" t="inlineStr">
        <is>
          <t>100.0</t>
        </is>
      </c>
      <c r="N5" s="5" t="inlineStr">
        <is>
          <t>YES</t>
        </is>
      </c>
    </row>
    <row r="6">
      <c r="A6" s="6" t="n">
        <v>200</v>
      </c>
      <c r="B6" s="5" t="inlineStr">
        <is>
          <t>S3</t>
        </is>
      </c>
      <c r="C6" s="5" t="inlineStr">
        <is>
          <t>3: Redox-, glucose-, and mixed-stimulus adaptive hydrogels</t>
        </is>
      </c>
      <c r="D6" s="5" t="inlineStr">
        <is>
          <t>Construction of oxidized dextran-based pH/ROS responsive hydrogel with live bacterial microcapsules for accelerating diabetic wound healing via reducing inflammatory factors</t>
        </is>
      </c>
      <c r="E6" s="5" t="inlineStr">
        <is>
          <t>10.1016/j.ijbiomac.2026.151405</t>
        </is>
      </c>
      <c r="F6" s="5" t="inlineStr">
        <is>
          <t>pH-responsive</t>
        </is>
      </c>
      <c r="G6" s="5" t="inlineStr">
        <is>
          <t>Collagen or matrix remodeling</t>
        </is>
      </c>
      <c r="H6" s="6" t="inlineStr">
        <is>
          <t>1</t>
        </is>
      </c>
      <c r="K6" s="5" t="inlineStr">
        <is>
          <t xml:space="preserve">; </t>
        </is>
      </c>
      <c r="M6" s="5" t="inlineStr">
        <is>
          <t>100.0</t>
        </is>
      </c>
      <c r="N6" s="5" t="inlineStr">
        <is>
          <t>YES</t>
        </is>
      </c>
    </row>
    <row r="7">
      <c r="A7" s="6" t="n">
        <v>200</v>
      </c>
      <c r="B7" s="5" t="inlineStr">
        <is>
          <t>S3</t>
        </is>
      </c>
      <c r="C7" s="5" t="inlineStr">
        <is>
          <t>3: Redox-, glucose-, and mixed-stimulus adaptive hydrogels</t>
        </is>
      </c>
      <c r="D7" s="5" t="inlineStr">
        <is>
          <t>Construction of oxidized dextran-based pH/ROS responsive hydrogel with live bacterial microcapsules for accelerating diabetic wound healing via reducing inflammatory factors</t>
        </is>
      </c>
      <c r="E7" s="5" t="inlineStr">
        <is>
          <t>10.1016/j.ijbiomac.2026.151405</t>
        </is>
      </c>
      <c r="F7" s="5" t="inlineStr">
        <is>
          <t>pH-responsive</t>
        </is>
      </c>
      <c r="G7" s="5" t="inlineStr">
        <is>
          <t>Re-epithelialization</t>
        </is>
      </c>
      <c r="H7" s="6" t="inlineStr">
        <is>
          <t>1</t>
        </is>
      </c>
      <c r="K7" s="5" t="inlineStr">
        <is>
          <t xml:space="preserve">; </t>
        </is>
      </c>
      <c r="M7" s="5" t="inlineStr">
        <is>
          <t>100.0</t>
        </is>
      </c>
      <c r="N7" s="5" t="inlineStr">
        <is>
          <t>YES</t>
        </is>
      </c>
    </row>
    <row r="8">
      <c r="A8" s="6" t="n">
        <v>200</v>
      </c>
      <c r="B8" s="5" t="inlineStr">
        <is>
          <t>S3</t>
        </is>
      </c>
      <c r="C8" s="5" t="inlineStr">
        <is>
          <t>3: Redox-, glucose-, and mixed-stimulus adaptive hydrogels</t>
        </is>
      </c>
      <c r="D8" s="5" t="inlineStr">
        <is>
          <t>Construction of oxidized dextran-based pH/ROS responsive hydrogel with live bacterial microcapsules for accelerating diabetic wound healing via reducing inflammatory factors</t>
        </is>
      </c>
      <c r="E8" s="5" t="inlineStr">
        <is>
          <t>10.1016/j.ijbiomac.2026.151405</t>
        </is>
      </c>
      <c r="F8" s="5" t="inlineStr">
        <is>
          <t>pH-responsive</t>
        </is>
      </c>
      <c r="G8" s="5" t="inlineStr">
        <is>
          <t>Wound closure</t>
        </is>
      </c>
      <c r="H8" s="6" t="inlineStr">
        <is>
          <t>1</t>
        </is>
      </c>
      <c r="K8" s="5" t="inlineStr">
        <is>
          <t xml:space="preserve">; </t>
        </is>
      </c>
      <c r="M8" s="5" t="inlineStr">
        <is>
          <t>100.0</t>
        </is>
      </c>
      <c r="N8" s="5" t="inlineStr">
        <is>
          <t>YES</t>
        </is>
      </c>
    </row>
    <row r="9">
      <c r="A9" s="6" t="n">
        <v>200</v>
      </c>
      <c r="B9" s="5" t="inlineStr">
        <is>
          <t>S3</t>
        </is>
      </c>
      <c r="C9" s="5" t="inlineStr">
        <is>
          <t>3: Redox-, glucose-, and mixed-stimulus adaptive hydrogels</t>
        </is>
      </c>
      <c r="D9" s="5" t="inlineStr">
        <is>
          <t>Construction of oxidized dextran-based pH/ROS responsive hydrogel with live bacterial microcapsules for accelerating diabetic wound healing via reducing inflammatory factors</t>
        </is>
      </c>
      <c r="E9" s="5" t="inlineStr">
        <is>
          <t>10.1016/j.ijbiomac.2026.151405</t>
        </is>
      </c>
      <c r="F9" s="5" t="inlineStr">
        <is>
          <t>pH-responsive</t>
        </is>
      </c>
      <c r="G9" s="5" t="inlineStr">
        <is>
          <t>Safety or cytocompatibility</t>
        </is>
      </c>
      <c r="H9" s="6" t="inlineStr">
        <is>
          <t>1</t>
        </is>
      </c>
      <c r="K9" s="5" t="inlineStr">
        <is>
          <t xml:space="preserve">; </t>
        </is>
      </c>
      <c r="M9" s="5" t="inlineStr">
        <is>
          <t>100.0</t>
        </is>
      </c>
      <c r="N9" s="5" t="inlineStr">
        <is>
          <t>YES</t>
        </is>
      </c>
    </row>
    <row r="10">
      <c r="A10" s="6" t="n">
        <v>201</v>
      </c>
      <c r="B10" s="5" t="inlineStr">
        <is>
          <t>S3</t>
        </is>
      </c>
      <c r="C10" s="5" t="inlineStr">
        <is>
          <t>3: Redox-, glucose-, and mixed-stimulus adaptive hydrogels</t>
        </is>
      </c>
      <c r="D10" s="5" t="inlineStr">
        <is>
          <t>pH/ROS responsive hydrogel loaded with bimetallic phenolic nanoparticles: A multifaceted therapeutic strategy for accelerating diabetic wound repair</t>
        </is>
      </c>
      <c r="E10" s="5" t="inlineStr">
        <is>
          <t>10.1016/j.cej.2025.170173</t>
        </is>
      </c>
      <c r="F10" s="5" t="inlineStr">
        <is>
          <t>pH-responsive</t>
        </is>
      </c>
      <c r="G10" s="5" t="inlineStr">
        <is>
          <t>Release kinetics measured</t>
        </is>
      </c>
      <c r="H10" s="6" t="inlineStr">
        <is>
          <t>1</t>
        </is>
      </c>
      <c r="K10" s="5" t="inlineStr">
        <is>
          <t xml:space="preserve">; </t>
        </is>
      </c>
      <c r="M10" s="5" t="inlineStr">
        <is>
          <t>100.0</t>
        </is>
      </c>
      <c r="N10" s="5" t="inlineStr">
        <is>
          <t>YES</t>
        </is>
      </c>
    </row>
    <row r="11">
      <c r="A11" s="6" t="n">
        <v>201</v>
      </c>
      <c r="B11" s="5" t="inlineStr">
        <is>
          <t>S3</t>
        </is>
      </c>
      <c r="C11" s="5" t="inlineStr">
        <is>
          <t>3: Redox-, glucose-, and mixed-stimulus adaptive hydrogels</t>
        </is>
      </c>
      <c r="D11" s="5" t="inlineStr">
        <is>
          <t>pH/ROS responsive hydrogel loaded with bimetallic phenolic nanoparticles: A multifaceted therapeutic strategy for accelerating diabetic wound repair</t>
        </is>
      </c>
      <c r="E11" s="5" t="inlineStr">
        <is>
          <t>10.1016/j.cej.2025.170173</t>
        </is>
      </c>
      <c r="F11" s="5" t="inlineStr">
        <is>
          <t>pH-responsive</t>
        </is>
      </c>
      <c r="G11" s="5" t="inlineStr">
        <is>
          <t>Antimicrobial or biofilm control</t>
        </is>
      </c>
      <c r="H11" s="6" t="inlineStr">
        <is>
          <t>1</t>
        </is>
      </c>
      <c r="K11" s="5" t="inlineStr">
        <is>
          <t xml:space="preserve">; </t>
        </is>
      </c>
      <c r="M11" s="5" t="inlineStr">
        <is>
          <t>100.0</t>
        </is>
      </c>
      <c r="N11" s="5" t="inlineStr">
        <is>
          <t>YES</t>
        </is>
      </c>
    </row>
    <row r="12">
      <c r="A12" s="6" t="n">
        <v>201</v>
      </c>
      <c r="B12" s="5" t="inlineStr">
        <is>
          <t>S3</t>
        </is>
      </c>
      <c r="C12" s="5" t="inlineStr">
        <is>
          <t>3: Redox-, glucose-, and mixed-stimulus adaptive hydrogels</t>
        </is>
      </c>
      <c r="D12" s="5" t="inlineStr">
        <is>
          <t>pH/ROS responsive hydrogel loaded with bimetallic phenolic nanoparticles: A multifaceted therapeutic strategy for accelerating diabetic wound repair</t>
        </is>
      </c>
      <c r="E12" s="5" t="inlineStr">
        <is>
          <t>10.1016/j.cej.2025.170173</t>
        </is>
      </c>
      <c r="F12" s="5" t="inlineStr">
        <is>
          <t>pH-responsive</t>
        </is>
      </c>
      <c r="G12" s="5" t="inlineStr">
        <is>
          <t>Inflammation or macrophage modulation</t>
        </is>
      </c>
      <c r="H12" s="6" t="inlineStr">
        <is>
          <t>1</t>
        </is>
      </c>
      <c r="K12" s="5" t="inlineStr">
        <is>
          <t xml:space="preserve">; </t>
        </is>
      </c>
      <c r="M12" s="5" t="inlineStr">
        <is>
          <t>100.0</t>
        </is>
      </c>
      <c r="N12" s="5" t="inlineStr">
        <is>
          <t>YES</t>
        </is>
      </c>
    </row>
    <row r="13">
      <c r="A13" s="6" t="n">
        <v>201</v>
      </c>
      <c r="B13" s="5" t="inlineStr">
        <is>
          <t>S3</t>
        </is>
      </c>
      <c r="C13" s="5" t="inlineStr">
        <is>
          <t>3: Redox-, glucose-, and mixed-stimulus adaptive hydrogels</t>
        </is>
      </c>
      <c r="D13" s="5" t="inlineStr">
        <is>
          <t>pH/ROS responsive hydrogel loaded with bimetallic phenolic nanoparticles: A multifaceted therapeutic strategy for accelerating diabetic wound repair</t>
        </is>
      </c>
      <c r="E13" s="5" t="inlineStr">
        <is>
          <t>10.1016/j.cej.2025.170173</t>
        </is>
      </c>
      <c r="F13" s="5" t="inlineStr">
        <is>
          <t>pH-responsive</t>
        </is>
      </c>
      <c r="G13" s="5" t="inlineStr">
        <is>
          <t>Angiogenesis</t>
        </is>
      </c>
      <c r="H13" s="6" t="inlineStr">
        <is>
          <t>1</t>
        </is>
      </c>
      <c r="K13" s="5" t="inlineStr">
        <is>
          <t xml:space="preserve">; </t>
        </is>
      </c>
      <c r="M13" s="5" t="inlineStr">
        <is>
          <t>100.0</t>
        </is>
      </c>
      <c r="N13" s="5" t="inlineStr">
        <is>
          <t>YES</t>
        </is>
      </c>
    </row>
    <row r="14">
      <c r="A14" s="6" t="n">
        <v>201</v>
      </c>
      <c r="B14" s="5" t="inlineStr">
        <is>
          <t>S3</t>
        </is>
      </c>
      <c r="C14" s="5" t="inlineStr">
        <is>
          <t>3: Redox-, glucose-, and mixed-stimulus adaptive hydrogels</t>
        </is>
      </c>
      <c r="D14" s="5" t="inlineStr">
        <is>
          <t>pH/ROS responsive hydrogel loaded with bimetallic phenolic nanoparticles: A multifaceted therapeutic strategy for accelerating diabetic wound repair</t>
        </is>
      </c>
      <c r="E14" s="5" t="inlineStr">
        <is>
          <t>10.1016/j.cej.2025.170173</t>
        </is>
      </c>
      <c r="F14" s="5" t="inlineStr">
        <is>
          <t>pH-responsive</t>
        </is>
      </c>
      <c r="G14" s="5" t="inlineStr">
        <is>
          <t>Collagen or matrix remodeling</t>
        </is>
      </c>
      <c r="H14" s="6" t="inlineStr">
        <is>
          <t>1</t>
        </is>
      </c>
      <c r="K14" s="5" t="inlineStr">
        <is>
          <t xml:space="preserve">; </t>
        </is>
      </c>
      <c r="M14" s="5" t="inlineStr">
        <is>
          <t>100.0</t>
        </is>
      </c>
      <c r="N14" s="5" t="inlineStr">
        <is>
          <t>YES</t>
        </is>
      </c>
    </row>
    <row r="15">
      <c r="A15" s="6" t="n">
        <v>201</v>
      </c>
      <c r="B15" s="5" t="inlineStr">
        <is>
          <t>S3</t>
        </is>
      </c>
      <c r="C15" s="5" t="inlineStr">
        <is>
          <t>3: Redox-, glucose-, and mixed-stimulus adaptive hydrogels</t>
        </is>
      </c>
      <c r="D15" s="5" t="inlineStr">
        <is>
          <t>pH/ROS responsive hydrogel loaded with bimetallic phenolic nanoparticles: A multifaceted therapeutic strategy for accelerating diabetic wound repair</t>
        </is>
      </c>
      <c r="E15" s="5" t="inlineStr">
        <is>
          <t>10.1016/j.cej.2025.170173</t>
        </is>
      </c>
      <c r="F15" s="5" t="inlineStr">
        <is>
          <t>pH-responsive</t>
        </is>
      </c>
      <c r="G15" s="5" t="inlineStr">
        <is>
          <t>Re-epithelialization</t>
        </is>
      </c>
      <c r="H15" s="6" t="inlineStr">
        <is>
          <t>1</t>
        </is>
      </c>
      <c r="K15" s="5" t="inlineStr">
        <is>
          <t xml:space="preserve">; </t>
        </is>
      </c>
      <c r="M15" s="5" t="inlineStr">
        <is>
          <t>100.0</t>
        </is>
      </c>
      <c r="N15" s="5" t="inlineStr">
        <is>
          <t>YES</t>
        </is>
      </c>
    </row>
    <row r="16">
      <c r="A16" s="6" t="n">
        <v>201</v>
      </c>
      <c r="B16" s="5" t="inlineStr">
        <is>
          <t>S3</t>
        </is>
      </c>
      <c r="C16" s="5" t="inlineStr">
        <is>
          <t>3: Redox-, glucose-, and mixed-stimulus adaptive hydrogels</t>
        </is>
      </c>
      <c r="D16" s="5" t="inlineStr">
        <is>
          <t>pH/ROS responsive hydrogel loaded with bimetallic phenolic nanoparticles: A multifaceted therapeutic strategy for accelerating diabetic wound repair</t>
        </is>
      </c>
      <c r="E16" s="5" t="inlineStr">
        <is>
          <t>10.1016/j.cej.2025.170173</t>
        </is>
      </c>
      <c r="F16" s="5" t="inlineStr">
        <is>
          <t>pH-responsive</t>
        </is>
      </c>
      <c r="G16" s="5" t="inlineStr">
        <is>
          <t>Wound closure</t>
        </is>
      </c>
      <c r="H16" s="6" t="inlineStr">
        <is>
          <t>1</t>
        </is>
      </c>
      <c r="K16" s="5" t="inlineStr">
        <is>
          <t xml:space="preserve">; </t>
        </is>
      </c>
      <c r="M16" s="5" t="inlineStr">
        <is>
          <t>100.0</t>
        </is>
      </c>
      <c r="N16" s="5" t="inlineStr">
        <is>
          <t>YES</t>
        </is>
      </c>
    </row>
    <row r="17">
      <c r="A17" s="6" t="n">
        <v>201</v>
      </c>
      <c r="B17" s="5" t="inlineStr">
        <is>
          <t>S3</t>
        </is>
      </c>
      <c r="C17" s="5" t="inlineStr">
        <is>
          <t>3: Redox-, glucose-, and mixed-stimulus adaptive hydrogels</t>
        </is>
      </c>
      <c r="D17" s="5" t="inlineStr">
        <is>
          <t>pH/ROS responsive hydrogel loaded with bimetallic phenolic nanoparticles: A multifaceted therapeutic strategy for accelerating diabetic wound repair</t>
        </is>
      </c>
      <c r="E17" s="5" t="inlineStr">
        <is>
          <t>10.1016/j.cej.2025.170173</t>
        </is>
      </c>
      <c r="F17" s="5" t="inlineStr">
        <is>
          <t>pH-responsive</t>
        </is>
      </c>
      <c r="G17" s="5" t="inlineStr">
        <is>
          <t>Safety or cytocompatibility</t>
        </is>
      </c>
      <c r="H17" s="6" t="inlineStr">
        <is>
          <t>1</t>
        </is>
      </c>
      <c r="K17" s="5" t="inlineStr">
        <is>
          <t xml:space="preserve">; </t>
        </is>
      </c>
      <c r="M17" s="5" t="inlineStr">
        <is>
          <t>100.0</t>
        </is>
      </c>
      <c r="N17" s="5" t="inlineStr">
        <is>
          <t>YES</t>
        </is>
      </c>
    </row>
    <row r="18">
      <c r="A18" s="6" t="n">
        <v>206</v>
      </c>
      <c r="B18" s="5" t="inlineStr">
        <is>
          <t>S3</t>
        </is>
      </c>
      <c r="C18" s="5" t="inlineStr">
        <is>
          <t>2: Acidic pH-switching adhesive and release matrices</t>
        </is>
      </c>
      <c r="D18" s="5" t="inlineStr">
        <is>
          <t>pH-responsive hydrogel loaded with insulin as a bioactive dressing for enhancing diabetic wound healing</t>
        </is>
      </c>
      <c r="E18" s="5" t="inlineStr">
        <is>
          <t>10.1016/j.matdes.2021.110104</t>
        </is>
      </c>
      <c r="F18" s="5" t="inlineStr">
        <is>
          <t>pH-responsive</t>
        </is>
      </c>
      <c r="G18" s="5" t="inlineStr">
        <is>
          <t>Release kinetics measured</t>
        </is>
      </c>
      <c r="H18" s="6" t="inlineStr">
        <is>
          <t>1</t>
        </is>
      </c>
      <c r="K18" s="5" t="inlineStr">
        <is>
          <t xml:space="preserve">; </t>
        </is>
      </c>
      <c r="M18" s="5" t="inlineStr">
        <is>
          <t>100.0</t>
        </is>
      </c>
      <c r="N18" s="5" t="inlineStr">
        <is>
          <t>YES</t>
        </is>
      </c>
    </row>
    <row r="19">
      <c r="A19" s="6" t="n">
        <v>206</v>
      </c>
      <c r="B19" s="5" t="inlineStr">
        <is>
          <t>S3</t>
        </is>
      </c>
      <c r="C19" s="5" t="inlineStr">
        <is>
          <t>2: Acidic pH-switching adhesive and release matrices</t>
        </is>
      </c>
      <c r="D19" s="5" t="inlineStr">
        <is>
          <t>pH-responsive hydrogel loaded with insulin as a bioactive dressing for enhancing diabetic wound healing</t>
        </is>
      </c>
      <c r="E19" s="5" t="inlineStr">
        <is>
          <t>10.1016/j.matdes.2021.110104</t>
        </is>
      </c>
      <c r="F19" s="5" t="inlineStr">
        <is>
          <t>pH-responsive</t>
        </is>
      </c>
      <c r="G19" s="5" t="inlineStr">
        <is>
          <t>Antimicrobial or biofilm control</t>
        </is>
      </c>
      <c r="H19" s="6" t="inlineStr">
        <is>
          <t>1</t>
        </is>
      </c>
      <c r="K19" s="5" t="inlineStr">
        <is>
          <t xml:space="preserve">; </t>
        </is>
      </c>
      <c r="M19" s="5" t="inlineStr">
        <is>
          <t>100.0</t>
        </is>
      </c>
      <c r="N19" s="5" t="inlineStr">
        <is>
          <t>YES</t>
        </is>
      </c>
    </row>
    <row r="20">
      <c r="A20" s="6" t="n">
        <v>206</v>
      </c>
      <c r="B20" s="5" t="inlineStr">
        <is>
          <t>S3</t>
        </is>
      </c>
      <c r="C20" s="5" t="inlineStr">
        <is>
          <t>2: Acidic pH-switching adhesive and release matrices</t>
        </is>
      </c>
      <c r="D20" s="5" t="inlineStr">
        <is>
          <t>pH-responsive hydrogel loaded with insulin as a bioactive dressing for enhancing diabetic wound healing</t>
        </is>
      </c>
      <c r="E20" s="5" t="inlineStr">
        <is>
          <t>10.1016/j.matdes.2021.110104</t>
        </is>
      </c>
      <c r="F20" s="5" t="inlineStr">
        <is>
          <t>pH-responsive</t>
        </is>
      </c>
      <c r="G20" s="5" t="inlineStr">
        <is>
          <t>Inflammation or macrophage modulation</t>
        </is>
      </c>
      <c r="H20" s="6" t="inlineStr">
        <is>
          <t>1</t>
        </is>
      </c>
      <c r="K20" s="5" t="inlineStr">
        <is>
          <t xml:space="preserve">; </t>
        </is>
      </c>
      <c r="M20" s="5" t="inlineStr">
        <is>
          <t>100.0</t>
        </is>
      </c>
      <c r="N20" s="5" t="inlineStr">
        <is>
          <t>YES</t>
        </is>
      </c>
    </row>
    <row r="21">
      <c r="A21" s="6" t="n">
        <v>206</v>
      </c>
      <c r="B21" s="5" t="inlineStr">
        <is>
          <t>S3</t>
        </is>
      </c>
      <c r="C21" s="5" t="inlineStr">
        <is>
          <t>2: Acidic pH-switching adhesive and release matrices</t>
        </is>
      </c>
      <c r="D21" s="5" t="inlineStr">
        <is>
          <t>pH-responsive hydrogel loaded with insulin as a bioactive dressing for enhancing diabetic wound healing</t>
        </is>
      </c>
      <c r="E21" s="5" t="inlineStr">
        <is>
          <t>10.1016/j.matdes.2021.110104</t>
        </is>
      </c>
      <c r="F21" s="5" t="inlineStr">
        <is>
          <t>pH-responsive</t>
        </is>
      </c>
      <c r="G21" s="5" t="inlineStr">
        <is>
          <t>Angiogenesis</t>
        </is>
      </c>
      <c r="H21" s="6" t="inlineStr">
        <is>
          <t>1</t>
        </is>
      </c>
      <c r="K21" s="5" t="inlineStr">
        <is>
          <t xml:space="preserve">; </t>
        </is>
      </c>
      <c r="M21" s="5" t="inlineStr">
        <is>
          <t>100.0</t>
        </is>
      </c>
      <c r="N21" s="5" t="inlineStr">
        <is>
          <t>YES</t>
        </is>
      </c>
    </row>
    <row r="22">
      <c r="A22" s="6" t="n">
        <v>206</v>
      </c>
      <c r="B22" s="5" t="inlineStr">
        <is>
          <t>S3</t>
        </is>
      </c>
      <c r="C22" s="5" t="inlineStr">
        <is>
          <t>2: Acidic pH-switching adhesive and release matrices</t>
        </is>
      </c>
      <c r="D22" s="5" t="inlineStr">
        <is>
          <t>pH-responsive hydrogel loaded with insulin as a bioactive dressing for enhancing diabetic wound healing</t>
        </is>
      </c>
      <c r="E22" s="5" t="inlineStr">
        <is>
          <t>10.1016/j.matdes.2021.110104</t>
        </is>
      </c>
      <c r="F22" s="5" t="inlineStr">
        <is>
          <t>pH-responsive</t>
        </is>
      </c>
      <c r="G22" s="5" t="inlineStr">
        <is>
          <t>Collagen or matrix remodeling</t>
        </is>
      </c>
      <c r="H22" s="6" t="inlineStr">
        <is>
          <t>1</t>
        </is>
      </c>
      <c r="K22" s="5" t="inlineStr">
        <is>
          <t xml:space="preserve">; </t>
        </is>
      </c>
      <c r="M22" s="5" t="inlineStr">
        <is>
          <t>100.0</t>
        </is>
      </c>
      <c r="N22" s="5" t="inlineStr">
        <is>
          <t>YES</t>
        </is>
      </c>
    </row>
    <row r="23">
      <c r="A23" s="6" t="n">
        <v>206</v>
      </c>
      <c r="B23" s="5" t="inlineStr">
        <is>
          <t>S3</t>
        </is>
      </c>
      <c r="C23" s="5" t="inlineStr">
        <is>
          <t>2: Acidic pH-switching adhesive and release matrices</t>
        </is>
      </c>
      <c r="D23" s="5" t="inlineStr">
        <is>
          <t>pH-responsive hydrogel loaded with insulin as a bioactive dressing for enhancing diabetic wound healing</t>
        </is>
      </c>
      <c r="E23" s="5" t="inlineStr">
        <is>
          <t>10.1016/j.matdes.2021.110104</t>
        </is>
      </c>
      <c r="F23" s="5" t="inlineStr">
        <is>
          <t>pH-responsive</t>
        </is>
      </c>
      <c r="G23" s="5" t="inlineStr">
        <is>
          <t>Re-epithelialization</t>
        </is>
      </c>
      <c r="H23" s="6" t="inlineStr">
        <is>
          <t>1</t>
        </is>
      </c>
      <c r="K23" s="5" t="inlineStr">
        <is>
          <t xml:space="preserve">; </t>
        </is>
      </c>
      <c r="M23" s="5" t="inlineStr">
        <is>
          <t>100.0</t>
        </is>
      </c>
      <c r="N23" s="5" t="inlineStr">
        <is>
          <t>YES</t>
        </is>
      </c>
    </row>
    <row r="24">
      <c r="A24" s="6" t="n">
        <v>206</v>
      </c>
      <c r="B24" s="5" t="inlineStr">
        <is>
          <t>S3</t>
        </is>
      </c>
      <c r="C24" s="5" t="inlineStr">
        <is>
          <t>2: Acidic pH-switching adhesive and release matrices</t>
        </is>
      </c>
      <c r="D24" s="5" t="inlineStr">
        <is>
          <t>pH-responsive hydrogel loaded with insulin as a bioactive dressing for enhancing diabetic wound healing</t>
        </is>
      </c>
      <c r="E24" s="5" t="inlineStr">
        <is>
          <t>10.1016/j.matdes.2021.110104</t>
        </is>
      </c>
      <c r="F24" s="5" t="inlineStr">
        <is>
          <t>pH-responsive</t>
        </is>
      </c>
      <c r="G24" s="5" t="inlineStr">
        <is>
          <t>Wound closure</t>
        </is>
      </c>
      <c r="H24" s="6" t="inlineStr">
        <is>
          <t>1</t>
        </is>
      </c>
      <c r="K24" s="5" t="inlineStr">
        <is>
          <t xml:space="preserve">; </t>
        </is>
      </c>
      <c r="M24" s="5" t="inlineStr">
        <is>
          <t>100.0</t>
        </is>
      </c>
      <c r="N24" s="5" t="inlineStr">
        <is>
          <t>YES</t>
        </is>
      </c>
    </row>
    <row r="25">
      <c r="A25" s="6" t="n">
        <v>206</v>
      </c>
      <c r="B25" s="5" t="inlineStr">
        <is>
          <t>S3</t>
        </is>
      </c>
      <c r="C25" s="5" t="inlineStr">
        <is>
          <t>2: Acidic pH-switching adhesive and release matrices</t>
        </is>
      </c>
      <c r="D25" s="5" t="inlineStr">
        <is>
          <t>pH-responsive hydrogel loaded with insulin as a bioactive dressing for enhancing diabetic wound healing</t>
        </is>
      </c>
      <c r="E25" s="5" t="inlineStr">
        <is>
          <t>10.1016/j.matdes.2021.110104</t>
        </is>
      </c>
      <c r="F25" s="5" t="inlineStr">
        <is>
          <t>pH-responsive</t>
        </is>
      </c>
      <c r="G25" s="5" t="inlineStr">
        <is>
          <t>Safety or cytocompatibility</t>
        </is>
      </c>
      <c r="H25" s="6" t="inlineStr">
        <is>
          <t>1</t>
        </is>
      </c>
      <c r="K25" s="5" t="inlineStr">
        <is>
          <t xml:space="preserve">; </t>
        </is>
      </c>
      <c r="M25" s="5" t="inlineStr">
        <is>
          <t>100.0</t>
        </is>
      </c>
      <c r="N25" s="5" t="inlineStr">
        <is>
          <t>YES</t>
        </is>
      </c>
    </row>
    <row r="26">
      <c r="A26" s="6" t="n">
        <v>207</v>
      </c>
      <c r="B26" s="5" t="inlineStr">
        <is>
          <t>S3</t>
        </is>
      </c>
      <c r="C26" s="5" t="inlineStr">
        <is>
          <t>2: Acidic pH-switching adhesive and release matrices</t>
        </is>
      </c>
      <c r="D26" s="5" t="inlineStr">
        <is>
          <t>Dual-crosslinked mussel-inspired smart hydrogels with enhanced antibacterial and angiogenic properties for chronic infected diabetic wound treatment via pH-responsive quick cargo release</t>
        </is>
      </c>
      <c r="E26" s="5" t="inlineStr">
        <is>
          <t>10.1016/j.cej.2021.128564</t>
        </is>
      </c>
      <c r="F26" s="5" t="inlineStr">
        <is>
          <t>pH-responsive</t>
        </is>
      </c>
      <c r="G26" s="5" t="inlineStr">
        <is>
          <t>Release kinetics measured</t>
        </is>
      </c>
      <c r="H26" s="6" t="inlineStr">
        <is>
          <t>1</t>
        </is>
      </c>
      <c r="K26" s="5" t="inlineStr">
        <is>
          <t xml:space="preserve">; </t>
        </is>
      </c>
      <c r="M26" s="5" t="inlineStr">
        <is>
          <t>100.0</t>
        </is>
      </c>
      <c r="N26" s="5" t="inlineStr">
        <is>
          <t>YES</t>
        </is>
      </c>
    </row>
    <row r="27">
      <c r="A27" s="6" t="n">
        <v>207</v>
      </c>
      <c r="B27" s="5" t="inlineStr">
        <is>
          <t>S3</t>
        </is>
      </c>
      <c r="C27" s="5" t="inlineStr">
        <is>
          <t>2: Acidic pH-switching adhesive and release matrices</t>
        </is>
      </c>
      <c r="D27" s="5" t="inlineStr">
        <is>
          <t>Dual-crosslinked mussel-inspired smart hydrogels with enhanced antibacterial and angiogenic properties for chronic infected diabetic wound treatment via pH-responsive quick cargo release</t>
        </is>
      </c>
      <c r="E27" s="5" t="inlineStr">
        <is>
          <t>10.1016/j.cej.2021.128564</t>
        </is>
      </c>
      <c r="F27" s="5" t="inlineStr">
        <is>
          <t>pH-responsive</t>
        </is>
      </c>
      <c r="G27" s="5" t="inlineStr">
        <is>
          <t>Antimicrobial or biofilm control</t>
        </is>
      </c>
      <c r="H27" s="6" t="inlineStr">
        <is>
          <t>1</t>
        </is>
      </c>
      <c r="K27" s="5" t="inlineStr">
        <is>
          <t xml:space="preserve">; </t>
        </is>
      </c>
      <c r="M27" s="5" t="inlineStr">
        <is>
          <t>100.0</t>
        </is>
      </c>
      <c r="N27" s="5" t="inlineStr">
        <is>
          <t>YES</t>
        </is>
      </c>
    </row>
    <row r="28">
      <c r="A28" s="6" t="n">
        <v>207</v>
      </c>
      <c r="B28" s="5" t="inlineStr">
        <is>
          <t>S3</t>
        </is>
      </c>
      <c r="C28" s="5" t="inlineStr">
        <is>
          <t>2: Acidic pH-switching adhesive and release matrices</t>
        </is>
      </c>
      <c r="D28" s="5" t="inlineStr">
        <is>
          <t>Dual-crosslinked mussel-inspired smart hydrogels with enhanced antibacterial and angiogenic properties for chronic infected diabetic wound treatment via pH-responsive quick cargo release</t>
        </is>
      </c>
      <c r="E28" s="5" t="inlineStr">
        <is>
          <t>10.1016/j.cej.2021.128564</t>
        </is>
      </c>
      <c r="F28" s="5" t="inlineStr">
        <is>
          <t>pH-responsive</t>
        </is>
      </c>
      <c r="G28" s="5" t="inlineStr">
        <is>
          <t>Inflammation or macrophage modulation</t>
        </is>
      </c>
      <c r="H28" s="6" t="inlineStr">
        <is>
          <t>1</t>
        </is>
      </c>
      <c r="K28" s="5" t="inlineStr">
        <is>
          <t xml:space="preserve">; </t>
        </is>
      </c>
      <c r="M28" s="5" t="inlineStr">
        <is>
          <t>100.0</t>
        </is>
      </c>
      <c r="N28" s="5" t="inlineStr">
        <is>
          <t>YES</t>
        </is>
      </c>
    </row>
    <row r="29">
      <c r="A29" s="6" t="n">
        <v>207</v>
      </c>
      <c r="B29" s="5" t="inlineStr">
        <is>
          <t>S3</t>
        </is>
      </c>
      <c r="C29" s="5" t="inlineStr">
        <is>
          <t>2: Acidic pH-switching adhesive and release matrices</t>
        </is>
      </c>
      <c r="D29" s="5" t="inlineStr">
        <is>
          <t>Dual-crosslinked mussel-inspired smart hydrogels with enhanced antibacterial and angiogenic properties for chronic infected diabetic wound treatment via pH-responsive quick cargo release</t>
        </is>
      </c>
      <c r="E29" s="5" t="inlineStr">
        <is>
          <t>10.1016/j.cej.2021.128564</t>
        </is>
      </c>
      <c r="F29" s="5" t="inlineStr">
        <is>
          <t>pH-responsive</t>
        </is>
      </c>
      <c r="G29" s="5" t="inlineStr">
        <is>
          <t>Angiogenesis</t>
        </is>
      </c>
      <c r="H29" s="6" t="inlineStr">
        <is>
          <t>1</t>
        </is>
      </c>
      <c r="K29" s="5" t="inlineStr">
        <is>
          <t xml:space="preserve">; </t>
        </is>
      </c>
      <c r="M29" s="5" t="inlineStr">
        <is>
          <t>100.0</t>
        </is>
      </c>
      <c r="N29" s="5" t="inlineStr">
        <is>
          <t>YES</t>
        </is>
      </c>
    </row>
    <row r="30">
      <c r="A30" s="6" t="n">
        <v>207</v>
      </c>
      <c r="B30" s="5" t="inlineStr">
        <is>
          <t>S3</t>
        </is>
      </c>
      <c r="C30" s="5" t="inlineStr">
        <is>
          <t>2: Acidic pH-switching adhesive and release matrices</t>
        </is>
      </c>
      <c r="D30" s="5" t="inlineStr">
        <is>
          <t>Dual-crosslinked mussel-inspired smart hydrogels with enhanced antibacterial and angiogenic properties for chronic infected diabetic wound treatment via pH-responsive quick cargo release</t>
        </is>
      </c>
      <c r="E30" s="5" t="inlineStr">
        <is>
          <t>10.1016/j.cej.2021.128564</t>
        </is>
      </c>
      <c r="F30" s="5" t="inlineStr">
        <is>
          <t>pH-responsive</t>
        </is>
      </c>
      <c r="G30" s="5" t="inlineStr">
        <is>
          <t>Collagen or matrix remodeling</t>
        </is>
      </c>
      <c r="H30" s="6" t="inlineStr">
        <is>
          <t>1</t>
        </is>
      </c>
      <c r="K30" s="5" t="inlineStr">
        <is>
          <t xml:space="preserve">; </t>
        </is>
      </c>
      <c r="M30" s="5" t="inlineStr">
        <is>
          <t>100.0</t>
        </is>
      </c>
      <c r="N30" s="5" t="inlineStr">
        <is>
          <t>YES</t>
        </is>
      </c>
    </row>
    <row r="31">
      <c r="A31" s="6" t="n">
        <v>207</v>
      </c>
      <c r="B31" s="5" t="inlineStr">
        <is>
          <t>S3</t>
        </is>
      </c>
      <c r="C31" s="5" t="inlineStr">
        <is>
          <t>2: Acidic pH-switching adhesive and release matrices</t>
        </is>
      </c>
      <c r="D31" s="5" t="inlineStr">
        <is>
          <t>Dual-crosslinked mussel-inspired smart hydrogels with enhanced antibacterial and angiogenic properties for chronic infected diabetic wound treatment via pH-responsive quick cargo release</t>
        </is>
      </c>
      <c r="E31" s="5" t="inlineStr">
        <is>
          <t>10.1016/j.cej.2021.128564</t>
        </is>
      </c>
      <c r="F31" s="5" t="inlineStr">
        <is>
          <t>pH-responsive</t>
        </is>
      </c>
      <c r="G31" s="5" t="inlineStr">
        <is>
          <t>Re-epithelialization</t>
        </is>
      </c>
      <c r="H31" s="6" t="inlineStr">
        <is>
          <t>1</t>
        </is>
      </c>
      <c r="K31" s="5" t="inlineStr">
        <is>
          <t xml:space="preserve">; </t>
        </is>
      </c>
      <c r="M31" s="5" t="inlineStr">
        <is>
          <t>100.0</t>
        </is>
      </c>
      <c r="N31" s="5" t="inlineStr">
        <is>
          <t>YES</t>
        </is>
      </c>
    </row>
    <row r="32">
      <c r="A32" s="6" t="n">
        <v>207</v>
      </c>
      <c r="B32" s="5" t="inlineStr">
        <is>
          <t>S3</t>
        </is>
      </c>
      <c r="C32" s="5" t="inlineStr">
        <is>
          <t>2: Acidic pH-switching adhesive and release matrices</t>
        </is>
      </c>
      <c r="D32" s="5" t="inlineStr">
        <is>
          <t>Dual-crosslinked mussel-inspired smart hydrogels with enhanced antibacterial and angiogenic properties for chronic infected diabetic wound treatment via pH-responsive quick cargo release</t>
        </is>
      </c>
      <c r="E32" s="5" t="inlineStr">
        <is>
          <t>10.1016/j.cej.2021.128564</t>
        </is>
      </c>
      <c r="F32" s="5" t="inlineStr">
        <is>
          <t>pH-responsive</t>
        </is>
      </c>
      <c r="G32" s="5" t="inlineStr">
        <is>
          <t>Wound closure</t>
        </is>
      </c>
      <c r="H32" s="6" t="inlineStr">
        <is>
          <t>1</t>
        </is>
      </c>
      <c r="K32" s="5" t="inlineStr">
        <is>
          <t xml:space="preserve">; </t>
        </is>
      </c>
      <c r="M32" s="5" t="inlineStr">
        <is>
          <t>100.0</t>
        </is>
      </c>
      <c r="N32" s="5" t="inlineStr">
        <is>
          <t>YES</t>
        </is>
      </c>
    </row>
    <row r="33">
      <c r="A33" s="6" t="n">
        <v>207</v>
      </c>
      <c r="B33" s="5" t="inlineStr">
        <is>
          <t>S3</t>
        </is>
      </c>
      <c r="C33" s="5" t="inlineStr">
        <is>
          <t>2: Acidic pH-switching adhesive and release matrices</t>
        </is>
      </c>
      <c r="D33" s="5" t="inlineStr">
        <is>
          <t>Dual-crosslinked mussel-inspired smart hydrogels with enhanced antibacterial and angiogenic properties for chronic infected diabetic wound treatment via pH-responsive quick cargo release</t>
        </is>
      </c>
      <c r="E33" s="5" t="inlineStr">
        <is>
          <t>10.1016/j.cej.2021.128564</t>
        </is>
      </c>
      <c r="F33" s="5" t="inlineStr">
        <is>
          <t>pH-responsive</t>
        </is>
      </c>
      <c r="G33" s="5" t="inlineStr">
        <is>
          <t>Safety or cytocompatibility</t>
        </is>
      </c>
      <c r="H33" s="6" t="inlineStr">
        <is>
          <t>1</t>
        </is>
      </c>
      <c r="K33" s="5" t="inlineStr">
        <is>
          <t xml:space="preserve">; </t>
        </is>
      </c>
      <c r="M33" s="5" t="inlineStr">
        <is>
          <t>100.0</t>
        </is>
      </c>
      <c r="N33" s="5" t="inlineStr">
        <is>
          <t>YES</t>
        </is>
      </c>
    </row>
    <row r="34">
      <c r="A34" s="6" t="n">
        <v>219</v>
      </c>
      <c r="B34" s="5" t="inlineStr">
        <is>
          <t>S3</t>
        </is>
      </c>
      <c r="C34" s="5" t="inlineStr">
        <is>
          <t>2: Acidic pH-switching adhesive and release matrices</t>
        </is>
      </c>
      <c r="D34" s="5" t="inlineStr">
        <is>
          <t>A dual pH-and temperature-responsive hydrogel produced in situ crosslinking of cyclodextrin-cellulose for wound healing</t>
        </is>
      </c>
      <c r="E34" s="5" t="inlineStr">
        <is>
          <t>10.1016/j.ijbiomac.2023.126693</t>
        </is>
      </c>
      <c r="F34" s="5" t="inlineStr">
        <is>
          <t>pH-responsive</t>
        </is>
      </c>
      <c r="G34" s="5" t="inlineStr">
        <is>
          <t>Release kinetics measured</t>
        </is>
      </c>
      <c r="H34" s="6" t="inlineStr">
        <is>
          <t>1</t>
        </is>
      </c>
      <c r="K34" s="5" t="inlineStr">
        <is>
          <t xml:space="preserve">; </t>
        </is>
      </c>
      <c r="M34" s="5" t="inlineStr">
        <is>
          <t>100.0</t>
        </is>
      </c>
      <c r="N34" s="5" t="inlineStr">
        <is>
          <t>YES</t>
        </is>
      </c>
    </row>
    <row r="35">
      <c r="A35" s="6" t="n">
        <v>219</v>
      </c>
      <c r="B35" s="5" t="inlineStr">
        <is>
          <t>S3</t>
        </is>
      </c>
      <c r="C35" s="5" t="inlineStr">
        <is>
          <t>2: Acidic pH-switching adhesive and release matrices</t>
        </is>
      </c>
      <c r="D35" s="5" t="inlineStr">
        <is>
          <t>A dual pH-and temperature-responsive hydrogel produced in situ crosslinking of cyclodextrin-cellulose for wound healing</t>
        </is>
      </c>
      <c r="E35" s="5" t="inlineStr">
        <is>
          <t>10.1016/j.ijbiomac.2023.126693</t>
        </is>
      </c>
      <c r="F35" s="5" t="inlineStr">
        <is>
          <t>pH-responsive</t>
        </is>
      </c>
      <c r="G35" s="5" t="inlineStr">
        <is>
          <t>Antimicrobial or biofilm control</t>
        </is>
      </c>
      <c r="H35" s="6" t="inlineStr">
        <is>
          <t>1</t>
        </is>
      </c>
      <c r="K35" s="5" t="inlineStr">
        <is>
          <t xml:space="preserve">; </t>
        </is>
      </c>
      <c r="M35" s="5" t="inlineStr">
        <is>
          <t>100.0</t>
        </is>
      </c>
      <c r="N35" s="5" t="inlineStr">
        <is>
          <t>YES</t>
        </is>
      </c>
    </row>
    <row r="36">
      <c r="A36" s="6" t="n">
        <v>219</v>
      </c>
      <c r="B36" s="5" t="inlineStr">
        <is>
          <t>S3</t>
        </is>
      </c>
      <c r="C36" s="5" t="inlineStr">
        <is>
          <t>2: Acidic pH-switching adhesive and release matrices</t>
        </is>
      </c>
      <c r="D36" s="5" t="inlineStr">
        <is>
          <t>A dual pH-and temperature-responsive hydrogel produced in situ crosslinking of cyclodextrin-cellulose for wound healing</t>
        </is>
      </c>
      <c r="E36" s="5" t="inlineStr">
        <is>
          <t>10.1016/j.ijbiomac.2023.126693</t>
        </is>
      </c>
      <c r="F36" s="5" t="inlineStr">
        <is>
          <t>pH-responsive</t>
        </is>
      </c>
      <c r="G36" s="5" t="inlineStr">
        <is>
          <t>Inflammation or macrophage modulation</t>
        </is>
      </c>
      <c r="H36" s="6" t="inlineStr">
        <is>
          <t>1</t>
        </is>
      </c>
      <c r="K36" s="5" t="inlineStr">
        <is>
          <t xml:space="preserve">; </t>
        </is>
      </c>
      <c r="M36" s="5" t="inlineStr">
        <is>
          <t>100.0</t>
        </is>
      </c>
      <c r="N36" s="5" t="inlineStr">
        <is>
          <t>YES</t>
        </is>
      </c>
    </row>
    <row r="37">
      <c r="A37" s="6" t="n">
        <v>219</v>
      </c>
      <c r="B37" s="5" t="inlineStr">
        <is>
          <t>S3</t>
        </is>
      </c>
      <c r="C37" s="5" t="inlineStr">
        <is>
          <t>2: Acidic pH-switching adhesive and release matrices</t>
        </is>
      </c>
      <c r="D37" s="5" t="inlineStr">
        <is>
          <t>A dual pH-and temperature-responsive hydrogel produced in situ crosslinking of cyclodextrin-cellulose for wound healing</t>
        </is>
      </c>
      <c r="E37" s="5" t="inlineStr">
        <is>
          <t>10.1016/j.ijbiomac.2023.126693</t>
        </is>
      </c>
      <c r="F37" s="5" t="inlineStr">
        <is>
          <t>pH-responsive</t>
        </is>
      </c>
      <c r="G37" s="5" t="inlineStr">
        <is>
          <t>Collagen or matrix remodeling</t>
        </is>
      </c>
      <c r="H37" s="6" t="inlineStr">
        <is>
          <t>1</t>
        </is>
      </c>
      <c r="K37" s="5" t="inlineStr">
        <is>
          <t xml:space="preserve">; </t>
        </is>
      </c>
      <c r="M37" s="5" t="inlineStr">
        <is>
          <t>100.0</t>
        </is>
      </c>
      <c r="N37" s="5" t="inlineStr">
        <is>
          <t>YES</t>
        </is>
      </c>
    </row>
    <row r="38">
      <c r="A38" s="6" t="n">
        <v>219</v>
      </c>
      <c r="B38" s="5" t="inlineStr">
        <is>
          <t>S3</t>
        </is>
      </c>
      <c r="C38" s="5" t="inlineStr">
        <is>
          <t>2: Acidic pH-switching adhesive and release matrices</t>
        </is>
      </c>
      <c r="D38" s="5" t="inlineStr">
        <is>
          <t>A dual pH-and temperature-responsive hydrogel produced in situ crosslinking of cyclodextrin-cellulose for wound healing</t>
        </is>
      </c>
      <c r="E38" s="5" t="inlineStr">
        <is>
          <t>10.1016/j.ijbiomac.2023.126693</t>
        </is>
      </c>
      <c r="F38" s="5" t="inlineStr">
        <is>
          <t>pH-responsive</t>
        </is>
      </c>
      <c r="G38" s="5" t="inlineStr">
        <is>
          <t>Re-epithelialization</t>
        </is>
      </c>
      <c r="H38" s="6" t="inlineStr">
        <is>
          <t>1</t>
        </is>
      </c>
      <c r="K38" s="5" t="inlineStr">
        <is>
          <t xml:space="preserve">; </t>
        </is>
      </c>
      <c r="M38" s="5" t="inlineStr">
        <is>
          <t>100.0</t>
        </is>
      </c>
      <c r="N38" s="5" t="inlineStr">
        <is>
          <t>YES</t>
        </is>
      </c>
    </row>
    <row r="39">
      <c r="A39" s="6" t="n">
        <v>219</v>
      </c>
      <c r="B39" s="5" t="inlineStr">
        <is>
          <t>S3</t>
        </is>
      </c>
      <c r="C39" s="5" t="inlineStr">
        <is>
          <t>2: Acidic pH-switching adhesive and release matrices</t>
        </is>
      </c>
      <c r="D39" s="5" t="inlineStr">
        <is>
          <t>A dual pH-and temperature-responsive hydrogel produced in situ crosslinking of cyclodextrin-cellulose for wound healing</t>
        </is>
      </c>
      <c r="E39" s="5" t="inlineStr">
        <is>
          <t>10.1016/j.ijbiomac.2023.126693</t>
        </is>
      </c>
      <c r="F39" s="5" t="inlineStr">
        <is>
          <t>pH-responsive</t>
        </is>
      </c>
      <c r="G39" s="5" t="inlineStr">
        <is>
          <t>Wound closure</t>
        </is>
      </c>
      <c r="H39" s="6" t="inlineStr">
        <is>
          <t>1</t>
        </is>
      </c>
      <c r="K39" s="5" t="inlineStr">
        <is>
          <t xml:space="preserve">; </t>
        </is>
      </c>
      <c r="M39" s="5" t="inlineStr">
        <is>
          <t>100.0</t>
        </is>
      </c>
      <c r="N39" s="5" t="inlineStr">
        <is>
          <t>YES</t>
        </is>
      </c>
    </row>
    <row r="40">
      <c r="A40" s="6" t="n">
        <v>219</v>
      </c>
      <c r="B40" s="5" t="inlineStr">
        <is>
          <t>S3</t>
        </is>
      </c>
      <c r="C40" s="5" t="inlineStr">
        <is>
          <t>2: Acidic pH-switching adhesive and release matrices</t>
        </is>
      </c>
      <c r="D40" s="5" t="inlineStr">
        <is>
          <t>A dual pH-and temperature-responsive hydrogel produced in situ crosslinking of cyclodextrin-cellulose for wound healing</t>
        </is>
      </c>
      <c r="E40" s="5" t="inlineStr">
        <is>
          <t>10.1016/j.ijbiomac.2023.126693</t>
        </is>
      </c>
      <c r="F40" s="5" t="inlineStr">
        <is>
          <t>pH-responsive</t>
        </is>
      </c>
      <c r="G40" s="5" t="inlineStr">
        <is>
          <t>Safety or cytocompatibility</t>
        </is>
      </c>
      <c r="H40" s="6" t="inlineStr">
        <is>
          <t>1</t>
        </is>
      </c>
      <c r="K40" s="5" t="inlineStr">
        <is>
          <t xml:space="preserve">; </t>
        </is>
      </c>
      <c r="M40" s="5" t="inlineStr">
        <is>
          <t>100.0</t>
        </is>
      </c>
      <c r="N40" s="5" t="inlineStr">
        <is>
          <t>YES</t>
        </is>
      </c>
    </row>
    <row r="41">
      <c r="A41" s="6" t="n">
        <v>200</v>
      </c>
      <c r="B41" s="5" t="inlineStr">
        <is>
          <t>S3</t>
        </is>
      </c>
      <c r="C41" s="5" t="inlineStr">
        <is>
          <t>3: Redox-, glucose-, and mixed-stimulus adaptive hydrogels</t>
        </is>
      </c>
      <c r="D41" s="5" t="inlineStr">
        <is>
          <t>Construction of oxidized dextran-based pH/ROS responsive hydrogel with live bacterial microcapsules for accelerating diabetic wound healing via reducing inflammatory factors</t>
        </is>
      </c>
      <c r="E41" s="5" t="inlineStr">
        <is>
          <t>10.1016/j.ijbiomac.2026.151405</t>
        </is>
      </c>
      <c r="F41" s="5" t="inlineStr">
        <is>
          <t>ROS/redox-responsive</t>
        </is>
      </c>
      <c r="G41" s="5" t="inlineStr">
        <is>
          <t>Release kinetics measured</t>
        </is>
      </c>
      <c r="H41" s="6" t="inlineStr">
        <is>
          <t>1</t>
        </is>
      </c>
      <c r="K41" s="5" t="inlineStr">
        <is>
          <t xml:space="preserve">; </t>
        </is>
      </c>
      <c r="M41" s="5" t="inlineStr">
        <is>
          <t>100.0</t>
        </is>
      </c>
      <c r="N41" s="5" t="inlineStr">
        <is>
          <t>YES</t>
        </is>
      </c>
    </row>
    <row r="42">
      <c r="A42" s="6" t="n">
        <v>200</v>
      </c>
      <c r="B42" s="5" t="inlineStr">
        <is>
          <t>S3</t>
        </is>
      </c>
      <c r="C42" s="5" t="inlineStr">
        <is>
          <t>3: Redox-, glucose-, and mixed-stimulus adaptive hydrogels</t>
        </is>
      </c>
      <c r="D42" s="5" t="inlineStr">
        <is>
          <t>Construction of oxidized dextran-based pH/ROS responsive hydrogel with live bacterial microcapsules for accelerating diabetic wound healing via reducing inflammatory factors</t>
        </is>
      </c>
      <c r="E42" s="5" t="inlineStr">
        <is>
          <t>10.1016/j.ijbiomac.2026.151405</t>
        </is>
      </c>
      <c r="F42" s="5" t="inlineStr">
        <is>
          <t>ROS/redox-responsive</t>
        </is>
      </c>
      <c r="G42" s="5" t="inlineStr">
        <is>
          <t>Antimicrobial or biofilm control</t>
        </is>
      </c>
      <c r="H42" s="6" t="inlineStr">
        <is>
          <t>1</t>
        </is>
      </c>
      <c r="K42" s="5" t="inlineStr">
        <is>
          <t xml:space="preserve">; </t>
        </is>
      </c>
      <c r="M42" s="5" t="inlineStr">
        <is>
          <t>100.0</t>
        </is>
      </c>
      <c r="N42" s="5" t="inlineStr">
        <is>
          <t>YES</t>
        </is>
      </c>
    </row>
    <row r="43">
      <c r="A43" s="6" t="n">
        <v>200</v>
      </c>
      <c r="B43" s="5" t="inlineStr">
        <is>
          <t>S3</t>
        </is>
      </c>
      <c r="C43" s="5" t="inlineStr">
        <is>
          <t>3: Redox-, glucose-, and mixed-stimulus adaptive hydrogels</t>
        </is>
      </c>
      <c r="D43" s="5" t="inlineStr">
        <is>
          <t>Construction of oxidized dextran-based pH/ROS responsive hydrogel with live bacterial microcapsules for accelerating diabetic wound healing via reducing inflammatory factors</t>
        </is>
      </c>
      <c r="E43" s="5" t="inlineStr">
        <is>
          <t>10.1016/j.ijbiomac.2026.151405</t>
        </is>
      </c>
      <c r="F43" s="5" t="inlineStr">
        <is>
          <t>ROS/redox-responsive</t>
        </is>
      </c>
      <c r="G43" s="5" t="inlineStr">
        <is>
          <t>Inflammation or macrophage modulation</t>
        </is>
      </c>
      <c r="H43" s="6" t="inlineStr">
        <is>
          <t>1</t>
        </is>
      </c>
      <c r="K43" s="5" t="inlineStr">
        <is>
          <t xml:space="preserve">; </t>
        </is>
      </c>
      <c r="M43" s="5" t="inlineStr">
        <is>
          <t>100.0</t>
        </is>
      </c>
      <c r="N43" s="5" t="inlineStr">
        <is>
          <t>YES</t>
        </is>
      </c>
    </row>
    <row r="44">
      <c r="A44" s="6" t="n">
        <v>200</v>
      </c>
      <c r="B44" s="5" t="inlineStr">
        <is>
          <t>S3</t>
        </is>
      </c>
      <c r="C44" s="5" t="inlineStr">
        <is>
          <t>3: Redox-, glucose-, and mixed-stimulus adaptive hydrogels</t>
        </is>
      </c>
      <c r="D44" s="5" t="inlineStr">
        <is>
          <t>Construction of oxidized dextran-based pH/ROS responsive hydrogel with live bacterial microcapsules for accelerating diabetic wound healing via reducing inflammatory factors</t>
        </is>
      </c>
      <c r="E44" s="5" t="inlineStr">
        <is>
          <t>10.1016/j.ijbiomac.2026.151405</t>
        </is>
      </c>
      <c r="F44" s="5" t="inlineStr">
        <is>
          <t>ROS/redox-responsive</t>
        </is>
      </c>
      <c r="G44" s="5" t="inlineStr">
        <is>
          <t>Angiogenesis</t>
        </is>
      </c>
      <c r="H44" s="6" t="inlineStr">
        <is>
          <t>1</t>
        </is>
      </c>
      <c r="K44" s="5" t="inlineStr">
        <is>
          <t xml:space="preserve">; </t>
        </is>
      </c>
      <c r="M44" s="5" t="inlineStr">
        <is>
          <t>100.0</t>
        </is>
      </c>
      <c r="N44" s="5" t="inlineStr">
        <is>
          <t>YES</t>
        </is>
      </c>
    </row>
    <row r="45">
      <c r="A45" s="6" t="n">
        <v>200</v>
      </c>
      <c r="B45" s="5" t="inlineStr">
        <is>
          <t>S3</t>
        </is>
      </c>
      <c r="C45" s="5" t="inlineStr">
        <is>
          <t>3: Redox-, glucose-, and mixed-stimulus adaptive hydrogels</t>
        </is>
      </c>
      <c r="D45" s="5" t="inlineStr">
        <is>
          <t>Construction of oxidized dextran-based pH/ROS responsive hydrogel with live bacterial microcapsules for accelerating diabetic wound healing via reducing inflammatory factors</t>
        </is>
      </c>
      <c r="E45" s="5" t="inlineStr">
        <is>
          <t>10.1016/j.ijbiomac.2026.151405</t>
        </is>
      </c>
      <c r="F45" s="5" t="inlineStr">
        <is>
          <t>ROS/redox-responsive</t>
        </is>
      </c>
      <c r="G45" s="5" t="inlineStr">
        <is>
          <t>Collagen or matrix remodeling</t>
        </is>
      </c>
      <c r="H45" s="6" t="inlineStr">
        <is>
          <t>1</t>
        </is>
      </c>
      <c r="K45" s="5" t="inlineStr">
        <is>
          <t xml:space="preserve">; </t>
        </is>
      </c>
      <c r="M45" s="5" t="inlineStr">
        <is>
          <t>100.0</t>
        </is>
      </c>
      <c r="N45" s="5" t="inlineStr">
        <is>
          <t>YES</t>
        </is>
      </c>
    </row>
    <row r="46">
      <c r="A46" s="6" t="n">
        <v>200</v>
      </c>
      <c r="B46" s="5" t="inlineStr">
        <is>
          <t>S3</t>
        </is>
      </c>
      <c r="C46" s="5" t="inlineStr">
        <is>
          <t>3: Redox-, glucose-, and mixed-stimulus adaptive hydrogels</t>
        </is>
      </c>
      <c r="D46" s="5" t="inlineStr">
        <is>
          <t>Construction of oxidized dextran-based pH/ROS responsive hydrogel with live bacterial microcapsules for accelerating diabetic wound healing via reducing inflammatory factors</t>
        </is>
      </c>
      <c r="E46" s="5" t="inlineStr">
        <is>
          <t>10.1016/j.ijbiomac.2026.151405</t>
        </is>
      </c>
      <c r="F46" s="5" t="inlineStr">
        <is>
          <t>ROS/redox-responsive</t>
        </is>
      </c>
      <c r="G46" s="5" t="inlineStr">
        <is>
          <t>Re-epithelialization</t>
        </is>
      </c>
      <c r="H46" s="6" t="inlineStr">
        <is>
          <t>1</t>
        </is>
      </c>
      <c r="K46" s="5" t="inlineStr">
        <is>
          <t xml:space="preserve">; </t>
        </is>
      </c>
      <c r="M46" s="5" t="inlineStr">
        <is>
          <t>100.0</t>
        </is>
      </c>
      <c r="N46" s="5" t="inlineStr">
        <is>
          <t>YES</t>
        </is>
      </c>
    </row>
    <row r="47">
      <c r="A47" s="6" t="n">
        <v>200</v>
      </c>
      <c r="B47" s="5" t="inlineStr">
        <is>
          <t>S3</t>
        </is>
      </c>
      <c r="C47" s="5" t="inlineStr">
        <is>
          <t>3: Redox-, glucose-, and mixed-stimulus adaptive hydrogels</t>
        </is>
      </c>
      <c r="D47" s="5" t="inlineStr">
        <is>
          <t>Construction of oxidized dextran-based pH/ROS responsive hydrogel with live bacterial microcapsules for accelerating diabetic wound healing via reducing inflammatory factors</t>
        </is>
      </c>
      <c r="E47" s="5" t="inlineStr">
        <is>
          <t>10.1016/j.ijbiomac.2026.151405</t>
        </is>
      </c>
      <c r="F47" s="5" t="inlineStr">
        <is>
          <t>ROS/redox-responsive</t>
        </is>
      </c>
      <c r="G47" s="5" t="inlineStr">
        <is>
          <t>Wound closure</t>
        </is>
      </c>
      <c r="H47" s="6" t="inlineStr">
        <is>
          <t>1</t>
        </is>
      </c>
      <c r="K47" s="5" t="inlineStr">
        <is>
          <t xml:space="preserve">; </t>
        </is>
      </c>
      <c r="M47" s="5" t="inlineStr">
        <is>
          <t>100.0</t>
        </is>
      </c>
      <c r="N47" s="5" t="inlineStr">
        <is>
          <t>YES</t>
        </is>
      </c>
    </row>
    <row r="48">
      <c r="A48" s="6" t="n">
        <v>200</v>
      </c>
      <c r="B48" s="5" t="inlineStr">
        <is>
          <t>S3</t>
        </is>
      </c>
      <c r="C48" s="5" t="inlineStr">
        <is>
          <t>3: Redox-, glucose-, and mixed-stimulus adaptive hydrogels</t>
        </is>
      </c>
      <c r="D48" s="5" t="inlineStr">
        <is>
          <t>Construction of oxidized dextran-based pH/ROS responsive hydrogel with live bacterial microcapsules for accelerating diabetic wound healing via reducing inflammatory factors</t>
        </is>
      </c>
      <c r="E48" s="5" t="inlineStr">
        <is>
          <t>10.1016/j.ijbiomac.2026.151405</t>
        </is>
      </c>
      <c r="F48" s="5" t="inlineStr">
        <is>
          <t>ROS/redox-responsive</t>
        </is>
      </c>
      <c r="G48" s="5" t="inlineStr">
        <is>
          <t>Safety or cytocompatibility</t>
        </is>
      </c>
      <c r="H48" s="6" t="inlineStr">
        <is>
          <t>1</t>
        </is>
      </c>
      <c r="K48" s="5" t="inlineStr">
        <is>
          <t xml:space="preserve">; </t>
        </is>
      </c>
      <c r="M48" s="5" t="inlineStr">
        <is>
          <t>100.0</t>
        </is>
      </c>
      <c r="N48" s="5" t="inlineStr">
        <is>
          <t>YES</t>
        </is>
      </c>
    </row>
    <row r="49">
      <c r="A49" s="6" t="n">
        <v>201</v>
      </c>
      <c r="B49" s="5" t="inlineStr">
        <is>
          <t>S3</t>
        </is>
      </c>
      <c r="C49" s="5" t="inlineStr">
        <is>
          <t>3: Redox-, glucose-, and mixed-stimulus adaptive hydrogels</t>
        </is>
      </c>
      <c r="D49" s="5" t="inlineStr">
        <is>
          <t>pH/ROS responsive hydrogel loaded with bimetallic phenolic nanoparticles: A multifaceted therapeutic strategy for accelerating diabetic wound repair</t>
        </is>
      </c>
      <c r="E49" s="5" t="inlineStr">
        <is>
          <t>10.1016/j.cej.2025.170173</t>
        </is>
      </c>
      <c r="F49" s="5" t="inlineStr">
        <is>
          <t>ROS/redox-responsive</t>
        </is>
      </c>
      <c r="G49" s="5" t="inlineStr">
        <is>
          <t>Release kinetics measured</t>
        </is>
      </c>
      <c r="H49" s="6" t="inlineStr">
        <is>
          <t>1</t>
        </is>
      </c>
      <c r="K49" s="5" t="inlineStr">
        <is>
          <t xml:space="preserve">; </t>
        </is>
      </c>
      <c r="M49" s="5" t="inlineStr">
        <is>
          <t>100.0</t>
        </is>
      </c>
      <c r="N49" s="5" t="inlineStr">
        <is>
          <t>YES</t>
        </is>
      </c>
    </row>
    <row r="50">
      <c r="A50" s="6" t="n">
        <v>201</v>
      </c>
      <c r="B50" s="5" t="inlineStr">
        <is>
          <t>S3</t>
        </is>
      </c>
      <c r="C50" s="5" t="inlineStr">
        <is>
          <t>3: Redox-, glucose-, and mixed-stimulus adaptive hydrogels</t>
        </is>
      </c>
      <c r="D50" s="5" t="inlineStr">
        <is>
          <t>pH/ROS responsive hydrogel loaded with bimetallic phenolic nanoparticles: A multifaceted therapeutic strategy for accelerating diabetic wound repair</t>
        </is>
      </c>
      <c r="E50" s="5" t="inlineStr">
        <is>
          <t>10.1016/j.cej.2025.170173</t>
        </is>
      </c>
      <c r="F50" s="5" t="inlineStr">
        <is>
          <t>ROS/redox-responsive</t>
        </is>
      </c>
      <c r="G50" s="5" t="inlineStr">
        <is>
          <t>Antimicrobial or biofilm control</t>
        </is>
      </c>
      <c r="H50" s="6" t="inlineStr">
        <is>
          <t>1</t>
        </is>
      </c>
      <c r="K50" s="5" t="inlineStr">
        <is>
          <t xml:space="preserve">; </t>
        </is>
      </c>
      <c r="M50" s="5" t="inlineStr">
        <is>
          <t>100.0</t>
        </is>
      </c>
      <c r="N50" s="5" t="inlineStr">
        <is>
          <t>YES</t>
        </is>
      </c>
    </row>
    <row r="51">
      <c r="A51" s="6" t="n">
        <v>201</v>
      </c>
      <c r="B51" s="5" t="inlineStr">
        <is>
          <t>S3</t>
        </is>
      </c>
      <c r="C51" s="5" t="inlineStr">
        <is>
          <t>3: Redox-, glucose-, and mixed-stimulus adaptive hydrogels</t>
        </is>
      </c>
      <c r="D51" s="5" t="inlineStr">
        <is>
          <t>pH/ROS responsive hydrogel loaded with bimetallic phenolic nanoparticles: A multifaceted therapeutic strategy for accelerating diabetic wound repair</t>
        </is>
      </c>
      <c r="E51" s="5" t="inlineStr">
        <is>
          <t>10.1016/j.cej.2025.170173</t>
        </is>
      </c>
      <c r="F51" s="5" t="inlineStr">
        <is>
          <t>ROS/redox-responsive</t>
        </is>
      </c>
      <c r="G51" s="5" t="inlineStr">
        <is>
          <t>Inflammation or macrophage modulation</t>
        </is>
      </c>
      <c r="H51" s="6" t="inlineStr">
        <is>
          <t>1</t>
        </is>
      </c>
      <c r="K51" s="5" t="inlineStr">
        <is>
          <t xml:space="preserve">; </t>
        </is>
      </c>
      <c r="M51" s="5" t="inlineStr">
        <is>
          <t>100.0</t>
        </is>
      </c>
      <c r="N51" s="5" t="inlineStr">
        <is>
          <t>YES</t>
        </is>
      </c>
    </row>
    <row r="52">
      <c r="A52" s="6" t="n">
        <v>201</v>
      </c>
      <c r="B52" s="5" t="inlineStr">
        <is>
          <t>S3</t>
        </is>
      </c>
      <c r="C52" s="5" t="inlineStr">
        <is>
          <t>3: Redox-, glucose-, and mixed-stimulus adaptive hydrogels</t>
        </is>
      </c>
      <c r="D52" s="5" t="inlineStr">
        <is>
          <t>pH/ROS responsive hydrogel loaded with bimetallic phenolic nanoparticles: A multifaceted therapeutic strategy for accelerating diabetic wound repair</t>
        </is>
      </c>
      <c r="E52" s="5" t="inlineStr">
        <is>
          <t>10.1016/j.cej.2025.170173</t>
        </is>
      </c>
      <c r="F52" s="5" t="inlineStr">
        <is>
          <t>ROS/redox-responsive</t>
        </is>
      </c>
      <c r="G52" s="5" t="inlineStr">
        <is>
          <t>Angiogenesis</t>
        </is>
      </c>
      <c r="H52" s="6" t="inlineStr">
        <is>
          <t>1</t>
        </is>
      </c>
      <c r="K52" s="5" t="inlineStr">
        <is>
          <t xml:space="preserve">; </t>
        </is>
      </c>
      <c r="M52" s="5" t="inlineStr">
        <is>
          <t>100.0</t>
        </is>
      </c>
      <c r="N52" s="5" t="inlineStr">
        <is>
          <t>YES</t>
        </is>
      </c>
    </row>
    <row r="53">
      <c r="A53" s="6" t="n">
        <v>201</v>
      </c>
      <c r="B53" s="5" t="inlineStr">
        <is>
          <t>S3</t>
        </is>
      </c>
      <c r="C53" s="5" t="inlineStr">
        <is>
          <t>3: Redox-, glucose-, and mixed-stimulus adaptive hydrogels</t>
        </is>
      </c>
      <c r="D53" s="5" t="inlineStr">
        <is>
          <t>pH/ROS responsive hydrogel loaded with bimetallic phenolic nanoparticles: A multifaceted therapeutic strategy for accelerating diabetic wound repair</t>
        </is>
      </c>
      <c r="E53" s="5" t="inlineStr">
        <is>
          <t>10.1016/j.cej.2025.170173</t>
        </is>
      </c>
      <c r="F53" s="5" t="inlineStr">
        <is>
          <t>ROS/redox-responsive</t>
        </is>
      </c>
      <c r="G53" s="5" t="inlineStr">
        <is>
          <t>Collagen or matrix remodeling</t>
        </is>
      </c>
      <c r="H53" s="6" t="inlineStr">
        <is>
          <t>1</t>
        </is>
      </c>
      <c r="K53" s="5" t="inlineStr">
        <is>
          <t xml:space="preserve">; </t>
        </is>
      </c>
      <c r="M53" s="5" t="inlineStr">
        <is>
          <t>100.0</t>
        </is>
      </c>
      <c r="N53" s="5" t="inlineStr">
        <is>
          <t>YES</t>
        </is>
      </c>
    </row>
    <row r="54">
      <c r="A54" s="6" t="n">
        <v>201</v>
      </c>
      <c r="B54" s="5" t="inlineStr">
        <is>
          <t>S3</t>
        </is>
      </c>
      <c r="C54" s="5" t="inlineStr">
        <is>
          <t>3: Redox-, glucose-, and mixed-stimulus adaptive hydrogels</t>
        </is>
      </c>
      <c r="D54" s="5" t="inlineStr">
        <is>
          <t>pH/ROS responsive hydrogel loaded with bimetallic phenolic nanoparticles: A multifaceted therapeutic strategy for accelerating diabetic wound repair</t>
        </is>
      </c>
      <c r="E54" s="5" t="inlineStr">
        <is>
          <t>10.1016/j.cej.2025.170173</t>
        </is>
      </c>
      <c r="F54" s="5" t="inlineStr">
        <is>
          <t>ROS/redox-responsive</t>
        </is>
      </c>
      <c r="G54" s="5" t="inlineStr">
        <is>
          <t>Re-epithelialization</t>
        </is>
      </c>
      <c r="H54" s="6" t="inlineStr">
        <is>
          <t>1</t>
        </is>
      </c>
      <c r="K54" s="5" t="inlineStr">
        <is>
          <t xml:space="preserve">; </t>
        </is>
      </c>
      <c r="M54" s="5" t="inlineStr">
        <is>
          <t>100.0</t>
        </is>
      </c>
      <c r="N54" s="5" t="inlineStr">
        <is>
          <t>YES</t>
        </is>
      </c>
    </row>
    <row r="55">
      <c r="A55" s="6" t="n">
        <v>201</v>
      </c>
      <c r="B55" s="5" t="inlineStr">
        <is>
          <t>S3</t>
        </is>
      </c>
      <c r="C55" s="5" t="inlineStr">
        <is>
          <t>3: Redox-, glucose-, and mixed-stimulus adaptive hydrogels</t>
        </is>
      </c>
      <c r="D55" s="5" t="inlineStr">
        <is>
          <t>pH/ROS responsive hydrogel loaded with bimetallic phenolic nanoparticles: A multifaceted therapeutic strategy for accelerating diabetic wound repair</t>
        </is>
      </c>
      <c r="E55" s="5" t="inlineStr">
        <is>
          <t>10.1016/j.cej.2025.170173</t>
        </is>
      </c>
      <c r="F55" s="5" t="inlineStr">
        <is>
          <t>ROS/redox-responsive</t>
        </is>
      </c>
      <c r="G55" s="5" t="inlineStr">
        <is>
          <t>Wound closure</t>
        </is>
      </c>
      <c r="H55" s="6" t="inlineStr">
        <is>
          <t>1</t>
        </is>
      </c>
      <c r="K55" s="5" t="inlineStr">
        <is>
          <t xml:space="preserve">; </t>
        </is>
      </c>
      <c r="M55" s="5" t="inlineStr">
        <is>
          <t>100.0</t>
        </is>
      </c>
      <c r="N55" s="5" t="inlineStr">
        <is>
          <t>YES</t>
        </is>
      </c>
    </row>
    <row r="56">
      <c r="A56" s="6" t="n">
        <v>201</v>
      </c>
      <c r="B56" s="5" t="inlineStr">
        <is>
          <t>S3</t>
        </is>
      </c>
      <c r="C56" s="5" t="inlineStr">
        <is>
          <t>3: Redox-, glucose-, and mixed-stimulus adaptive hydrogels</t>
        </is>
      </c>
      <c r="D56" s="5" t="inlineStr">
        <is>
          <t>pH/ROS responsive hydrogel loaded with bimetallic phenolic nanoparticles: A multifaceted therapeutic strategy for accelerating diabetic wound repair</t>
        </is>
      </c>
      <c r="E56" s="5" t="inlineStr">
        <is>
          <t>10.1016/j.cej.2025.170173</t>
        </is>
      </c>
      <c r="F56" s="5" t="inlineStr">
        <is>
          <t>ROS/redox-responsive</t>
        </is>
      </c>
      <c r="G56" s="5" t="inlineStr">
        <is>
          <t>Safety or cytocompatibility</t>
        </is>
      </c>
      <c r="H56" s="6" t="inlineStr">
        <is>
          <t>1</t>
        </is>
      </c>
      <c r="K56" s="5" t="inlineStr">
        <is>
          <t xml:space="preserve">; </t>
        </is>
      </c>
      <c r="M56" s="5" t="inlineStr">
        <is>
          <t>100.0</t>
        </is>
      </c>
      <c r="N56" s="5" t="inlineStr">
        <is>
          <t>YES</t>
        </is>
      </c>
    </row>
    <row r="57">
      <c r="A57" s="6" t="n">
        <v>210</v>
      </c>
      <c r="B57" s="5" t="inlineStr">
        <is>
          <t>S3</t>
        </is>
      </c>
      <c r="C57" s="5" t="inlineStr">
        <is>
          <t>3: Redox-, glucose-, and mixed-stimulus adaptive hydrogels</t>
        </is>
      </c>
      <c r="D57" s="5" t="inlineStr">
        <is>
          <t>ROS-scavenging hydrogel to promote healing of bacteria infected diabetic wounds</t>
        </is>
      </c>
      <c r="E57" s="5" t="inlineStr">
        <is>
          <t>10.1016/j.biomaterials.2020.120286</t>
        </is>
      </c>
      <c r="F57" s="5" t="inlineStr">
        <is>
          <t>ROS/redox-responsive</t>
        </is>
      </c>
      <c r="G57" s="5" t="inlineStr">
        <is>
          <t>Release kinetics measured</t>
        </is>
      </c>
      <c r="H57" s="6" t="inlineStr">
        <is>
          <t>1</t>
        </is>
      </c>
      <c r="K57" s="5" t="inlineStr">
        <is>
          <t xml:space="preserve">; </t>
        </is>
      </c>
      <c r="M57" s="5" t="inlineStr">
        <is>
          <t>100.0</t>
        </is>
      </c>
      <c r="N57" s="5" t="inlineStr">
        <is>
          <t>YES</t>
        </is>
      </c>
    </row>
    <row r="58">
      <c r="A58" s="6" t="n">
        <v>210</v>
      </c>
      <c r="B58" s="5" t="inlineStr">
        <is>
          <t>S3</t>
        </is>
      </c>
      <c r="C58" s="5" t="inlineStr">
        <is>
          <t>3: Redox-, glucose-, and mixed-stimulus adaptive hydrogels</t>
        </is>
      </c>
      <c r="D58" s="5" t="inlineStr">
        <is>
          <t>ROS-scavenging hydrogel to promote healing of bacteria infected diabetic wounds</t>
        </is>
      </c>
      <c r="E58" s="5" t="inlineStr">
        <is>
          <t>10.1016/j.biomaterials.2020.120286</t>
        </is>
      </c>
      <c r="F58" s="5" t="inlineStr">
        <is>
          <t>ROS/redox-responsive</t>
        </is>
      </c>
      <c r="G58" s="5" t="inlineStr">
        <is>
          <t>Antimicrobial or biofilm control</t>
        </is>
      </c>
      <c r="H58" s="6" t="inlineStr">
        <is>
          <t>1</t>
        </is>
      </c>
      <c r="K58" s="5" t="inlineStr">
        <is>
          <t xml:space="preserve">; </t>
        </is>
      </c>
      <c r="M58" s="5" t="inlineStr">
        <is>
          <t>100.0</t>
        </is>
      </c>
      <c r="N58" s="5" t="inlineStr">
        <is>
          <t>YES</t>
        </is>
      </c>
    </row>
    <row r="59">
      <c r="A59" s="6" t="n">
        <v>210</v>
      </c>
      <c r="B59" s="5" t="inlineStr">
        <is>
          <t>S3</t>
        </is>
      </c>
      <c r="C59" s="5" t="inlineStr">
        <is>
          <t>3: Redox-, glucose-, and mixed-stimulus adaptive hydrogels</t>
        </is>
      </c>
      <c r="D59" s="5" t="inlineStr">
        <is>
          <t>ROS-scavenging hydrogel to promote healing of bacteria infected diabetic wounds</t>
        </is>
      </c>
      <c r="E59" s="5" t="inlineStr">
        <is>
          <t>10.1016/j.biomaterials.2020.120286</t>
        </is>
      </c>
      <c r="F59" s="5" t="inlineStr">
        <is>
          <t>ROS/redox-responsive</t>
        </is>
      </c>
      <c r="G59" s="5" t="inlineStr">
        <is>
          <t>Inflammation or macrophage modulation</t>
        </is>
      </c>
      <c r="H59" s="6" t="inlineStr">
        <is>
          <t>1</t>
        </is>
      </c>
      <c r="K59" s="5" t="inlineStr">
        <is>
          <t xml:space="preserve">; </t>
        </is>
      </c>
      <c r="M59" s="5" t="inlineStr">
        <is>
          <t>100.0</t>
        </is>
      </c>
      <c r="N59" s="5" t="inlineStr">
        <is>
          <t>YES</t>
        </is>
      </c>
    </row>
    <row r="60">
      <c r="A60" s="6" t="n">
        <v>210</v>
      </c>
      <c r="B60" s="5" t="inlineStr">
        <is>
          <t>S3</t>
        </is>
      </c>
      <c r="C60" s="5" t="inlineStr">
        <is>
          <t>3: Redox-, glucose-, and mixed-stimulus adaptive hydrogels</t>
        </is>
      </c>
      <c r="D60" s="5" t="inlineStr">
        <is>
          <t>ROS-scavenging hydrogel to promote healing of bacteria infected diabetic wounds</t>
        </is>
      </c>
      <c r="E60" s="5" t="inlineStr">
        <is>
          <t>10.1016/j.biomaterials.2020.120286</t>
        </is>
      </c>
      <c r="F60" s="5" t="inlineStr">
        <is>
          <t>ROS/redox-responsive</t>
        </is>
      </c>
      <c r="G60" s="5" t="inlineStr">
        <is>
          <t>Angiogenesis</t>
        </is>
      </c>
      <c r="H60" s="6" t="inlineStr">
        <is>
          <t>1</t>
        </is>
      </c>
      <c r="K60" s="5" t="inlineStr">
        <is>
          <t xml:space="preserve">; </t>
        </is>
      </c>
      <c r="M60" s="5" t="inlineStr">
        <is>
          <t>100.0</t>
        </is>
      </c>
      <c r="N60" s="5" t="inlineStr">
        <is>
          <t>YES</t>
        </is>
      </c>
    </row>
    <row r="61">
      <c r="A61" s="6" t="n">
        <v>210</v>
      </c>
      <c r="B61" s="5" t="inlineStr">
        <is>
          <t>S3</t>
        </is>
      </c>
      <c r="C61" s="5" t="inlineStr">
        <is>
          <t>3: Redox-, glucose-, and mixed-stimulus adaptive hydrogels</t>
        </is>
      </c>
      <c r="D61" s="5" t="inlineStr">
        <is>
          <t>ROS-scavenging hydrogel to promote healing of bacteria infected diabetic wounds</t>
        </is>
      </c>
      <c r="E61" s="5" t="inlineStr">
        <is>
          <t>10.1016/j.biomaterials.2020.120286</t>
        </is>
      </c>
      <c r="F61" s="5" t="inlineStr">
        <is>
          <t>ROS/redox-responsive</t>
        </is>
      </c>
      <c r="G61" s="5" t="inlineStr">
        <is>
          <t>Collagen or matrix remodeling</t>
        </is>
      </c>
      <c r="H61" s="6" t="inlineStr">
        <is>
          <t>1</t>
        </is>
      </c>
      <c r="K61" s="5" t="inlineStr">
        <is>
          <t xml:space="preserve">; </t>
        </is>
      </c>
      <c r="M61" s="5" t="inlineStr">
        <is>
          <t>100.0</t>
        </is>
      </c>
      <c r="N61" s="5" t="inlineStr">
        <is>
          <t>YES</t>
        </is>
      </c>
    </row>
    <row r="62">
      <c r="A62" s="6" t="n">
        <v>210</v>
      </c>
      <c r="B62" s="5" t="inlineStr">
        <is>
          <t>S3</t>
        </is>
      </c>
      <c r="C62" s="5" t="inlineStr">
        <is>
          <t>3: Redox-, glucose-, and mixed-stimulus adaptive hydrogels</t>
        </is>
      </c>
      <c r="D62" s="5" t="inlineStr">
        <is>
          <t>ROS-scavenging hydrogel to promote healing of bacteria infected diabetic wounds</t>
        </is>
      </c>
      <c r="E62" s="5" t="inlineStr">
        <is>
          <t>10.1016/j.biomaterials.2020.120286</t>
        </is>
      </c>
      <c r="F62" s="5" t="inlineStr">
        <is>
          <t>ROS/redox-responsive</t>
        </is>
      </c>
      <c r="G62" s="5" t="inlineStr">
        <is>
          <t>Wound closure</t>
        </is>
      </c>
      <c r="H62" s="6" t="inlineStr">
        <is>
          <t>1</t>
        </is>
      </c>
      <c r="K62" s="5" t="inlineStr">
        <is>
          <t xml:space="preserve">; </t>
        </is>
      </c>
      <c r="M62" s="5" t="inlineStr">
        <is>
          <t>100.0</t>
        </is>
      </c>
      <c r="N62" s="5" t="inlineStr">
        <is>
          <t>YES</t>
        </is>
      </c>
    </row>
    <row r="63">
      <c r="A63" s="6" t="n">
        <v>211</v>
      </c>
      <c r="B63" s="5" t="inlineStr">
        <is>
          <t>S3</t>
        </is>
      </c>
      <c r="C63" s="5" t="inlineStr">
        <is>
          <t>3: Redox-, glucose-, and mixed-stimulus adaptive hydrogels</t>
        </is>
      </c>
      <c r="D63" s="5" t="inlineStr">
        <is>
          <t>Ros-responsive hydrogel with size-dependent sequential release effects for anti-bacterial and anti-inflammation in diabetic wound healing</t>
        </is>
      </c>
      <c r="F63" s="5" t="inlineStr">
        <is>
          <t>ROS/redox-responsive</t>
        </is>
      </c>
      <c r="G63" s="5" t="inlineStr">
        <is>
          <t>Release kinetics measured</t>
        </is>
      </c>
      <c r="H63" s="6" t="inlineStr">
        <is>
          <t>1</t>
        </is>
      </c>
      <c r="K63" s="5" t="inlineStr">
        <is>
          <t xml:space="preserve">; </t>
        </is>
      </c>
      <c r="M63" s="5" t="inlineStr">
        <is>
          <t>100.0</t>
        </is>
      </c>
      <c r="N63" s="5" t="inlineStr">
        <is>
          <t>YES</t>
        </is>
      </c>
    </row>
    <row r="64">
      <c r="A64" s="6" t="n">
        <v>211</v>
      </c>
      <c r="B64" s="5" t="inlineStr">
        <is>
          <t>S3</t>
        </is>
      </c>
      <c r="C64" s="5" t="inlineStr">
        <is>
          <t>3: Redox-, glucose-, and mixed-stimulus adaptive hydrogels</t>
        </is>
      </c>
      <c r="D64" s="5" t="inlineStr">
        <is>
          <t>Ros-responsive hydrogel with size-dependent sequential release effects for anti-bacterial and anti-inflammation in diabetic wound healing</t>
        </is>
      </c>
      <c r="F64" s="5" t="inlineStr">
        <is>
          <t>ROS/redox-responsive</t>
        </is>
      </c>
      <c r="G64" s="5" t="inlineStr">
        <is>
          <t>Antimicrobial or biofilm control</t>
        </is>
      </c>
      <c r="H64" s="6" t="inlineStr">
        <is>
          <t>1</t>
        </is>
      </c>
      <c r="K64" s="5" t="inlineStr">
        <is>
          <t xml:space="preserve">; </t>
        </is>
      </c>
      <c r="M64" s="5" t="inlineStr">
        <is>
          <t>100.0</t>
        </is>
      </c>
      <c r="N64" s="5" t="inlineStr">
        <is>
          <t>YES</t>
        </is>
      </c>
    </row>
    <row r="65">
      <c r="A65" s="6" t="n">
        <v>211</v>
      </c>
      <c r="B65" s="5" t="inlineStr">
        <is>
          <t>S3</t>
        </is>
      </c>
      <c r="C65" s="5" t="inlineStr">
        <is>
          <t>3: Redox-, glucose-, and mixed-stimulus adaptive hydrogels</t>
        </is>
      </c>
      <c r="D65" s="5" t="inlineStr">
        <is>
          <t>Ros-responsive hydrogel with size-dependent sequential release effects for anti-bacterial and anti-inflammation in diabetic wound healing</t>
        </is>
      </c>
      <c r="F65" s="5" t="inlineStr">
        <is>
          <t>ROS/redox-responsive</t>
        </is>
      </c>
      <c r="G65" s="5" t="inlineStr">
        <is>
          <t>Inflammation or macrophage modulation</t>
        </is>
      </c>
      <c r="H65" s="6" t="inlineStr">
        <is>
          <t>1</t>
        </is>
      </c>
      <c r="K65" s="5" t="inlineStr">
        <is>
          <t xml:space="preserve">; </t>
        </is>
      </c>
      <c r="M65" s="5" t="inlineStr">
        <is>
          <t>100.0</t>
        </is>
      </c>
      <c r="N65" s="5" t="inlineStr">
        <is>
          <t>YES</t>
        </is>
      </c>
    </row>
    <row r="66">
      <c r="A66" s="6" t="n">
        <v>211</v>
      </c>
      <c r="B66" s="5" t="inlineStr">
        <is>
          <t>S3</t>
        </is>
      </c>
      <c r="C66" s="5" t="inlineStr">
        <is>
          <t>3: Redox-, glucose-, and mixed-stimulus adaptive hydrogels</t>
        </is>
      </c>
      <c r="D66" s="5" t="inlineStr">
        <is>
          <t>Ros-responsive hydrogel with size-dependent sequential release effects for anti-bacterial and anti-inflammation in diabetic wound healing</t>
        </is>
      </c>
      <c r="F66" s="5" t="inlineStr">
        <is>
          <t>ROS/redox-responsive</t>
        </is>
      </c>
      <c r="G66" s="5" t="inlineStr">
        <is>
          <t>Collagen or matrix remodeling</t>
        </is>
      </c>
      <c r="H66" s="6" t="inlineStr">
        <is>
          <t>1</t>
        </is>
      </c>
      <c r="K66" s="5" t="inlineStr">
        <is>
          <t xml:space="preserve">; </t>
        </is>
      </c>
      <c r="M66" s="5" t="inlineStr">
        <is>
          <t>100.0</t>
        </is>
      </c>
      <c r="N66" s="5" t="inlineStr">
        <is>
          <t>YES</t>
        </is>
      </c>
    </row>
    <row r="67">
      <c r="A67" s="6" t="n">
        <v>211</v>
      </c>
      <c r="B67" s="5" t="inlineStr">
        <is>
          <t>S3</t>
        </is>
      </c>
      <c r="C67" s="5" t="inlineStr">
        <is>
          <t>3: Redox-, glucose-, and mixed-stimulus adaptive hydrogels</t>
        </is>
      </c>
      <c r="D67" s="5" t="inlineStr">
        <is>
          <t>Ros-responsive hydrogel with size-dependent sequential release effects for anti-bacterial and anti-inflammation in diabetic wound healing</t>
        </is>
      </c>
      <c r="F67" s="5" t="inlineStr">
        <is>
          <t>ROS/redox-responsive</t>
        </is>
      </c>
      <c r="G67" s="5" t="inlineStr">
        <is>
          <t>Wound closure</t>
        </is>
      </c>
      <c r="H67" s="6" t="inlineStr">
        <is>
          <t>1</t>
        </is>
      </c>
      <c r="K67" s="5" t="inlineStr">
        <is>
          <t xml:space="preserve">; </t>
        </is>
      </c>
      <c r="M67" s="5" t="inlineStr">
        <is>
          <t>100.0</t>
        </is>
      </c>
      <c r="N67" s="5" t="inlineStr">
        <is>
          <t>YES</t>
        </is>
      </c>
    </row>
    <row r="68">
      <c r="A68" s="6" t="n">
        <v>211</v>
      </c>
      <c r="B68" s="5" t="inlineStr">
        <is>
          <t>S3</t>
        </is>
      </c>
      <c r="C68" s="5" t="inlineStr">
        <is>
          <t>3: Redox-, glucose-, and mixed-stimulus adaptive hydrogels</t>
        </is>
      </c>
      <c r="D68" s="5" t="inlineStr">
        <is>
          <t>Ros-responsive hydrogel with size-dependent sequential release effects for anti-bacterial and anti-inflammation in diabetic wound healing</t>
        </is>
      </c>
      <c r="F68" s="5" t="inlineStr">
        <is>
          <t>ROS/redox-responsive</t>
        </is>
      </c>
      <c r="G68" s="5" t="inlineStr">
        <is>
          <t>Safety or cytocompatibility</t>
        </is>
      </c>
      <c r="H68" s="6" t="inlineStr">
        <is>
          <t>1</t>
        </is>
      </c>
      <c r="K68" s="5" t="inlineStr">
        <is>
          <t xml:space="preserve">; </t>
        </is>
      </c>
      <c r="M68" s="5" t="inlineStr">
        <is>
          <t>100.0</t>
        </is>
      </c>
      <c r="N68" s="5" t="inlineStr">
        <is>
          <t>YES</t>
        </is>
      </c>
    </row>
    <row r="69">
      <c r="A69" s="6" t="n">
        <v>212</v>
      </c>
      <c r="B69" s="5" t="inlineStr">
        <is>
          <t>S3</t>
        </is>
      </c>
      <c r="C69" s="5" t="inlineStr">
        <is>
          <t>3: Redox-, glucose-, and mixed-stimulus adaptive hydrogels</t>
        </is>
      </c>
      <c r="D69" s="5" t="inlineStr">
        <is>
          <t>Smart multifunctional ROS-responsive supramolecular hydrogel for simultaneously regulating oxidative stress, immune dysregulation, and bacterial infection in diabetic wound healing</t>
        </is>
      </c>
      <c r="E69" s="5" t="inlineStr">
        <is>
          <t>10.1016/j.biomaterials.2026.124006</t>
        </is>
      </c>
      <c r="F69" s="5" t="inlineStr">
        <is>
          <t>ROS/redox-responsive</t>
        </is>
      </c>
      <c r="G69" s="5" t="inlineStr">
        <is>
          <t>Release kinetics measured</t>
        </is>
      </c>
      <c r="H69" s="6" t="inlineStr">
        <is>
          <t>1</t>
        </is>
      </c>
      <c r="K69" s="5" t="inlineStr">
        <is>
          <t xml:space="preserve">; </t>
        </is>
      </c>
      <c r="M69" s="5" t="inlineStr">
        <is>
          <t>100.0</t>
        </is>
      </c>
      <c r="N69" s="5" t="inlineStr">
        <is>
          <t>YES</t>
        </is>
      </c>
    </row>
    <row r="70">
      <c r="A70" s="6" t="n">
        <v>212</v>
      </c>
      <c r="B70" s="5" t="inlineStr">
        <is>
          <t>S3</t>
        </is>
      </c>
      <c r="C70" s="5" t="inlineStr">
        <is>
          <t>3: Redox-, glucose-, and mixed-stimulus adaptive hydrogels</t>
        </is>
      </c>
      <c r="D70" s="5" t="inlineStr">
        <is>
          <t>Smart multifunctional ROS-responsive supramolecular hydrogel for simultaneously regulating oxidative stress, immune dysregulation, and bacterial infection in diabetic wound healing</t>
        </is>
      </c>
      <c r="E70" s="5" t="inlineStr">
        <is>
          <t>10.1016/j.biomaterials.2026.124006</t>
        </is>
      </c>
      <c r="F70" s="5" t="inlineStr">
        <is>
          <t>ROS/redox-responsive</t>
        </is>
      </c>
      <c r="G70" s="5" t="inlineStr">
        <is>
          <t>Antimicrobial or biofilm control</t>
        </is>
      </c>
      <c r="H70" s="6" t="inlineStr">
        <is>
          <t>1</t>
        </is>
      </c>
      <c r="K70" s="5" t="inlineStr">
        <is>
          <t xml:space="preserve">; </t>
        </is>
      </c>
      <c r="M70" s="5" t="inlineStr">
        <is>
          <t>100.0</t>
        </is>
      </c>
      <c r="N70" s="5" t="inlineStr">
        <is>
          <t>YES</t>
        </is>
      </c>
    </row>
    <row r="71">
      <c r="A71" s="6" t="n">
        <v>212</v>
      </c>
      <c r="B71" s="5" t="inlineStr">
        <is>
          <t>S3</t>
        </is>
      </c>
      <c r="C71" s="5" t="inlineStr">
        <is>
          <t>3: Redox-, glucose-, and mixed-stimulus adaptive hydrogels</t>
        </is>
      </c>
      <c r="D71" s="5" t="inlineStr">
        <is>
          <t>Smart multifunctional ROS-responsive supramolecular hydrogel for simultaneously regulating oxidative stress, immune dysregulation, and bacterial infection in diabetic wound healing</t>
        </is>
      </c>
      <c r="E71" s="5" t="inlineStr">
        <is>
          <t>10.1016/j.biomaterials.2026.124006</t>
        </is>
      </c>
      <c r="F71" s="5" t="inlineStr">
        <is>
          <t>ROS/redox-responsive</t>
        </is>
      </c>
      <c r="G71" s="5" t="inlineStr">
        <is>
          <t>Inflammation or macrophage modulation</t>
        </is>
      </c>
      <c r="H71" s="6" t="inlineStr">
        <is>
          <t>1</t>
        </is>
      </c>
      <c r="K71" s="5" t="inlineStr">
        <is>
          <t xml:space="preserve">; </t>
        </is>
      </c>
      <c r="M71" s="5" t="inlineStr">
        <is>
          <t>100.0</t>
        </is>
      </c>
      <c r="N71" s="5" t="inlineStr">
        <is>
          <t>YES</t>
        </is>
      </c>
    </row>
    <row r="72">
      <c r="A72" s="6" t="n">
        <v>212</v>
      </c>
      <c r="B72" s="5" t="inlineStr">
        <is>
          <t>S3</t>
        </is>
      </c>
      <c r="C72" s="5" t="inlineStr">
        <is>
          <t>3: Redox-, glucose-, and mixed-stimulus adaptive hydrogels</t>
        </is>
      </c>
      <c r="D72" s="5" t="inlineStr">
        <is>
          <t>Smart multifunctional ROS-responsive supramolecular hydrogel for simultaneously regulating oxidative stress, immune dysregulation, and bacterial infection in diabetic wound healing</t>
        </is>
      </c>
      <c r="E72" s="5" t="inlineStr">
        <is>
          <t>10.1016/j.biomaterials.2026.124006</t>
        </is>
      </c>
      <c r="F72" s="5" t="inlineStr">
        <is>
          <t>ROS/redox-responsive</t>
        </is>
      </c>
      <c r="G72" s="5" t="inlineStr">
        <is>
          <t>Angiogenesis</t>
        </is>
      </c>
      <c r="H72" s="6" t="inlineStr">
        <is>
          <t>1</t>
        </is>
      </c>
      <c r="K72" s="5" t="inlineStr">
        <is>
          <t xml:space="preserve">; </t>
        </is>
      </c>
      <c r="M72" s="5" t="inlineStr">
        <is>
          <t>100.0</t>
        </is>
      </c>
      <c r="N72" s="5" t="inlineStr">
        <is>
          <t>YES</t>
        </is>
      </c>
    </row>
    <row r="73">
      <c r="A73" s="6" t="n">
        <v>212</v>
      </c>
      <c r="B73" s="5" t="inlineStr">
        <is>
          <t>S3</t>
        </is>
      </c>
      <c r="C73" s="5" t="inlineStr">
        <is>
          <t>3: Redox-, glucose-, and mixed-stimulus adaptive hydrogels</t>
        </is>
      </c>
      <c r="D73" s="5" t="inlineStr">
        <is>
          <t>Smart multifunctional ROS-responsive supramolecular hydrogel for simultaneously regulating oxidative stress, immune dysregulation, and bacterial infection in diabetic wound healing</t>
        </is>
      </c>
      <c r="E73" s="5" t="inlineStr">
        <is>
          <t>10.1016/j.biomaterials.2026.124006</t>
        </is>
      </c>
      <c r="F73" s="5" t="inlineStr">
        <is>
          <t>ROS/redox-responsive</t>
        </is>
      </c>
      <c r="G73" s="5" t="inlineStr">
        <is>
          <t>Collagen or matrix remodeling</t>
        </is>
      </c>
      <c r="H73" s="6" t="inlineStr">
        <is>
          <t>1</t>
        </is>
      </c>
      <c r="K73" s="5" t="inlineStr">
        <is>
          <t xml:space="preserve">; </t>
        </is>
      </c>
      <c r="M73" s="5" t="inlineStr">
        <is>
          <t>100.0</t>
        </is>
      </c>
      <c r="N73" s="5" t="inlineStr">
        <is>
          <t>YES</t>
        </is>
      </c>
    </row>
    <row r="74">
      <c r="A74" s="6" t="n">
        <v>212</v>
      </c>
      <c r="B74" s="5" t="inlineStr">
        <is>
          <t>S3</t>
        </is>
      </c>
      <c r="C74" s="5" t="inlineStr">
        <is>
          <t>3: Redox-, glucose-, and mixed-stimulus adaptive hydrogels</t>
        </is>
      </c>
      <c r="D74" s="5" t="inlineStr">
        <is>
          <t>Smart multifunctional ROS-responsive supramolecular hydrogel for simultaneously regulating oxidative stress, immune dysregulation, and bacterial infection in diabetic wound healing</t>
        </is>
      </c>
      <c r="E74" s="5" t="inlineStr">
        <is>
          <t>10.1016/j.biomaterials.2026.124006</t>
        </is>
      </c>
      <c r="F74" s="5" t="inlineStr">
        <is>
          <t>ROS/redox-responsive</t>
        </is>
      </c>
      <c r="G74" s="5" t="inlineStr">
        <is>
          <t>Re-epithelialization</t>
        </is>
      </c>
      <c r="H74" s="6" t="inlineStr">
        <is>
          <t>1</t>
        </is>
      </c>
      <c r="K74" s="5" t="inlineStr">
        <is>
          <t xml:space="preserve">; </t>
        </is>
      </c>
      <c r="M74" s="5" t="inlineStr">
        <is>
          <t>100.0</t>
        </is>
      </c>
      <c r="N74" s="5" t="inlineStr">
        <is>
          <t>YES</t>
        </is>
      </c>
    </row>
    <row r="75">
      <c r="A75" s="6" t="n">
        <v>212</v>
      </c>
      <c r="B75" s="5" t="inlineStr">
        <is>
          <t>S3</t>
        </is>
      </c>
      <c r="C75" s="5" t="inlineStr">
        <is>
          <t>3: Redox-, glucose-, and mixed-stimulus adaptive hydrogels</t>
        </is>
      </c>
      <c r="D75" s="5" t="inlineStr">
        <is>
          <t>Smart multifunctional ROS-responsive supramolecular hydrogel for simultaneously regulating oxidative stress, immune dysregulation, and bacterial infection in diabetic wound healing</t>
        </is>
      </c>
      <c r="E75" s="5" t="inlineStr">
        <is>
          <t>10.1016/j.biomaterials.2026.124006</t>
        </is>
      </c>
      <c r="F75" s="5" t="inlineStr">
        <is>
          <t>ROS/redox-responsive</t>
        </is>
      </c>
      <c r="G75" s="5" t="inlineStr">
        <is>
          <t>Wound closure</t>
        </is>
      </c>
      <c r="H75" s="6" t="inlineStr">
        <is>
          <t>1</t>
        </is>
      </c>
      <c r="K75" s="5" t="inlineStr">
        <is>
          <t xml:space="preserve">; </t>
        </is>
      </c>
      <c r="M75" s="5" t="inlineStr">
        <is>
          <t>100.0</t>
        </is>
      </c>
      <c r="N75" s="5" t="inlineStr">
        <is>
          <t>YES</t>
        </is>
      </c>
    </row>
    <row r="76">
      <c r="A76" s="6" t="n">
        <v>212</v>
      </c>
      <c r="B76" s="5" t="inlineStr">
        <is>
          <t>S3</t>
        </is>
      </c>
      <c r="C76" s="5" t="inlineStr">
        <is>
          <t>3: Redox-, glucose-, and mixed-stimulus adaptive hydrogels</t>
        </is>
      </c>
      <c r="D76" s="5" t="inlineStr">
        <is>
          <t>Smart multifunctional ROS-responsive supramolecular hydrogel for simultaneously regulating oxidative stress, immune dysregulation, and bacterial infection in diabetic wound healing</t>
        </is>
      </c>
      <c r="E76" s="5" t="inlineStr">
        <is>
          <t>10.1016/j.biomaterials.2026.124006</t>
        </is>
      </c>
      <c r="F76" s="5" t="inlineStr">
        <is>
          <t>ROS/redox-responsive</t>
        </is>
      </c>
      <c r="G76" s="5" t="inlineStr">
        <is>
          <t>Safety or cytocompatibility</t>
        </is>
      </c>
      <c r="H76" s="6" t="inlineStr">
        <is>
          <t>1</t>
        </is>
      </c>
      <c r="K76" s="5" t="inlineStr">
        <is>
          <t xml:space="preserve">; </t>
        </is>
      </c>
      <c r="M76" s="5" t="inlineStr">
        <is>
          <t>100.0</t>
        </is>
      </c>
      <c r="N76" s="5" t="inlineStr">
        <is>
          <t>YES</t>
        </is>
      </c>
    </row>
    <row r="77">
      <c r="A77" s="6" t="n">
        <v>214</v>
      </c>
      <c r="B77" s="5" t="inlineStr">
        <is>
          <t>S3</t>
        </is>
      </c>
      <c r="C77" s="5" t="inlineStr">
        <is>
          <t>3: Redox-, glucose-, and mixed-stimulus adaptive hydrogels</t>
        </is>
      </c>
      <c r="D77" s="5" t="inlineStr">
        <is>
          <t>A smart ROS-responsive hydrogel for on-demand antibacterial and platelet-rich plasma (PRP) activation in diabetic wound healing</t>
        </is>
      </c>
      <c r="E77" s="5" t="inlineStr">
        <is>
          <t>10.1016/j.jconrel.2025.114392</t>
        </is>
      </c>
      <c r="F77" s="5" t="inlineStr">
        <is>
          <t>ROS/redox-responsive</t>
        </is>
      </c>
      <c r="G77" s="5" t="inlineStr">
        <is>
          <t>Release kinetics measured</t>
        </is>
      </c>
      <c r="H77" s="6" t="inlineStr">
        <is>
          <t>1</t>
        </is>
      </c>
      <c r="K77" s="5" t="inlineStr">
        <is>
          <t xml:space="preserve">; </t>
        </is>
      </c>
      <c r="M77" s="5" t="inlineStr">
        <is>
          <t>100.0</t>
        </is>
      </c>
      <c r="N77" s="5" t="inlineStr">
        <is>
          <t>YES</t>
        </is>
      </c>
    </row>
    <row r="78">
      <c r="A78" s="6" t="n">
        <v>214</v>
      </c>
      <c r="B78" s="5" t="inlineStr">
        <is>
          <t>S3</t>
        </is>
      </c>
      <c r="C78" s="5" t="inlineStr">
        <is>
          <t>3: Redox-, glucose-, and mixed-stimulus adaptive hydrogels</t>
        </is>
      </c>
      <c r="D78" s="5" t="inlineStr">
        <is>
          <t>A smart ROS-responsive hydrogel for on-demand antibacterial and platelet-rich plasma (PRP) activation in diabetic wound healing</t>
        </is>
      </c>
      <c r="E78" s="5" t="inlineStr">
        <is>
          <t>10.1016/j.jconrel.2025.114392</t>
        </is>
      </c>
      <c r="F78" s="5" t="inlineStr">
        <is>
          <t>ROS/redox-responsive</t>
        </is>
      </c>
      <c r="G78" s="5" t="inlineStr">
        <is>
          <t>Antimicrobial or biofilm control</t>
        </is>
      </c>
      <c r="H78" s="6" t="inlineStr">
        <is>
          <t>1</t>
        </is>
      </c>
      <c r="K78" s="5" t="inlineStr">
        <is>
          <t xml:space="preserve">; </t>
        </is>
      </c>
      <c r="M78" s="5" t="inlineStr">
        <is>
          <t>100.0</t>
        </is>
      </c>
      <c r="N78" s="5" t="inlineStr">
        <is>
          <t>YES</t>
        </is>
      </c>
    </row>
    <row r="79">
      <c r="A79" s="6" t="n">
        <v>214</v>
      </c>
      <c r="B79" s="5" t="inlineStr">
        <is>
          <t>S3</t>
        </is>
      </c>
      <c r="C79" s="5" t="inlineStr">
        <is>
          <t>3: Redox-, glucose-, and mixed-stimulus adaptive hydrogels</t>
        </is>
      </c>
      <c r="D79" s="5" t="inlineStr">
        <is>
          <t>A smart ROS-responsive hydrogel for on-demand antibacterial and platelet-rich plasma (PRP) activation in diabetic wound healing</t>
        </is>
      </c>
      <c r="E79" s="5" t="inlineStr">
        <is>
          <t>10.1016/j.jconrel.2025.114392</t>
        </is>
      </c>
      <c r="F79" s="5" t="inlineStr">
        <is>
          <t>ROS/redox-responsive</t>
        </is>
      </c>
      <c r="G79" s="5" t="inlineStr">
        <is>
          <t>Inflammation or macrophage modulation</t>
        </is>
      </c>
      <c r="H79" s="6" t="inlineStr">
        <is>
          <t>1</t>
        </is>
      </c>
      <c r="K79" s="5" t="inlineStr">
        <is>
          <t xml:space="preserve">; </t>
        </is>
      </c>
      <c r="M79" s="5" t="inlineStr">
        <is>
          <t>100.0</t>
        </is>
      </c>
      <c r="N79" s="5" t="inlineStr">
        <is>
          <t>YES</t>
        </is>
      </c>
    </row>
    <row r="80">
      <c r="A80" s="6" t="n">
        <v>214</v>
      </c>
      <c r="B80" s="5" t="inlineStr">
        <is>
          <t>S3</t>
        </is>
      </c>
      <c r="C80" s="5" t="inlineStr">
        <is>
          <t>3: Redox-, glucose-, and mixed-stimulus adaptive hydrogels</t>
        </is>
      </c>
      <c r="D80" s="5" t="inlineStr">
        <is>
          <t>A smart ROS-responsive hydrogel for on-demand antibacterial and platelet-rich plasma (PRP) activation in diabetic wound healing</t>
        </is>
      </c>
      <c r="E80" s="5" t="inlineStr">
        <is>
          <t>10.1016/j.jconrel.2025.114392</t>
        </is>
      </c>
      <c r="F80" s="5" t="inlineStr">
        <is>
          <t>ROS/redox-responsive</t>
        </is>
      </c>
      <c r="G80" s="5" t="inlineStr">
        <is>
          <t>Angiogenesis</t>
        </is>
      </c>
      <c r="H80" s="6" t="inlineStr">
        <is>
          <t>1</t>
        </is>
      </c>
      <c r="K80" s="5" t="inlineStr">
        <is>
          <t xml:space="preserve">; </t>
        </is>
      </c>
      <c r="M80" s="5" t="inlineStr">
        <is>
          <t>100.0</t>
        </is>
      </c>
      <c r="N80" s="5" t="inlineStr">
        <is>
          <t>YES</t>
        </is>
      </c>
    </row>
    <row r="81">
      <c r="A81" s="6" t="n">
        <v>214</v>
      </c>
      <c r="B81" s="5" t="inlineStr">
        <is>
          <t>S3</t>
        </is>
      </c>
      <c r="C81" s="5" t="inlineStr">
        <is>
          <t>3: Redox-, glucose-, and mixed-stimulus adaptive hydrogels</t>
        </is>
      </c>
      <c r="D81" s="5" t="inlineStr">
        <is>
          <t>A smart ROS-responsive hydrogel for on-demand antibacterial and platelet-rich plasma (PRP) activation in diabetic wound healing</t>
        </is>
      </c>
      <c r="E81" s="5" t="inlineStr">
        <is>
          <t>10.1016/j.jconrel.2025.114392</t>
        </is>
      </c>
      <c r="F81" s="5" t="inlineStr">
        <is>
          <t>ROS/redox-responsive</t>
        </is>
      </c>
      <c r="G81" s="5" t="inlineStr">
        <is>
          <t>Collagen or matrix remodeling</t>
        </is>
      </c>
      <c r="H81" s="6" t="inlineStr">
        <is>
          <t>1</t>
        </is>
      </c>
      <c r="K81" s="5" t="inlineStr">
        <is>
          <t xml:space="preserve">; </t>
        </is>
      </c>
      <c r="M81" s="5" t="inlineStr">
        <is>
          <t>100.0</t>
        </is>
      </c>
      <c r="N81" s="5" t="inlineStr">
        <is>
          <t>YES</t>
        </is>
      </c>
    </row>
    <row r="82">
      <c r="A82" s="6" t="n">
        <v>214</v>
      </c>
      <c r="B82" s="5" t="inlineStr">
        <is>
          <t>S3</t>
        </is>
      </c>
      <c r="C82" s="5" t="inlineStr">
        <is>
          <t>3: Redox-, glucose-, and mixed-stimulus adaptive hydrogels</t>
        </is>
      </c>
      <c r="D82" s="5" t="inlineStr">
        <is>
          <t>A smart ROS-responsive hydrogel for on-demand antibacterial and platelet-rich plasma (PRP) activation in diabetic wound healing</t>
        </is>
      </c>
      <c r="E82" s="5" t="inlineStr">
        <is>
          <t>10.1016/j.jconrel.2025.114392</t>
        </is>
      </c>
      <c r="F82" s="5" t="inlineStr">
        <is>
          <t>ROS/redox-responsive</t>
        </is>
      </c>
      <c r="G82" s="5" t="inlineStr">
        <is>
          <t>Re-epithelialization</t>
        </is>
      </c>
      <c r="H82" s="6" t="inlineStr">
        <is>
          <t>1</t>
        </is>
      </c>
      <c r="K82" s="5" t="inlineStr">
        <is>
          <t xml:space="preserve">; </t>
        </is>
      </c>
      <c r="M82" s="5" t="inlineStr">
        <is>
          <t>100.0</t>
        </is>
      </c>
      <c r="N82" s="5" t="inlineStr">
        <is>
          <t>YES</t>
        </is>
      </c>
    </row>
    <row r="83">
      <c r="A83" s="6" t="n">
        <v>214</v>
      </c>
      <c r="B83" s="5" t="inlineStr">
        <is>
          <t>S3</t>
        </is>
      </c>
      <c r="C83" s="5" t="inlineStr">
        <is>
          <t>3: Redox-, glucose-, and mixed-stimulus adaptive hydrogels</t>
        </is>
      </c>
      <c r="D83" s="5" t="inlineStr">
        <is>
          <t>A smart ROS-responsive hydrogel for on-demand antibacterial and platelet-rich plasma (PRP) activation in diabetic wound healing</t>
        </is>
      </c>
      <c r="E83" s="5" t="inlineStr">
        <is>
          <t>10.1016/j.jconrel.2025.114392</t>
        </is>
      </c>
      <c r="F83" s="5" t="inlineStr">
        <is>
          <t>ROS/redox-responsive</t>
        </is>
      </c>
      <c r="G83" s="5" t="inlineStr">
        <is>
          <t>Wound closure</t>
        </is>
      </c>
      <c r="H83" s="6" t="inlineStr">
        <is>
          <t>1</t>
        </is>
      </c>
      <c r="K83" s="5" t="inlineStr">
        <is>
          <t xml:space="preserve">; </t>
        </is>
      </c>
      <c r="M83" s="5" t="inlineStr">
        <is>
          <t>100.0</t>
        </is>
      </c>
      <c r="N83" s="5" t="inlineStr">
        <is>
          <t>YES</t>
        </is>
      </c>
    </row>
    <row r="84">
      <c r="A84" s="6" t="n">
        <v>214</v>
      </c>
      <c r="B84" s="5" t="inlineStr">
        <is>
          <t>S3</t>
        </is>
      </c>
      <c r="C84" s="5" t="inlineStr">
        <is>
          <t>3: Redox-, glucose-, and mixed-stimulus adaptive hydrogels</t>
        </is>
      </c>
      <c r="D84" s="5" t="inlineStr">
        <is>
          <t>A smart ROS-responsive hydrogel for on-demand antibacterial and platelet-rich plasma (PRP) activation in diabetic wound healing</t>
        </is>
      </c>
      <c r="E84" s="5" t="inlineStr">
        <is>
          <t>10.1016/j.jconrel.2025.114392</t>
        </is>
      </c>
      <c r="F84" s="5" t="inlineStr">
        <is>
          <t>ROS/redox-responsive</t>
        </is>
      </c>
      <c r="G84" s="5" t="inlineStr">
        <is>
          <t>Safety or cytocompatibility</t>
        </is>
      </c>
      <c r="H84" s="6" t="inlineStr">
        <is>
          <t>1</t>
        </is>
      </c>
      <c r="K84" s="5" t="inlineStr">
        <is>
          <t xml:space="preserve">; </t>
        </is>
      </c>
      <c r="M84" s="5" t="inlineStr">
        <is>
          <t>100.0</t>
        </is>
      </c>
      <c r="N84" s="5" t="inlineStr">
        <is>
          <t>YES</t>
        </is>
      </c>
    </row>
    <row r="85">
      <c r="A85" s="6" t="n">
        <v>215</v>
      </c>
      <c r="B85" s="5" t="inlineStr">
        <is>
          <t>S3</t>
        </is>
      </c>
      <c r="C85" s="5" t="inlineStr">
        <is>
          <t>3: Redox-, glucose-, and mixed-stimulus adaptive hydrogels</t>
        </is>
      </c>
      <c r="D85" s="5" t="inlineStr">
        <is>
          <t>Glucose/ROS-responsive and redox-gated adaptive hydrogel dressing for accelerating diabetic wound repair via synergistic cGAS/STING pathway inhibition and oxidative stress alleviation</t>
        </is>
      </c>
      <c r="E85" s="5" t="inlineStr">
        <is>
          <t>10.1016/j.bioactmat.2026.03.025</t>
        </is>
      </c>
      <c r="F85" s="5" t="inlineStr">
        <is>
          <t>ROS/redox-responsive</t>
        </is>
      </c>
      <c r="G85" s="5" t="inlineStr">
        <is>
          <t>Release kinetics measured</t>
        </is>
      </c>
      <c r="H85" s="6" t="inlineStr">
        <is>
          <t>1</t>
        </is>
      </c>
      <c r="K85" s="5" t="inlineStr">
        <is>
          <t xml:space="preserve">; </t>
        </is>
      </c>
      <c r="M85" s="5" t="inlineStr">
        <is>
          <t>100.0</t>
        </is>
      </c>
      <c r="N85" s="5" t="inlineStr">
        <is>
          <t>YES</t>
        </is>
      </c>
    </row>
    <row r="86">
      <c r="A86" s="6" t="n">
        <v>215</v>
      </c>
      <c r="B86" s="5" t="inlineStr">
        <is>
          <t>S3</t>
        </is>
      </c>
      <c r="C86" s="5" t="inlineStr">
        <is>
          <t>3: Redox-, glucose-, and mixed-stimulus adaptive hydrogels</t>
        </is>
      </c>
      <c r="D86" s="5" t="inlineStr">
        <is>
          <t>Glucose/ROS-responsive and redox-gated adaptive hydrogel dressing for accelerating diabetic wound repair via synergistic cGAS/STING pathway inhibition and oxidative stress alleviation</t>
        </is>
      </c>
      <c r="E86" s="5" t="inlineStr">
        <is>
          <t>10.1016/j.bioactmat.2026.03.025</t>
        </is>
      </c>
      <c r="F86" s="5" t="inlineStr">
        <is>
          <t>ROS/redox-responsive</t>
        </is>
      </c>
      <c r="G86" s="5" t="inlineStr">
        <is>
          <t>Inflammation or macrophage modulation</t>
        </is>
      </c>
      <c r="H86" s="6" t="inlineStr">
        <is>
          <t>1</t>
        </is>
      </c>
      <c r="K86" s="5" t="inlineStr">
        <is>
          <t xml:space="preserve">; </t>
        </is>
      </c>
      <c r="M86" s="5" t="inlineStr">
        <is>
          <t>100.0</t>
        </is>
      </c>
      <c r="N86" s="5" t="inlineStr">
        <is>
          <t>YES</t>
        </is>
      </c>
    </row>
    <row r="87">
      <c r="A87" s="6" t="n">
        <v>215</v>
      </c>
      <c r="B87" s="5" t="inlineStr">
        <is>
          <t>S3</t>
        </is>
      </c>
      <c r="C87" s="5" t="inlineStr">
        <is>
          <t>3: Redox-, glucose-, and mixed-stimulus adaptive hydrogels</t>
        </is>
      </c>
      <c r="D87" s="5" t="inlineStr">
        <is>
          <t>Glucose/ROS-responsive and redox-gated adaptive hydrogel dressing for accelerating diabetic wound repair via synergistic cGAS/STING pathway inhibition and oxidative stress alleviation</t>
        </is>
      </c>
      <c r="E87" s="5" t="inlineStr">
        <is>
          <t>10.1016/j.bioactmat.2026.03.025</t>
        </is>
      </c>
      <c r="F87" s="5" t="inlineStr">
        <is>
          <t>ROS/redox-responsive</t>
        </is>
      </c>
      <c r="G87" s="5" t="inlineStr">
        <is>
          <t>Angiogenesis</t>
        </is>
      </c>
      <c r="H87" s="6" t="inlineStr">
        <is>
          <t>1</t>
        </is>
      </c>
      <c r="K87" s="5" t="inlineStr">
        <is>
          <t xml:space="preserve">; </t>
        </is>
      </c>
      <c r="M87" s="5" t="inlineStr">
        <is>
          <t>100.0</t>
        </is>
      </c>
      <c r="N87" s="5" t="inlineStr">
        <is>
          <t>YES</t>
        </is>
      </c>
    </row>
    <row r="88">
      <c r="A88" s="6" t="n">
        <v>215</v>
      </c>
      <c r="B88" s="5" t="inlineStr">
        <is>
          <t>S3</t>
        </is>
      </c>
      <c r="C88" s="5" t="inlineStr">
        <is>
          <t>3: Redox-, glucose-, and mixed-stimulus adaptive hydrogels</t>
        </is>
      </c>
      <c r="D88" s="5" t="inlineStr">
        <is>
          <t>Glucose/ROS-responsive and redox-gated adaptive hydrogel dressing for accelerating diabetic wound repair via synergistic cGAS/STING pathway inhibition and oxidative stress alleviation</t>
        </is>
      </c>
      <c r="E88" s="5" t="inlineStr">
        <is>
          <t>10.1016/j.bioactmat.2026.03.025</t>
        </is>
      </c>
      <c r="F88" s="5" t="inlineStr">
        <is>
          <t>ROS/redox-responsive</t>
        </is>
      </c>
      <c r="G88" s="5" t="inlineStr">
        <is>
          <t>Collagen or matrix remodeling</t>
        </is>
      </c>
      <c r="H88" s="6" t="inlineStr">
        <is>
          <t>1</t>
        </is>
      </c>
      <c r="K88" s="5" t="inlineStr">
        <is>
          <t xml:space="preserve">; </t>
        </is>
      </c>
      <c r="M88" s="5" t="inlineStr">
        <is>
          <t>100.0</t>
        </is>
      </c>
      <c r="N88" s="5" t="inlineStr">
        <is>
          <t>YES</t>
        </is>
      </c>
    </row>
    <row r="89">
      <c r="A89" s="6" t="n">
        <v>215</v>
      </c>
      <c r="B89" s="5" t="inlineStr">
        <is>
          <t>S3</t>
        </is>
      </c>
      <c r="C89" s="5" t="inlineStr">
        <is>
          <t>3: Redox-, glucose-, and mixed-stimulus adaptive hydrogels</t>
        </is>
      </c>
      <c r="D89" s="5" t="inlineStr">
        <is>
          <t>Glucose/ROS-responsive and redox-gated adaptive hydrogel dressing for accelerating diabetic wound repair via synergistic cGAS/STING pathway inhibition and oxidative stress alleviation</t>
        </is>
      </c>
      <c r="E89" s="5" t="inlineStr">
        <is>
          <t>10.1016/j.bioactmat.2026.03.025</t>
        </is>
      </c>
      <c r="F89" s="5" t="inlineStr">
        <is>
          <t>ROS/redox-responsive</t>
        </is>
      </c>
      <c r="G89" s="5" t="inlineStr">
        <is>
          <t>Re-epithelialization</t>
        </is>
      </c>
      <c r="H89" s="6" t="inlineStr">
        <is>
          <t>1</t>
        </is>
      </c>
      <c r="K89" s="5" t="inlineStr">
        <is>
          <t xml:space="preserve">; </t>
        </is>
      </c>
      <c r="M89" s="5" t="inlineStr">
        <is>
          <t>100.0</t>
        </is>
      </c>
      <c r="N89" s="5" t="inlineStr">
        <is>
          <t>YES</t>
        </is>
      </c>
    </row>
    <row r="90">
      <c r="A90" s="6" t="n">
        <v>215</v>
      </c>
      <c r="B90" s="5" t="inlineStr">
        <is>
          <t>S3</t>
        </is>
      </c>
      <c r="C90" s="5" t="inlineStr">
        <is>
          <t>3: Redox-, glucose-, and mixed-stimulus adaptive hydrogels</t>
        </is>
      </c>
      <c r="D90" s="5" t="inlineStr">
        <is>
          <t>Glucose/ROS-responsive and redox-gated adaptive hydrogel dressing for accelerating diabetic wound repair via synergistic cGAS/STING pathway inhibition and oxidative stress alleviation</t>
        </is>
      </c>
      <c r="E90" s="5" t="inlineStr">
        <is>
          <t>10.1016/j.bioactmat.2026.03.025</t>
        </is>
      </c>
      <c r="F90" s="5" t="inlineStr">
        <is>
          <t>ROS/redox-responsive</t>
        </is>
      </c>
      <c r="G90" s="5" t="inlineStr">
        <is>
          <t>Wound closure</t>
        </is>
      </c>
      <c r="H90" s="6" t="inlineStr">
        <is>
          <t>1</t>
        </is>
      </c>
      <c r="K90" s="5" t="inlineStr">
        <is>
          <t xml:space="preserve">; </t>
        </is>
      </c>
      <c r="M90" s="5" t="inlineStr">
        <is>
          <t>100.0</t>
        </is>
      </c>
      <c r="N90" s="5" t="inlineStr">
        <is>
          <t>YES</t>
        </is>
      </c>
    </row>
    <row r="91">
      <c r="A91" s="6" t="n">
        <v>215</v>
      </c>
      <c r="B91" s="5" t="inlineStr">
        <is>
          <t>S3</t>
        </is>
      </c>
      <c r="C91" s="5" t="inlineStr">
        <is>
          <t>3: Redox-, glucose-, and mixed-stimulus adaptive hydrogels</t>
        </is>
      </c>
      <c r="D91" s="5" t="inlineStr">
        <is>
          <t>Glucose/ROS-responsive and redox-gated adaptive hydrogel dressing for accelerating diabetic wound repair via synergistic cGAS/STING pathway inhibition and oxidative stress alleviation</t>
        </is>
      </c>
      <c r="E91" s="5" t="inlineStr">
        <is>
          <t>10.1016/j.bioactmat.2026.03.025</t>
        </is>
      </c>
      <c r="F91" s="5" t="inlineStr">
        <is>
          <t>ROS/redox-responsive</t>
        </is>
      </c>
      <c r="G91" s="5" t="inlineStr">
        <is>
          <t>Safety or cytocompatibility</t>
        </is>
      </c>
      <c r="H91" s="6" t="inlineStr">
        <is>
          <t>1</t>
        </is>
      </c>
      <c r="K91" s="5" t="inlineStr">
        <is>
          <t xml:space="preserve">; </t>
        </is>
      </c>
      <c r="M91" s="5" t="inlineStr">
        <is>
          <t>100.0</t>
        </is>
      </c>
      <c r="N91" s="5" t="inlineStr">
        <is>
          <t>YES</t>
        </is>
      </c>
    </row>
    <row r="92">
      <c r="A92" s="6" t="n">
        <v>215</v>
      </c>
      <c r="B92" s="5" t="inlineStr">
        <is>
          <t>S3</t>
        </is>
      </c>
      <c r="C92" s="5" t="inlineStr">
        <is>
          <t>3: Redox-, glucose-, and mixed-stimulus adaptive hydrogels</t>
        </is>
      </c>
      <c r="D92" s="5" t="inlineStr">
        <is>
          <t>Glucose/ROS-responsive and redox-gated adaptive hydrogel dressing for accelerating diabetic wound repair via synergistic cGAS/STING pathway inhibition and oxidative stress alleviation</t>
        </is>
      </c>
      <c r="E92" s="5" t="inlineStr">
        <is>
          <t>10.1016/j.bioactmat.2026.03.025</t>
        </is>
      </c>
      <c r="F92" s="5" t="inlineStr">
        <is>
          <t>Glucose-responsive</t>
        </is>
      </c>
      <c r="G92" s="5" t="inlineStr">
        <is>
          <t>Release kinetics measured</t>
        </is>
      </c>
      <c r="H92" s="6" t="inlineStr">
        <is>
          <t>1</t>
        </is>
      </c>
      <c r="K92" s="5" t="inlineStr">
        <is>
          <t xml:space="preserve">; </t>
        </is>
      </c>
      <c r="M92" s="5" t="inlineStr">
        <is>
          <t>100.0</t>
        </is>
      </c>
      <c r="N92" s="5" t="inlineStr">
        <is>
          <t>YES</t>
        </is>
      </c>
    </row>
    <row r="93">
      <c r="A93" s="6" t="n">
        <v>215</v>
      </c>
      <c r="B93" s="5" t="inlineStr">
        <is>
          <t>S3</t>
        </is>
      </c>
      <c r="C93" s="5" t="inlineStr">
        <is>
          <t>3: Redox-, glucose-, and mixed-stimulus adaptive hydrogels</t>
        </is>
      </c>
      <c r="D93" s="5" t="inlineStr">
        <is>
          <t>Glucose/ROS-responsive and redox-gated adaptive hydrogel dressing for accelerating diabetic wound repair via synergistic cGAS/STING pathway inhibition and oxidative stress alleviation</t>
        </is>
      </c>
      <c r="E93" s="5" t="inlineStr">
        <is>
          <t>10.1016/j.bioactmat.2026.03.025</t>
        </is>
      </c>
      <c r="F93" s="5" t="inlineStr">
        <is>
          <t>Glucose-responsive</t>
        </is>
      </c>
      <c r="G93" s="5" t="inlineStr">
        <is>
          <t>Inflammation or macrophage modulation</t>
        </is>
      </c>
      <c r="H93" s="6" t="inlineStr">
        <is>
          <t>1</t>
        </is>
      </c>
      <c r="K93" s="5" t="inlineStr">
        <is>
          <t xml:space="preserve">; </t>
        </is>
      </c>
      <c r="M93" s="5" t="inlineStr">
        <is>
          <t>100.0</t>
        </is>
      </c>
      <c r="N93" s="5" t="inlineStr">
        <is>
          <t>YES</t>
        </is>
      </c>
    </row>
    <row r="94">
      <c r="A94" s="6" t="n">
        <v>215</v>
      </c>
      <c r="B94" s="5" t="inlineStr">
        <is>
          <t>S3</t>
        </is>
      </c>
      <c r="C94" s="5" t="inlineStr">
        <is>
          <t>3: Redox-, glucose-, and mixed-stimulus adaptive hydrogels</t>
        </is>
      </c>
      <c r="D94" s="5" t="inlineStr">
        <is>
          <t>Glucose/ROS-responsive and redox-gated adaptive hydrogel dressing for accelerating diabetic wound repair via synergistic cGAS/STING pathway inhibition and oxidative stress alleviation</t>
        </is>
      </c>
      <c r="E94" s="5" t="inlineStr">
        <is>
          <t>10.1016/j.bioactmat.2026.03.025</t>
        </is>
      </c>
      <c r="F94" s="5" t="inlineStr">
        <is>
          <t>Glucose-responsive</t>
        </is>
      </c>
      <c r="G94" s="5" t="inlineStr">
        <is>
          <t>Angiogenesis</t>
        </is>
      </c>
      <c r="H94" s="6" t="inlineStr">
        <is>
          <t>1</t>
        </is>
      </c>
      <c r="K94" s="5" t="inlineStr">
        <is>
          <t xml:space="preserve">; </t>
        </is>
      </c>
      <c r="M94" s="5" t="inlineStr">
        <is>
          <t>100.0</t>
        </is>
      </c>
      <c r="N94" s="5" t="inlineStr">
        <is>
          <t>YES</t>
        </is>
      </c>
    </row>
    <row r="95">
      <c r="A95" s="6" t="n">
        <v>215</v>
      </c>
      <c r="B95" s="5" t="inlineStr">
        <is>
          <t>S3</t>
        </is>
      </c>
      <c r="C95" s="5" t="inlineStr">
        <is>
          <t>3: Redox-, glucose-, and mixed-stimulus adaptive hydrogels</t>
        </is>
      </c>
      <c r="D95" s="5" t="inlineStr">
        <is>
          <t>Glucose/ROS-responsive and redox-gated adaptive hydrogel dressing for accelerating diabetic wound repair via synergistic cGAS/STING pathway inhibition and oxidative stress alleviation</t>
        </is>
      </c>
      <c r="E95" s="5" t="inlineStr">
        <is>
          <t>10.1016/j.bioactmat.2026.03.025</t>
        </is>
      </c>
      <c r="F95" s="5" t="inlineStr">
        <is>
          <t>Glucose-responsive</t>
        </is>
      </c>
      <c r="G95" s="5" t="inlineStr">
        <is>
          <t>Collagen or matrix remodeling</t>
        </is>
      </c>
      <c r="H95" s="6" t="inlineStr">
        <is>
          <t>1</t>
        </is>
      </c>
      <c r="K95" s="5" t="inlineStr">
        <is>
          <t xml:space="preserve">; </t>
        </is>
      </c>
      <c r="M95" s="5" t="inlineStr">
        <is>
          <t>100.0</t>
        </is>
      </c>
      <c r="N95" s="5" t="inlineStr">
        <is>
          <t>YES</t>
        </is>
      </c>
    </row>
    <row r="96">
      <c r="A96" s="6" t="n">
        <v>215</v>
      </c>
      <c r="B96" s="5" t="inlineStr">
        <is>
          <t>S3</t>
        </is>
      </c>
      <c r="C96" s="5" t="inlineStr">
        <is>
          <t>3: Redox-, glucose-, and mixed-stimulus adaptive hydrogels</t>
        </is>
      </c>
      <c r="D96" s="5" t="inlineStr">
        <is>
          <t>Glucose/ROS-responsive and redox-gated adaptive hydrogel dressing for accelerating diabetic wound repair via synergistic cGAS/STING pathway inhibition and oxidative stress alleviation</t>
        </is>
      </c>
      <c r="E96" s="5" t="inlineStr">
        <is>
          <t>10.1016/j.bioactmat.2026.03.025</t>
        </is>
      </c>
      <c r="F96" s="5" t="inlineStr">
        <is>
          <t>Glucose-responsive</t>
        </is>
      </c>
      <c r="G96" s="5" t="inlineStr">
        <is>
          <t>Re-epithelialization</t>
        </is>
      </c>
      <c r="H96" s="6" t="inlineStr">
        <is>
          <t>1</t>
        </is>
      </c>
      <c r="K96" s="5" t="inlineStr">
        <is>
          <t xml:space="preserve">; </t>
        </is>
      </c>
      <c r="M96" s="5" t="inlineStr">
        <is>
          <t>100.0</t>
        </is>
      </c>
      <c r="N96" s="5" t="inlineStr">
        <is>
          <t>YES</t>
        </is>
      </c>
    </row>
    <row r="97">
      <c r="A97" s="6" t="n">
        <v>215</v>
      </c>
      <c r="B97" s="5" t="inlineStr">
        <is>
          <t>S3</t>
        </is>
      </c>
      <c r="C97" s="5" t="inlineStr">
        <is>
          <t>3: Redox-, glucose-, and mixed-stimulus adaptive hydrogels</t>
        </is>
      </c>
      <c r="D97" s="5" t="inlineStr">
        <is>
          <t>Glucose/ROS-responsive and redox-gated adaptive hydrogel dressing for accelerating diabetic wound repair via synergistic cGAS/STING pathway inhibition and oxidative stress alleviation</t>
        </is>
      </c>
      <c r="E97" s="5" t="inlineStr">
        <is>
          <t>10.1016/j.bioactmat.2026.03.025</t>
        </is>
      </c>
      <c r="F97" s="5" t="inlineStr">
        <is>
          <t>Glucose-responsive</t>
        </is>
      </c>
      <c r="G97" s="5" t="inlineStr">
        <is>
          <t>Wound closure</t>
        </is>
      </c>
      <c r="H97" s="6" t="inlineStr">
        <is>
          <t>1</t>
        </is>
      </c>
      <c r="K97" s="5" t="inlineStr">
        <is>
          <t xml:space="preserve">; </t>
        </is>
      </c>
      <c r="M97" s="5" t="inlineStr">
        <is>
          <t>100.0</t>
        </is>
      </c>
      <c r="N97" s="5" t="inlineStr">
        <is>
          <t>YES</t>
        </is>
      </c>
    </row>
    <row r="98">
      <c r="A98" s="6" t="n">
        <v>215</v>
      </c>
      <c r="B98" s="5" t="inlineStr">
        <is>
          <t>S3</t>
        </is>
      </c>
      <c r="C98" s="5" t="inlineStr">
        <is>
          <t>3: Redox-, glucose-, and mixed-stimulus adaptive hydrogels</t>
        </is>
      </c>
      <c r="D98" s="5" t="inlineStr">
        <is>
          <t>Glucose/ROS-responsive and redox-gated adaptive hydrogel dressing for accelerating diabetic wound repair via synergistic cGAS/STING pathway inhibition and oxidative stress alleviation</t>
        </is>
      </c>
      <c r="E98" s="5" t="inlineStr">
        <is>
          <t>10.1016/j.bioactmat.2026.03.025</t>
        </is>
      </c>
      <c r="F98" s="5" t="inlineStr">
        <is>
          <t>Glucose-responsive</t>
        </is>
      </c>
      <c r="G98" s="5" t="inlineStr">
        <is>
          <t>Safety or cytocompatibility</t>
        </is>
      </c>
      <c r="H98" s="6" t="inlineStr">
        <is>
          <t>1</t>
        </is>
      </c>
      <c r="K98" s="5" t="inlineStr">
        <is>
          <t xml:space="preserve">; </t>
        </is>
      </c>
      <c r="M98" s="5" t="inlineStr">
        <is>
          <t>100.0</t>
        </is>
      </c>
      <c r="N98" s="5" t="inlineStr">
        <is>
          <t>YES</t>
        </is>
      </c>
    </row>
    <row r="99">
      <c r="A99" s="6" t="n">
        <v>202</v>
      </c>
      <c r="B99" s="5" t="inlineStr">
        <is>
          <t>S3</t>
        </is>
      </c>
      <c r="C99" s="5" t="inlineStr">
        <is>
          <t>4: Enzyme-activated infection and remodeling depots</t>
        </is>
      </c>
      <c r="D99" s="5" t="inlineStr">
        <is>
          <t>Bacterial enzyme-responsive hydrogels for triggered delivery of antibiotics to infected wounds</t>
        </is>
      </c>
      <c r="E99" s="5" t="inlineStr">
        <is>
          <t>10.1126/sciadv.adz0786</t>
        </is>
      </c>
      <c r="F99" s="5" t="inlineStr">
        <is>
          <t>Enzyme-responsive</t>
        </is>
      </c>
      <c r="G99" s="5" t="inlineStr">
        <is>
          <t>Release kinetics measured</t>
        </is>
      </c>
      <c r="H99" s="6" t="inlineStr">
        <is>
          <t>1</t>
        </is>
      </c>
      <c r="K99" s="5" t="inlineStr">
        <is>
          <t xml:space="preserve">; </t>
        </is>
      </c>
      <c r="M99" s="5" t="inlineStr">
        <is>
          <t>100.0</t>
        </is>
      </c>
      <c r="N99" s="5" t="inlineStr">
        <is>
          <t>YES</t>
        </is>
      </c>
    </row>
    <row r="100">
      <c r="A100" s="6" t="n">
        <v>202</v>
      </c>
      <c r="B100" s="5" t="inlineStr">
        <is>
          <t>S3</t>
        </is>
      </c>
      <c r="C100" s="5" t="inlineStr">
        <is>
          <t>4: Enzyme-activated infection and remodeling depots</t>
        </is>
      </c>
      <c r="D100" s="5" t="inlineStr">
        <is>
          <t>Bacterial enzyme-responsive hydrogels for triggered delivery of antibiotics to infected wounds</t>
        </is>
      </c>
      <c r="E100" s="5" t="inlineStr">
        <is>
          <t>10.1126/sciadv.adz0786</t>
        </is>
      </c>
      <c r="F100" s="5" t="inlineStr">
        <is>
          <t>Enzyme-responsive</t>
        </is>
      </c>
      <c r="G100" s="5" t="inlineStr">
        <is>
          <t>Antimicrobial or biofilm control</t>
        </is>
      </c>
      <c r="H100" s="6" t="inlineStr">
        <is>
          <t>1</t>
        </is>
      </c>
      <c r="K100" s="5" t="inlineStr">
        <is>
          <t xml:space="preserve">; </t>
        </is>
      </c>
      <c r="M100" s="5" t="inlineStr">
        <is>
          <t>100.0</t>
        </is>
      </c>
      <c r="N100" s="5" t="inlineStr">
        <is>
          <t>YES</t>
        </is>
      </c>
    </row>
    <row r="101">
      <c r="A101" s="6" t="n">
        <v>202</v>
      </c>
      <c r="B101" s="5" t="inlineStr">
        <is>
          <t>S3</t>
        </is>
      </c>
      <c r="C101" s="5" t="inlineStr">
        <is>
          <t>4: Enzyme-activated infection and remodeling depots</t>
        </is>
      </c>
      <c r="D101" s="5" t="inlineStr">
        <is>
          <t>Bacterial enzyme-responsive hydrogels for triggered delivery of antibiotics to infected wounds</t>
        </is>
      </c>
      <c r="E101" s="5" t="inlineStr">
        <is>
          <t>10.1126/sciadv.adz0786</t>
        </is>
      </c>
      <c r="F101" s="5" t="inlineStr">
        <is>
          <t>Enzyme-responsive</t>
        </is>
      </c>
      <c r="G101" s="5" t="inlineStr">
        <is>
          <t>Inflammation or macrophage modulation</t>
        </is>
      </c>
      <c r="H101" s="6" t="inlineStr">
        <is>
          <t>1</t>
        </is>
      </c>
      <c r="K101" s="5" t="inlineStr">
        <is>
          <t xml:space="preserve">; </t>
        </is>
      </c>
      <c r="M101" s="5" t="inlineStr">
        <is>
          <t>100.0</t>
        </is>
      </c>
      <c r="N101" s="5" t="inlineStr">
        <is>
          <t>YES</t>
        </is>
      </c>
    </row>
    <row r="102">
      <c r="A102" s="6" t="n">
        <v>202</v>
      </c>
      <c r="B102" s="5" t="inlineStr">
        <is>
          <t>S3</t>
        </is>
      </c>
      <c r="C102" s="5" t="inlineStr">
        <is>
          <t>4: Enzyme-activated infection and remodeling depots</t>
        </is>
      </c>
      <c r="D102" s="5" t="inlineStr">
        <is>
          <t>Bacterial enzyme-responsive hydrogels for triggered delivery of antibiotics to infected wounds</t>
        </is>
      </c>
      <c r="E102" s="5" t="inlineStr">
        <is>
          <t>10.1126/sciadv.adz0786</t>
        </is>
      </c>
      <c r="F102" s="5" t="inlineStr">
        <is>
          <t>Enzyme-responsive</t>
        </is>
      </c>
      <c r="G102" s="5" t="inlineStr">
        <is>
          <t>Collagen or matrix remodeling</t>
        </is>
      </c>
      <c r="H102" s="6" t="inlineStr">
        <is>
          <t>1</t>
        </is>
      </c>
      <c r="K102" s="5" t="inlineStr">
        <is>
          <t xml:space="preserve">; </t>
        </is>
      </c>
      <c r="M102" s="5" t="inlineStr">
        <is>
          <t>100.0</t>
        </is>
      </c>
      <c r="N102" s="5" t="inlineStr">
        <is>
          <t>YES</t>
        </is>
      </c>
    </row>
    <row r="103">
      <c r="A103" s="6" t="n">
        <v>202</v>
      </c>
      <c r="B103" s="5" t="inlineStr">
        <is>
          <t>S3</t>
        </is>
      </c>
      <c r="C103" s="5" t="inlineStr">
        <is>
          <t>4: Enzyme-activated infection and remodeling depots</t>
        </is>
      </c>
      <c r="D103" s="5" t="inlineStr">
        <is>
          <t>Bacterial enzyme-responsive hydrogels for triggered delivery of antibiotics to infected wounds</t>
        </is>
      </c>
      <c r="E103" s="5" t="inlineStr">
        <is>
          <t>10.1126/sciadv.adz0786</t>
        </is>
      </c>
      <c r="F103" s="5" t="inlineStr">
        <is>
          <t>Enzyme-responsive</t>
        </is>
      </c>
      <c r="G103" s="5" t="inlineStr">
        <is>
          <t>Re-epithelialization</t>
        </is>
      </c>
      <c r="H103" s="6" t="inlineStr">
        <is>
          <t>1</t>
        </is>
      </c>
      <c r="K103" s="5" t="inlineStr">
        <is>
          <t xml:space="preserve">; </t>
        </is>
      </c>
      <c r="M103" s="5" t="inlineStr">
        <is>
          <t>100.0</t>
        </is>
      </c>
      <c r="N103" s="5" t="inlineStr">
        <is>
          <t>YES</t>
        </is>
      </c>
    </row>
    <row r="104">
      <c r="A104" s="6" t="n">
        <v>202</v>
      </c>
      <c r="B104" s="5" t="inlineStr">
        <is>
          <t>S3</t>
        </is>
      </c>
      <c r="C104" s="5" t="inlineStr">
        <is>
          <t>4: Enzyme-activated infection and remodeling depots</t>
        </is>
      </c>
      <c r="D104" s="5" t="inlineStr">
        <is>
          <t>Bacterial enzyme-responsive hydrogels for triggered delivery of antibiotics to infected wounds</t>
        </is>
      </c>
      <c r="E104" s="5" t="inlineStr">
        <is>
          <t>10.1126/sciadv.adz0786</t>
        </is>
      </c>
      <c r="F104" s="5" t="inlineStr">
        <is>
          <t>Enzyme-responsive</t>
        </is>
      </c>
      <c r="G104" s="5" t="inlineStr">
        <is>
          <t>Safety or cytocompatibility</t>
        </is>
      </c>
      <c r="H104" s="6" t="inlineStr">
        <is>
          <t>1</t>
        </is>
      </c>
      <c r="K104" s="5" t="inlineStr">
        <is>
          <t xml:space="preserve">; </t>
        </is>
      </c>
      <c r="M104" s="5" t="inlineStr">
        <is>
          <t>100.0</t>
        </is>
      </c>
      <c r="N104" s="5" t="inlineStr">
        <is>
          <t>YES</t>
        </is>
      </c>
    </row>
    <row r="105">
      <c r="A105" s="6" t="n">
        <v>217</v>
      </c>
      <c r="B105" s="5" t="inlineStr">
        <is>
          <t>S3</t>
        </is>
      </c>
      <c r="C105" s="5" t="inlineStr">
        <is>
          <t>4: Enzyme-activated infection and remodeling depots</t>
        </is>
      </c>
      <c r="D105" s="5" t="inlineStr">
        <is>
          <t>ADSC-exo@ MMP-PEG smart hydrogel promotes diabetic wound healing by optimizing cellular functions and relieving oxidative stress</t>
        </is>
      </c>
      <c r="E105" s="5" t="inlineStr">
        <is>
          <t>10.1016/j.mtbio.2022.100365</t>
        </is>
      </c>
      <c r="F105" s="5" t="inlineStr">
        <is>
          <t>Enzyme-responsive</t>
        </is>
      </c>
      <c r="G105" s="5" t="inlineStr">
        <is>
          <t>Release kinetics measured</t>
        </is>
      </c>
      <c r="H105" s="6" t="inlineStr">
        <is>
          <t>1</t>
        </is>
      </c>
      <c r="K105" s="5" t="inlineStr">
        <is>
          <t xml:space="preserve">; </t>
        </is>
      </c>
      <c r="M105" s="5" t="inlineStr">
        <is>
          <t>100.0</t>
        </is>
      </c>
      <c r="N105" s="5" t="inlineStr">
        <is>
          <t>YES</t>
        </is>
      </c>
    </row>
    <row r="106">
      <c r="A106" s="6" t="n">
        <v>217</v>
      </c>
      <c r="B106" s="5" t="inlineStr">
        <is>
          <t>S3</t>
        </is>
      </c>
      <c r="C106" s="5" t="inlineStr">
        <is>
          <t>4: Enzyme-activated infection and remodeling depots</t>
        </is>
      </c>
      <c r="D106" s="5" t="inlineStr">
        <is>
          <t>ADSC-exo@ MMP-PEG smart hydrogel promotes diabetic wound healing by optimizing cellular functions and relieving oxidative stress</t>
        </is>
      </c>
      <c r="E106" s="5" t="inlineStr">
        <is>
          <t>10.1016/j.mtbio.2022.100365</t>
        </is>
      </c>
      <c r="F106" s="5" t="inlineStr">
        <is>
          <t>Enzyme-responsive</t>
        </is>
      </c>
      <c r="G106" s="5" t="inlineStr">
        <is>
          <t>Antimicrobial or biofilm control</t>
        </is>
      </c>
      <c r="H106" s="6" t="inlineStr">
        <is>
          <t>1</t>
        </is>
      </c>
      <c r="K106" s="5" t="inlineStr">
        <is>
          <t xml:space="preserve">; </t>
        </is>
      </c>
      <c r="M106" s="5" t="inlineStr">
        <is>
          <t>100.0</t>
        </is>
      </c>
      <c r="N106" s="5" t="inlineStr">
        <is>
          <t>YES</t>
        </is>
      </c>
    </row>
    <row r="107">
      <c r="A107" s="6" t="n">
        <v>217</v>
      </c>
      <c r="B107" s="5" t="inlineStr">
        <is>
          <t>S3</t>
        </is>
      </c>
      <c r="C107" s="5" t="inlineStr">
        <is>
          <t>4: Enzyme-activated infection and remodeling depots</t>
        </is>
      </c>
      <c r="D107" s="5" t="inlineStr">
        <is>
          <t>ADSC-exo@ MMP-PEG smart hydrogel promotes diabetic wound healing by optimizing cellular functions and relieving oxidative stress</t>
        </is>
      </c>
      <c r="E107" s="5" t="inlineStr">
        <is>
          <t>10.1016/j.mtbio.2022.100365</t>
        </is>
      </c>
      <c r="F107" s="5" t="inlineStr">
        <is>
          <t>Enzyme-responsive</t>
        </is>
      </c>
      <c r="G107" s="5" t="inlineStr">
        <is>
          <t>Angiogenesis</t>
        </is>
      </c>
      <c r="H107" s="6" t="inlineStr">
        <is>
          <t>1</t>
        </is>
      </c>
      <c r="K107" s="5" t="inlineStr">
        <is>
          <t xml:space="preserve">; </t>
        </is>
      </c>
      <c r="M107" s="5" t="inlineStr">
        <is>
          <t>100.0</t>
        </is>
      </c>
      <c r="N107" s="5" t="inlineStr">
        <is>
          <t>YES</t>
        </is>
      </c>
    </row>
    <row r="108">
      <c r="A108" s="6" t="n">
        <v>217</v>
      </c>
      <c r="B108" s="5" t="inlineStr">
        <is>
          <t>S3</t>
        </is>
      </c>
      <c r="C108" s="5" t="inlineStr">
        <is>
          <t>4: Enzyme-activated infection and remodeling depots</t>
        </is>
      </c>
      <c r="D108" s="5" t="inlineStr">
        <is>
          <t>ADSC-exo@ MMP-PEG smart hydrogel promotes diabetic wound healing by optimizing cellular functions and relieving oxidative stress</t>
        </is>
      </c>
      <c r="E108" s="5" t="inlineStr">
        <is>
          <t>10.1016/j.mtbio.2022.100365</t>
        </is>
      </c>
      <c r="F108" s="5" t="inlineStr">
        <is>
          <t>Enzyme-responsive</t>
        </is>
      </c>
      <c r="G108" s="5" t="inlineStr">
        <is>
          <t>Collagen or matrix remodeling</t>
        </is>
      </c>
      <c r="H108" s="6" t="inlineStr">
        <is>
          <t>1</t>
        </is>
      </c>
      <c r="K108" s="5" t="inlineStr">
        <is>
          <t xml:space="preserve">; </t>
        </is>
      </c>
      <c r="M108" s="5" t="inlineStr">
        <is>
          <t>100.0</t>
        </is>
      </c>
      <c r="N108" s="5" t="inlineStr">
        <is>
          <t>YES</t>
        </is>
      </c>
    </row>
    <row r="109">
      <c r="A109" s="6" t="n">
        <v>217</v>
      </c>
      <c r="B109" s="5" t="inlineStr">
        <is>
          <t>S3</t>
        </is>
      </c>
      <c r="C109" s="5" t="inlineStr">
        <is>
          <t>4: Enzyme-activated infection and remodeling depots</t>
        </is>
      </c>
      <c r="D109" s="5" t="inlineStr">
        <is>
          <t>ADSC-exo@ MMP-PEG smart hydrogel promotes diabetic wound healing by optimizing cellular functions and relieving oxidative stress</t>
        </is>
      </c>
      <c r="E109" s="5" t="inlineStr">
        <is>
          <t>10.1016/j.mtbio.2022.100365</t>
        </is>
      </c>
      <c r="F109" s="5" t="inlineStr">
        <is>
          <t>Enzyme-responsive</t>
        </is>
      </c>
      <c r="G109" s="5" t="inlineStr">
        <is>
          <t>Re-epithelialization</t>
        </is>
      </c>
      <c r="H109" s="6" t="inlineStr">
        <is>
          <t>1</t>
        </is>
      </c>
      <c r="K109" s="5" t="inlineStr">
        <is>
          <t xml:space="preserve">; </t>
        </is>
      </c>
      <c r="M109" s="5" t="inlineStr">
        <is>
          <t>100.0</t>
        </is>
      </c>
      <c r="N109" s="5" t="inlineStr">
        <is>
          <t>YES</t>
        </is>
      </c>
    </row>
    <row r="110">
      <c r="A110" s="6" t="n">
        <v>217</v>
      </c>
      <c r="B110" s="5" t="inlineStr">
        <is>
          <t>S3</t>
        </is>
      </c>
      <c r="C110" s="5" t="inlineStr">
        <is>
          <t>4: Enzyme-activated infection and remodeling depots</t>
        </is>
      </c>
      <c r="D110" s="5" t="inlineStr">
        <is>
          <t>ADSC-exo@ MMP-PEG smart hydrogel promotes diabetic wound healing by optimizing cellular functions and relieving oxidative stress</t>
        </is>
      </c>
      <c r="E110" s="5" t="inlineStr">
        <is>
          <t>10.1016/j.mtbio.2022.100365</t>
        </is>
      </c>
      <c r="F110" s="5" t="inlineStr">
        <is>
          <t>Enzyme-responsive</t>
        </is>
      </c>
      <c r="G110" s="5" t="inlineStr">
        <is>
          <t>Wound closure</t>
        </is>
      </c>
      <c r="H110" s="6" t="inlineStr">
        <is>
          <t>1</t>
        </is>
      </c>
      <c r="K110" s="5" t="inlineStr">
        <is>
          <t xml:space="preserve">; </t>
        </is>
      </c>
      <c r="M110" s="5" t="inlineStr">
        <is>
          <t>100.0</t>
        </is>
      </c>
      <c r="N110" s="5" t="inlineStr">
        <is>
          <t>YES</t>
        </is>
      </c>
    </row>
    <row r="111">
      <c r="A111" s="6" t="n">
        <v>217</v>
      </c>
      <c r="B111" s="5" t="inlineStr">
        <is>
          <t>S3</t>
        </is>
      </c>
      <c r="C111" s="5" t="inlineStr">
        <is>
          <t>4: Enzyme-activated infection and remodeling depots</t>
        </is>
      </c>
      <c r="D111" s="5" t="inlineStr">
        <is>
          <t>ADSC-exo@ MMP-PEG smart hydrogel promotes diabetic wound healing by optimizing cellular functions and relieving oxidative stress</t>
        </is>
      </c>
      <c r="E111" s="5" t="inlineStr">
        <is>
          <t>10.1016/j.mtbio.2022.100365</t>
        </is>
      </c>
      <c r="F111" s="5" t="inlineStr">
        <is>
          <t>Enzyme-responsive</t>
        </is>
      </c>
      <c r="G111" s="5" t="inlineStr">
        <is>
          <t>Safety or cytocompatibility</t>
        </is>
      </c>
      <c r="H111" s="6" t="inlineStr">
        <is>
          <t>1</t>
        </is>
      </c>
      <c r="K111" s="5" t="inlineStr">
        <is>
          <t xml:space="preserve">; </t>
        </is>
      </c>
      <c r="M111" s="5" t="inlineStr">
        <is>
          <t>100.0</t>
        </is>
      </c>
      <c r="N111" s="5" t="inlineStr">
        <is>
          <t>YES</t>
        </is>
      </c>
    </row>
    <row r="112">
      <c r="A112" s="6" t="n">
        <v>262</v>
      </c>
      <c r="B112" s="5" t="inlineStr">
        <is>
          <t>S3</t>
        </is>
      </c>
      <c r="C112" s="5" t="inlineStr">
        <is>
          <t>4: Enzyme-activated infection and remodeling depots</t>
        </is>
      </c>
      <c r="D112" s="5" t="inlineStr">
        <is>
          <t>Facile and efficient encapsulation of antimicrobial peptides via crosslinked DNA nanostructures and their application in wound therapy</t>
        </is>
      </c>
      <c r="E112" s="5" t="inlineStr">
        <is>
          <t>10.1016/j.jconrel.2019.10.013</t>
        </is>
      </c>
      <c r="F112" s="5" t="inlineStr">
        <is>
          <t>Enzyme-responsive</t>
        </is>
      </c>
      <c r="G112" s="5" t="inlineStr">
        <is>
          <t>Release kinetics measured</t>
        </is>
      </c>
      <c r="H112" s="6" t="inlineStr">
        <is>
          <t>1</t>
        </is>
      </c>
      <c r="K112" s="5" t="inlineStr">
        <is>
          <t xml:space="preserve">; </t>
        </is>
      </c>
      <c r="M112" s="5" t="inlineStr">
        <is>
          <t>100.0</t>
        </is>
      </c>
      <c r="N112" s="5" t="inlineStr">
        <is>
          <t>YES</t>
        </is>
      </c>
    </row>
    <row r="113">
      <c r="A113" s="6" t="n">
        <v>262</v>
      </c>
      <c r="B113" s="5" t="inlineStr">
        <is>
          <t>S3</t>
        </is>
      </c>
      <c r="C113" s="5" t="inlineStr">
        <is>
          <t>4: Enzyme-activated infection and remodeling depots</t>
        </is>
      </c>
      <c r="D113" s="5" t="inlineStr">
        <is>
          <t>Facile and efficient encapsulation of antimicrobial peptides via crosslinked DNA nanostructures and their application in wound therapy</t>
        </is>
      </c>
      <c r="E113" s="5" t="inlineStr">
        <is>
          <t>10.1016/j.jconrel.2019.10.013</t>
        </is>
      </c>
      <c r="F113" s="5" t="inlineStr">
        <is>
          <t>Enzyme-responsive</t>
        </is>
      </c>
      <c r="G113" s="5" t="inlineStr">
        <is>
          <t>Antimicrobial or biofilm control</t>
        </is>
      </c>
      <c r="H113" s="6" t="inlineStr">
        <is>
          <t>1</t>
        </is>
      </c>
      <c r="K113" s="5" t="inlineStr">
        <is>
          <t xml:space="preserve">; </t>
        </is>
      </c>
      <c r="M113" s="5" t="inlineStr">
        <is>
          <t>100.0</t>
        </is>
      </c>
      <c r="N113" s="5" t="inlineStr">
        <is>
          <t>YES</t>
        </is>
      </c>
    </row>
    <row r="114">
      <c r="A114" s="6" t="n">
        <v>262</v>
      </c>
      <c r="B114" s="5" t="inlineStr">
        <is>
          <t>S3</t>
        </is>
      </c>
      <c r="C114" s="5" t="inlineStr">
        <is>
          <t>4: Enzyme-activated infection and remodeling depots</t>
        </is>
      </c>
      <c r="D114" s="5" t="inlineStr">
        <is>
          <t>Facile and efficient encapsulation of antimicrobial peptides via crosslinked DNA nanostructures and their application in wound therapy</t>
        </is>
      </c>
      <c r="E114" s="5" t="inlineStr">
        <is>
          <t>10.1016/j.jconrel.2019.10.013</t>
        </is>
      </c>
      <c r="F114" s="5" t="inlineStr">
        <is>
          <t>Enzyme-responsive</t>
        </is>
      </c>
      <c r="G114" s="5" t="inlineStr">
        <is>
          <t>Inflammation or macrophage modulation</t>
        </is>
      </c>
      <c r="H114" s="6" t="inlineStr">
        <is>
          <t>1</t>
        </is>
      </c>
      <c r="K114" s="5" t="inlineStr">
        <is>
          <t xml:space="preserve">; </t>
        </is>
      </c>
      <c r="M114" s="5" t="inlineStr">
        <is>
          <t>100.0</t>
        </is>
      </c>
      <c r="N114" s="5" t="inlineStr">
        <is>
          <t>YES</t>
        </is>
      </c>
    </row>
    <row r="115">
      <c r="A115" s="6" t="n">
        <v>262</v>
      </c>
      <c r="B115" s="5" t="inlineStr">
        <is>
          <t>S3</t>
        </is>
      </c>
      <c r="C115" s="5" t="inlineStr">
        <is>
          <t>4: Enzyme-activated infection and remodeling depots</t>
        </is>
      </c>
      <c r="D115" s="5" t="inlineStr">
        <is>
          <t>Facile and efficient encapsulation of antimicrobial peptides via crosslinked DNA nanostructures and their application in wound therapy</t>
        </is>
      </c>
      <c r="E115" s="5" t="inlineStr">
        <is>
          <t>10.1016/j.jconrel.2019.10.013</t>
        </is>
      </c>
      <c r="F115" s="5" t="inlineStr">
        <is>
          <t>Enzyme-responsive</t>
        </is>
      </c>
      <c r="G115" s="5" t="inlineStr">
        <is>
          <t>Collagen or matrix remodeling</t>
        </is>
      </c>
      <c r="H115" s="6" t="inlineStr">
        <is>
          <t>1</t>
        </is>
      </c>
      <c r="K115" s="5" t="inlineStr">
        <is>
          <t xml:space="preserve">; </t>
        </is>
      </c>
      <c r="M115" s="5" t="inlineStr">
        <is>
          <t>100.0</t>
        </is>
      </c>
      <c r="N115" s="5" t="inlineStr">
        <is>
          <t>YES</t>
        </is>
      </c>
    </row>
    <row r="116">
      <c r="A116" s="6" t="n">
        <v>262</v>
      </c>
      <c r="B116" s="5" t="inlineStr">
        <is>
          <t>S3</t>
        </is>
      </c>
      <c r="C116" s="5" t="inlineStr">
        <is>
          <t>4: Enzyme-activated infection and remodeling depots</t>
        </is>
      </c>
      <c r="D116" s="5" t="inlineStr">
        <is>
          <t>Facile and efficient encapsulation of antimicrobial peptides via crosslinked DNA nanostructures and their application in wound therapy</t>
        </is>
      </c>
      <c r="E116" s="5" t="inlineStr">
        <is>
          <t>10.1016/j.jconrel.2019.10.013</t>
        </is>
      </c>
      <c r="F116" s="5" t="inlineStr">
        <is>
          <t>Enzyme-responsive</t>
        </is>
      </c>
      <c r="G116" s="5" t="inlineStr">
        <is>
          <t>Re-epithelialization</t>
        </is>
      </c>
      <c r="H116" s="6" t="inlineStr">
        <is>
          <t>1</t>
        </is>
      </c>
      <c r="K116" s="5" t="inlineStr">
        <is>
          <t xml:space="preserve">; </t>
        </is>
      </c>
      <c r="M116" s="5" t="inlineStr">
        <is>
          <t>100.0</t>
        </is>
      </c>
      <c r="N116" s="5" t="inlineStr">
        <is>
          <t>YES</t>
        </is>
      </c>
    </row>
    <row r="117">
      <c r="A117" s="6" t="n">
        <v>262</v>
      </c>
      <c r="B117" s="5" t="inlineStr">
        <is>
          <t>S3</t>
        </is>
      </c>
      <c r="C117" s="5" t="inlineStr">
        <is>
          <t>4: Enzyme-activated infection and remodeling depots</t>
        </is>
      </c>
      <c r="D117" s="5" t="inlineStr">
        <is>
          <t>Facile and efficient encapsulation of antimicrobial peptides via crosslinked DNA nanostructures and their application in wound therapy</t>
        </is>
      </c>
      <c r="E117" s="5" t="inlineStr">
        <is>
          <t>10.1016/j.jconrel.2019.10.013</t>
        </is>
      </c>
      <c r="F117" s="5" t="inlineStr">
        <is>
          <t>Enzyme-responsive</t>
        </is>
      </c>
      <c r="G117" s="5" t="inlineStr">
        <is>
          <t>Wound closure</t>
        </is>
      </c>
      <c r="H117" s="6" t="inlineStr">
        <is>
          <t>1</t>
        </is>
      </c>
      <c r="K117" s="5" t="inlineStr">
        <is>
          <t xml:space="preserve">; </t>
        </is>
      </c>
      <c r="M117" s="5" t="inlineStr">
        <is>
          <t>100.0</t>
        </is>
      </c>
      <c r="N117" s="5" t="inlineStr">
        <is>
          <t>YES</t>
        </is>
      </c>
    </row>
    <row r="118">
      <c r="A118" s="6" t="n">
        <v>262</v>
      </c>
      <c r="B118" s="5" t="inlineStr">
        <is>
          <t>S3</t>
        </is>
      </c>
      <c r="C118" s="5" t="inlineStr">
        <is>
          <t>4: Enzyme-activated infection and remodeling depots</t>
        </is>
      </c>
      <c r="D118" s="5" t="inlineStr">
        <is>
          <t>Facile and efficient encapsulation of antimicrobial peptides via crosslinked DNA nanostructures and their application in wound therapy</t>
        </is>
      </c>
      <c r="E118" s="5" t="inlineStr">
        <is>
          <t>10.1016/j.jconrel.2019.10.013</t>
        </is>
      </c>
      <c r="F118" s="5" t="inlineStr">
        <is>
          <t>Enzyme-responsive</t>
        </is>
      </c>
      <c r="G118" s="5" t="inlineStr">
        <is>
          <t>Safety or cytocompatibility</t>
        </is>
      </c>
      <c r="H118" s="6" t="inlineStr">
        <is>
          <t>1</t>
        </is>
      </c>
      <c r="K118" s="5" t="inlineStr">
        <is>
          <t xml:space="preserve">; </t>
        </is>
      </c>
      <c r="M118" s="5" t="inlineStr">
        <is>
          <t>100.0</t>
        </is>
      </c>
      <c r="N118" s="5" t="inlineStr">
        <is>
          <t>YES</t>
        </is>
      </c>
    </row>
    <row r="119">
      <c r="A119" s="6" t="n">
        <v>201</v>
      </c>
      <c r="B119" s="5" t="inlineStr">
        <is>
          <t>S3</t>
        </is>
      </c>
      <c r="C119" s="5" t="inlineStr">
        <is>
          <t>3: Redox-, glucose-, and mixed-stimulus adaptive hydrogels</t>
        </is>
      </c>
      <c r="D119" s="5" t="inlineStr">
        <is>
          <t>pH/ROS responsive hydrogel loaded with bimetallic phenolic nanoparticles: A multifaceted therapeutic strategy for accelerating diabetic wound repair</t>
        </is>
      </c>
      <c r="E119" s="5" t="inlineStr">
        <is>
          <t>10.1016/j.cej.2025.170173</t>
        </is>
      </c>
      <c r="F119" s="5" t="inlineStr">
        <is>
          <t>Thermo/NIR or externally actuated</t>
        </is>
      </c>
      <c r="G119" s="5" t="inlineStr">
        <is>
          <t>Release kinetics measured</t>
        </is>
      </c>
      <c r="H119" s="6" t="inlineStr">
        <is>
          <t>1</t>
        </is>
      </c>
      <c r="K119" s="5" t="inlineStr">
        <is>
          <t xml:space="preserve">; </t>
        </is>
      </c>
      <c r="M119" s="5" t="inlineStr">
        <is>
          <t>100.0</t>
        </is>
      </c>
      <c r="N119" s="5" t="inlineStr">
        <is>
          <t>YES</t>
        </is>
      </c>
    </row>
    <row r="120">
      <c r="A120" s="6" t="n">
        <v>201</v>
      </c>
      <c r="B120" s="5" t="inlineStr">
        <is>
          <t>S3</t>
        </is>
      </c>
      <c r="C120" s="5" t="inlineStr">
        <is>
          <t>3: Redox-, glucose-, and mixed-stimulus adaptive hydrogels</t>
        </is>
      </c>
      <c r="D120" s="5" t="inlineStr">
        <is>
          <t>pH/ROS responsive hydrogel loaded with bimetallic phenolic nanoparticles: A multifaceted therapeutic strategy for accelerating diabetic wound repair</t>
        </is>
      </c>
      <c r="E120" s="5" t="inlineStr">
        <is>
          <t>10.1016/j.cej.2025.170173</t>
        </is>
      </c>
      <c r="F120" s="5" t="inlineStr">
        <is>
          <t>Thermo/NIR or externally actuated</t>
        </is>
      </c>
      <c r="G120" s="5" t="inlineStr">
        <is>
          <t>Antimicrobial or biofilm control</t>
        </is>
      </c>
      <c r="H120" s="6" t="inlineStr">
        <is>
          <t>1</t>
        </is>
      </c>
      <c r="K120" s="5" t="inlineStr">
        <is>
          <t xml:space="preserve">; </t>
        </is>
      </c>
      <c r="M120" s="5" t="inlineStr">
        <is>
          <t>100.0</t>
        </is>
      </c>
      <c r="N120" s="5" t="inlineStr">
        <is>
          <t>YES</t>
        </is>
      </c>
    </row>
    <row r="121">
      <c r="A121" s="6" t="n">
        <v>201</v>
      </c>
      <c r="B121" s="5" t="inlineStr">
        <is>
          <t>S3</t>
        </is>
      </c>
      <c r="C121" s="5" t="inlineStr">
        <is>
          <t>3: Redox-, glucose-, and mixed-stimulus adaptive hydrogels</t>
        </is>
      </c>
      <c r="D121" s="5" t="inlineStr">
        <is>
          <t>pH/ROS responsive hydrogel loaded with bimetallic phenolic nanoparticles: A multifaceted therapeutic strategy for accelerating diabetic wound repair</t>
        </is>
      </c>
      <c r="E121" s="5" t="inlineStr">
        <is>
          <t>10.1016/j.cej.2025.170173</t>
        </is>
      </c>
      <c r="F121" s="5" t="inlineStr">
        <is>
          <t>Thermo/NIR or externally actuated</t>
        </is>
      </c>
      <c r="G121" s="5" t="inlineStr">
        <is>
          <t>Inflammation or macrophage modulation</t>
        </is>
      </c>
      <c r="H121" s="6" t="inlineStr">
        <is>
          <t>1</t>
        </is>
      </c>
      <c r="K121" s="5" t="inlineStr">
        <is>
          <t xml:space="preserve">; </t>
        </is>
      </c>
      <c r="M121" s="5" t="inlineStr">
        <is>
          <t>100.0</t>
        </is>
      </c>
      <c r="N121" s="5" t="inlineStr">
        <is>
          <t>YES</t>
        </is>
      </c>
    </row>
    <row r="122">
      <c r="A122" s="6" t="n">
        <v>201</v>
      </c>
      <c r="B122" s="5" t="inlineStr">
        <is>
          <t>S3</t>
        </is>
      </c>
      <c r="C122" s="5" t="inlineStr">
        <is>
          <t>3: Redox-, glucose-, and mixed-stimulus adaptive hydrogels</t>
        </is>
      </c>
      <c r="D122" s="5" t="inlineStr">
        <is>
          <t>pH/ROS responsive hydrogel loaded with bimetallic phenolic nanoparticles: A multifaceted therapeutic strategy for accelerating diabetic wound repair</t>
        </is>
      </c>
      <c r="E122" s="5" t="inlineStr">
        <is>
          <t>10.1016/j.cej.2025.170173</t>
        </is>
      </c>
      <c r="F122" s="5" t="inlineStr">
        <is>
          <t>Thermo/NIR or externally actuated</t>
        </is>
      </c>
      <c r="G122" s="5" t="inlineStr">
        <is>
          <t>Angiogenesis</t>
        </is>
      </c>
      <c r="H122" s="6" t="inlineStr">
        <is>
          <t>1</t>
        </is>
      </c>
      <c r="K122" s="5" t="inlineStr">
        <is>
          <t xml:space="preserve">; </t>
        </is>
      </c>
      <c r="M122" s="5" t="inlineStr">
        <is>
          <t>100.0</t>
        </is>
      </c>
      <c r="N122" s="5" t="inlineStr">
        <is>
          <t>YES</t>
        </is>
      </c>
    </row>
    <row r="123">
      <c r="A123" s="6" t="n">
        <v>201</v>
      </c>
      <c r="B123" s="5" t="inlineStr">
        <is>
          <t>S3</t>
        </is>
      </c>
      <c r="C123" s="5" t="inlineStr">
        <is>
          <t>3: Redox-, glucose-, and mixed-stimulus adaptive hydrogels</t>
        </is>
      </c>
      <c r="D123" s="5" t="inlineStr">
        <is>
          <t>pH/ROS responsive hydrogel loaded with bimetallic phenolic nanoparticles: A multifaceted therapeutic strategy for accelerating diabetic wound repair</t>
        </is>
      </c>
      <c r="E123" s="5" t="inlineStr">
        <is>
          <t>10.1016/j.cej.2025.170173</t>
        </is>
      </c>
      <c r="F123" s="5" t="inlineStr">
        <is>
          <t>Thermo/NIR or externally actuated</t>
        </is>
      </c>
      <c r="G123" s="5" t="inlineStr">
        <is>
          <t>Collagen or matrix remodeling</t>
        </is>
      </c>
      <c r="H123" s="6" t="inlineStr">
        <is>
          <t>1</t>
        </is>
      </c>
      <c r="K123" s="5" t="inlineStr">
        <is>
          <t xml:space="preserve">; </t>
        </is>
      </c>
      <c r="M123" s="5" t="inlineStr">
        <is>
          <t>100.0</t>
        </is>
      </c>
      <c r="N123" s="5" t="inlineStr">
        <is>
          <t>YES</t>
        </is>
      </c>
    </row>
    <row r="124">
      <c r="A124" s="6" t="n">
        <v>201</v>
      </c>
      <c r="B124" s="5" t="inlineStr">
        <is>
          <t>S3</t>
        </is>
      </c>
      <c r="C124" s="5" t="inlineStr">
        <is>
          <t>3: Redox-, glucose-, and mixed-stimulus adaptive hydrogels</t>
        </is>
      </c>
      <c r="D124" s="5" t="inlineStr">
        <is>
          <t>pH/ROS responsive hydrogel loaded with bimetallic phenolic nanoparticles: A multifaceted therapeutic strategy for accelerating diabetic wound repair</t>
        </is>
      </c>
      <c r="E124" s="5" t="inlineStr">
        <is>
          <t>10.1016/j.cej.2025.170173</t>
        </is>
      </c>
      <c r="F124" s="5" t="inlineStr">
        <is>
          <t>Thermo/NIR or externally actuated</t>
        </is>
      </c>
      <c r="G124" s="5" t="inlineStr">
        <is>
          <t>Re-epithelialization</t>
        </is>
      </c>
      <c r="H124" s="6" t="inlineStr">
        <is>
          <t>1</t>
        </is>
      </c>
      <c r="K124" s="5" t="inlineStr">
        <is>
          <t xml:space="preserve">; </t>
        </is>
      </c>
      <c r="M124" s="5" t="inlineStr">
        <is>
          <t>100.0</t>
        </is>
      </c>
      <c r="N124" s="5" t="inlineStr">
        <is>
          <t>YES</t>
        </is>
      </c>
    </row>
    <row r="125">
      <c r="A125" s="6" t="n">
        <v>201</v>
      </c>
      <c r="B125" s="5" t="inlineStr">
        <is>
          <t>S3</t>
        </is>
      </c>
      <c r="C125" s="5" t="inlineStr">
        <is>
          <t>3: Redox-, glucose-, and mixed-stimulus adaptive hydrogels</t>
        </is>
      </c>
      <c r="D125" s="5" t="inlineStr">
        <is>
          <t>pH/ROS responsive hydrogel loaded with bimetallic phenolic nanoparticles: A multifaceted therapeutic strategy for accelerating diabetic wound repair</t>
        </is>
      </c>
      <c r="E125" s="5" t="inlineStr">
        <is>
          <t>10.1016/j.cej.2025.170173</t>
        </is>
      </c>
      <c r="F125" s="5" t="inlineStr">
        <is>
          <t>Thermo/NIR or externally actuated</t>
        </is>
      </c>
      <c r="G125" s="5" t="inlineStr">
        <is>
          <t>Wound closure</t>
        </is>
      </c>
      <c r="H125" s="6" t="inlineStr">
        <is>
          <t>1</t>
        </is>
      </c>
      <c r="K125" s="5" t="inlineStr">
        <is>
          <t xml:space="preserve">; </t>
        </is>
      </c>
      <c r="M125" s="5" t="inlineStr">
        <is>
          <t>100.0</t>
        </is>
      </c>
      <c r="N125" s="5" t="inlineStr">
        <is>
          <t>YES</t>
        </is>
      </c>
    </row>
    <row r="126">
      <c r="A126" s="6" t="n">
        <v>201</v>
      </c>
      <c r="B126" s="5" t="inlineStr">
        <is>
          <t>S3</t>
        </is>
      </c>
      <c r="C126" s="5" t="inlineStr">
        <is>
          <t>3: Redox-, glucose-, and mixed-stimulus adaptive hydrogels</t>
        </is>
      </c>
      <c r="D126" s="5" t="inlineStr">
        <is>
          <t>pH/ROS responsive hydrogel loaded with bimetallic phenolic nanoparticles: A multifaceted therapeutic strategy for accelerating diabetic wound repair</t>
        </is>
      </c>
      <c r="E126" s="5" t="inlineStr">
        <is>
          <t>10.1016/j.cej.2025.170173</t>
        </is>
      </c>
      <c r="F126" s="5" t="inlineStr">
        <is>
          <t>Thermo/NIR or externally actuated</t>
        </is>
      </c>
      <c r="G126" s="5" t="inlineStr">
        <is>
          <t>Safety or cytocompatibility</t>
        </is>
      </c>
      <c r="H126" s="6" t="inlineStr">
        <is>
          <t>1</t>
        </is>
      </c>
      <c r="K126" s="5" t="inlineStr">
        <is>
          <t xml:space="preserve">; </t>
        </is>
      </c>
      <c r="M126" s="5" t="inlineStr">
        <is>
          <t>100.0</t>
        </is>
      </c>
      <c r="N126" s="5" t="inlineStr">
        <is>
          <t>YES</t>
        </is>
      </c>
    </row>
    <row r="127">
      <c r="A127" s="6" t="n">
        <v>211</v>
      </c>
      <c r="B127" s="5" t="inlineStr">
        <is>
          <t>S3</t>
        </is>
      </c>
      <c r="C127" s="5" t="inlineStr">
        <is>
          <t>3: Redox-, glucose-, and mixed-stimulus adaptive hydrogels</t>
        </is>
      </c>
      <c r="D127" s="5" t="inlineStr">
        <is>
          <t>Ros-responsive hydrogel with size-dependent sequential release effects for anti-bacterial and anti-inflammation in diabetic wound healing</t>
        </is>
      </c>
      <c r="F127" s="5" t="inlineStr">
        <is>
          <t>Thermo/NIR or externally actuated</t>
        </is>
      </c>
      <c r="G127" s="5" t="inlineStr">
        <is>
          <t>Release kinetics measured</t>
        </is>
      </c>
      <c r="H127" s="6" t="inlineStr">
        <is>
          <t>1</t>
        </is>
      </c>
      <c r="K127" s="5" t="inlineStr">
        <is>
          <t xml:space="preserve">; </t>
        </is>
      </c>
      <c r="M127" s="5" t="inlineStr">
        <is>
          <t>100.0</t>
        </is>
      </c>
      <c r="N127" s="5" t="inlineStr">
        <is>
          <t>YES</t>
        </is>
      </c>
    </row>
    <row r="128">
      <c r="A128" s="6" t="n">
        <v>211</v>
      </c>
      <c r="B128" s="5" t="inlineStr">
        <is>
          <t>S3</t>
        </is>
      </c>
      <c r="C128" s="5" t="inlineStr">
        <is>
          <t>3: Redox-, glucose-, and mixed-stimulus adaptive hydrogels</t>
        </is>
      </c>
      <c r="D128" s="5" t="inlineStr">
        <is>
          <t>Ros-responsive hydrogel with size-dependent sequential release effects for anti-bacterial and anti-inflammation in diabetic wound healing</t>
        </is>
      </c>
      <c r="F128" s="5" t="inlineStr">
        <is>
          <t>Thermo/NIR or externally actuated</t>
        </is>
      </c>
      <c r="G128" s="5" t="inlineStr">
        <is>
          <t>Antimicrobial or biofilm control</t>
        </is>
      </c>
      <c r="H128" s="6" t="inlineStr">
        <is>
          <t>1</t>
        </is>
      </c>
      <c r="K128" s="5" t="inlineStr">
        <is>
          <t xml:space="preserve">; </t>
        </is>
      </c>
      <c r="M128" s="5" t="inlineStr">
        <is>
          <t>100.0</t>
        </is>
      </c>
      <c r="N128" s="5" t="inlineStr">
        <is>
          <t>YES</t>
        </is>
      </c>
    </row>
    <row r="129">
      <c r="A129" s="6" t="n">
        <v>211</v>
      </c>
      <c r="B129" s="5" t="inlineStr">
        <is>
          <t>S3</t>
        </is>
      </c>
      <c r="C129" s="5" t="inlineStr">
        <is>
          <t>3: Redox-, glucose-, and mixed-stimulus adaptive hydrogels</t>
        </is>
      </c>
      <c r="D129" s="5" t="inlineStr">
        <is>
          <t>Ros-responsive hydrogel with size-dependent sequential release effects for anti-bacterial and anti-inflammation in diabetic wound healing</t>
        </is>
      </c>
      <c r="F129" s="5" t="inlineStr">
        <is>
          <t>Thermo/NIR or externally actuated</t>
        </is>
      </c>
      <c r="G129" s="5" t="inlineStr">
        <is>
          <t>Inflammation or macrophage modulation</t>
        </is>
      </c>
      <c r="H129" s="6" t="inlineStr">
        <is>
          <t>1</t>
        </is>
      </c>
      <c r="K129" s="5" t="inlineStr">
        <is>
          <t xml:space="preserve">; </t>
        </is>
      </c>
      <c r="M129" s="5" t="inlineStr">
        <is>
          <t>100.0</t>
        </is>
      </c>
      <c r="N129" s="5" t="inlineStr">
        <is>
          <t>YES</t>
        </is>
      </c>
    </row>
    <row r="130">
      <c r="A130" s="6" t="n">
        <v>211</v>
      </c>
      <c r="B130" s="5" t="inlineStr">
        <is>
          <t>S3</t>
        </is>
      </c>
      <c r="C130" s="5" t="inlineStr">
        <is>
          <t>3: Redox-, glucose-, and mixed-stimulus adaptive hydrogels</t>
        </is>
      </c>
      <c r="D130" s="5" t="inlineStr">
        <is>
          <t>Ros-responsive hydrogel with size-dependent sequential release effects for anti-bacterial and anti-inflammation in diabetic wound healing</t>
        </is>
      </c>
      <c r="F130" s="5" t="inlineStr">
        <is>
          <t>Thermo/NIR or externally actuated</t>
        </is>
      </c>
      <c r="G130" s="5" t="inlineStr">
        <is>
          <t>Collagen or matrix remodeling</t>
        </is>
      </c>
      <c r="H130" s="6" t="inlineStr">
        <is>
          <t>1</t>
        </is>
      </c>
      <c r="K130" s="5" t="inlineStr">
        <is>
          <t xml:space="preserve">; </t>
        </is>
      </c>
      <c r="M130" s="5" t="inlineStr">
        <is>
          <t>100.0</t>
        </is>
      </c>
      <c r="N130" s="5" t="inlineStr">
        <is>
          <t>YES</t>
        </is>
      </c>
    </row>
    <row r="131">
      <c r="A131" s="6" t="n">
        <v>211</v>
      </c>
      <c r="B131" s="5" t="inlineStr">
        <is>
          <t>S3</t>
        </is>
      </c>
      <c r="C131" s="5" t="inlineStr">
        <is>
          <t>3: Redox-, glucose-, and mixed-stimulus adaptive hydrogels</t>
        </is>
      </c>
      <c r="D131" s="5" t="inlineStr">
        <is>
          <t>Ros-responsive hydrogel with size-dependent sequential release effects for anti-bacterial and anti-inflammation in diabetic wound healing</t>
        </is>
      </c>
      <c r="F131" s="5" t="inlineStr">
        <is>
          <t>Thermo/NIR or externally actuated</t>
        </is>
      </c>
      <c r="G131" s="5" t="inlineStr">
        <is>
          <t>Wound closure</t>
        </is>
      </c>
      <c r="H131" s="6" t="inlineStr">
        <is>
          <t>1</t>
        </is>
      </c>
      <c r="K131" s="5" t="inlineStr">
        <is>
          <t xml:space="preserve">; </t>
        </is>
      </c>
      <c r="M131" s="5" t="inlineStr">
        <is>
          <t>100.0</t>
        </is>
      </c>
      <c r="N131" s="5" t="inlineStr">
        <is>
          <t>YES</t>
        </is>
      </c>
    </row>
    <row r="132">
      <c r="A132" s="6" t="n">
        <v>211</v>
      </c>
      <c r="B132" s="5" t="inlineStr">
        <is>
          <t>S3</t>
        </is>
      </c>
      <c r="C132" s="5" t="inlineStr">
        <is>
          <t>3: Redox-, glucose-, and mixed-stimulus adaptive hydrogels</t>
        </is>
      </c>
      <c r="D132" s="5" t="inlineStr">
        <is>
          <t>Ros-responsive hydrogel with size-dependent sequential release effects for anti-bacterial and anti-inflammation in diabetic wound healing</t>
        </is>
      </c>
      <c r="F132" s="5" t="inlineStr">
        <is>
          <t>Thermo/NIR or externally actuated</t>
        </is>
      </c>
      <c r="G132" s="5" t="inlineStr">
        <is>
          <t>Safety or cytocompatibility</t>
        </is>
      </c>
      <c r="H132" s="6" t="inlineStr">
        <is>
          <t>1</t>
        </is>
      </c>
      <c r="K132" s="5" t="inlineStr">
        <is>
          <t xml:space="preserve">; </t>
        </is>
      </c>
      <c r="M132" s="5" t="inlineStr">
        <is>
          <t>100.0</t>
        </is>
      </c>
      <c r="N132" s="5" t="inlineStr">
        <is>
          <t>YES</t>
        </is>
      </c>
    </row>
    <row r="133">
      <c r="A133" s="6" t="n">
        <v>219</v>
      </c>
      <c r="B133" s="5" t="inlineStr">
        <is>
          <t>S3</t>
        </is>
      </c>
      <c r="C133" s="5" t="inlineStr">
        <is>
          <t>2: Acidic pH-switching adhesive and release matrices</t>
        </is>
      </c>
      <c r="D133" s="5" t="inlineStr">
        <is>
          <t>A dual pH-and temperature-responsive hydrogel produced in situ crosslinking of cyclodextrin-cellulose for wound healing</t>
        </is>
      </c>
      <c r="E133" s="5" t="inlineStr">
        <is>
          <t>10.1016/j.ijbiomac.2023.126693</t>
        </is>
      </c>
      <c r="F133" s="5" t="inlineStr">
        <is>
          <t>Thermo/NIR or externally actuated</t>
        </is>
      </c>
      <c r="G133" s="5" t="inlineStr">
        <is>
          <t>Release kinetics measured</t>
        </is>
      </c>
      <c r="H133" s="6" t="inlineStr">
        <is>
          <t>1</t>
        </is>
      </c>
      <c r="K133" s="5" t="inlineStr">
        <is>
          <t xml:space="preserve">; </t>
        </is>
      </c>
      <c r="M133" s="5" t="inlineStr">
        <is>
          <t>100.0</t>
        </is>
      </c>
      <c r="N133" s="5" t="inlineStr">
        <is>
          <t>YES</t>
        </is>
      </c>
    </row>
    <row r="134">
      <c r="A134" s="6" t="n">
        <v>219</v>
      </c>
      <c r="B134" s="5" t="inlineStr">
        <is>
          <t>S3</t>
        </is>
      </c>
      <c r="C134" s="5" t="inlineStr">
        <is>
          <t>2: Acidic pH-switching adhesive and release matrices</t>
        </is>
      </c>
      <c r="D134" s="5" t="inlineStr">
        <is>
          <t>A dual pH-and temperature-responsive hydrogel produced in situ crosslinking of cyclodextrin-cellulose for wound healing</t>
        </is>
      </c>
      <c r="E134" s="5" t="inlineStr">
        <is>
          <t>10.1016/j.ijbiomac.2023.126693</t>
        </is>
      </c>
      <c r="F134" s="5" t="inlineStr">
        <is>
          <t>Thermo/NIR or externally actuated</t>
        </is>
      </c>
      <c r="G134" s="5" t="inlineStr">
        <is>
          <t>Antimicrobial or biofilm control</t>
        </is>
      </c>
      <c r="H134" s="6" t="inlineStr">
        <is>
          <t>1</t>
        </is>
      </c>
      <c r="K134" s="5" t="inlineStr">
        <is>
          <t xml:space="preserve">; </t>
        </is>
      </c>
      <c r="M134" s="5" t="inlineStr">
        <is>
          <t>100.0</t>
        </is>
      </c>
      <c r="N134" s="5" t="inlineStr">
        <is>
          <t>YES</t>
        </is>
      </c>
    </row>
    <row r="135">
      <c r="A135" s="6" t="n">
        <v>219</v>
      </c>
      <c r="B135" s="5" t="inlineStr">
        <is>
          <t>S3</t>
        </is>
      </c>
      <c r="C135" s="5" t="inlineStr">
        <is>
          <t>2: Acidic pH-switching adhesive and release matrices</t>
        </is>
      </c>
      <c r="D135" s="5" t="inlineStr">
        <is>
          <t>A dual pH-and temperature-responsive hydrogel produced in situ crosslinking of cyclodextrin-cellulose for wound healing</t>
        </is>
      </c>
      <c r="E135" s="5" t="inlineStr">
        <is>
          <t>10.1016/j.ijbiomac.2023.126693</t>
        </is>
      </c>
      <c r="F135" s="5" t="inlineStr">
        <is>
          <t>Thermo/NIR or externally actuated</t>
        </is>
      </c>
      <c r="G135" s="5" t="inlineStr">
        <is>
          <t>Inflammation or macrophage modulation</t>
        </is>
      </c>
      <c r="H135" s="6" t="inlineStr">
        <is>
          <t>1</t>
        </is>
      </c>
      <c r="K135" s="5" t="inlineStr">
        <is>
          <t xml:space="preserve">; </t>
        </is>
      </c>
      <c r="M135" s="5" t="inlineStr">
        <is>
          <t>100.0</t>
        </is>
      </c>
      <c r="N135" s="5" t="inlineStr">
        <is>
          <t>YES</t>
        </is>
      </c>
    </row>
    <row r="136">
      <c r="A136" s="6" t="n">
        <v>219</v>
      </c>
      <c r="B136" s="5" t="inlineStr">
        <is>
          <t>S3</t>
        </is>
      </c>
      <c r="C136" s="5" t="inlineStr">
        <is>
          <t>2: Acidic pH-switching adhesive and release matrices</t>
        </is>
      </c>
      <c r="D136" s="5" t="inlineStr">
        <is>
          <t>A dual pH-and temperature-responsive hydrogel produced in situ crosslinking of cyclodextrin-cellulose for wound healing</t>
        </is>
      </c>
      <c r="E136" s="5" t="inlineStr">
        <is>
          <t>10.1016/j.ijbiomac.2023.126693</t>
        </is>
      </c>
      <c r="F136" s="5" t="inlineStr">
        <is>
          <t>Thermo/NIR or externally actuated</t>
        </is>
      </c>
      <c r="G136" s="5" t="inlineStr">
        <is>
          <t>Collagen or matrix remodeling</t>
        </is>
      </c>
      <c r="H136" s="6" t="inlineStr">
        <is>
          <t>1</t>
        </is>
      </c>
      <c r="K136" s="5" t="inlineStr">
        <is>
          <t xml:space="preserve">; </t>
        </is>
      </c>
      <c r="M136" s="5" t="inlineStr">
        <is>
          <t>100.0</t>
        </is>
      </c>
      <c r="N136" s="5" t="inlineStr">
        <is>
          <t>YES</t>
        </is>
      </c>
    </row>
    <row r="137">
      <c r="A137" s="6" t="n">
        <v>219</v>
      </c>
      <c r="B137" s="5" t="inlineStr">
        <is>
          <t>S3</t>
        </is>
      </c>
      <c r="C137" s="5" t="inlineStr">
        <is>
          <t>2: Acidic pH-switching adhesive and release matrices</t>
        </is>
      </c>
      <c r="D137" s="5" t="inlineStr">
        <is>
          <t>A dual pH-and temperature-responsive hydrogel produced in situ crosslinking of cyclodextrin-cellulose for wound healing</t>
        </is>
      </c>
      <c r="E137" s="5" t="inlineStr">
        <is>
          <t>10.1016/j.ijbiomac.2023.126693</t>
        </is>
      </c>
      <c r="F137" s="5" t="inlineStr">
        <is>
          <t>Thermo/NIR or externally actuated</t>
        </is>
      </c>
      <c r="G137" s="5" t="inlineStr">
        <is>
          <t>Re-epithelialization</t>
        </is>
      </c>
      <c r="H137" s="6" t="inlineStr">
        <is>
          <t>1</t>
        </is>
      </c>
      <c r="K137" s="5" t="inlineStr">
        <is>
          <t xml:space="preserve">; </t>
        </is>
      </c>
      <c r="M137" s="5" t="inlineStr">
        <is>
          <t>100.0</t>
        </is>
      </c>
      <c r="N137" s="5" t="inlineStr">
        <is>
          <t>YES</t>
        </is>
      </c>
    </row>
    <row r="138">
      <c r="A138" s="6" t="n">
        <v>219</v>
      </c>
      <c r="B138" s="5" t="inlineStr">
        <is>
          <t>S3</t>
        </is>
      </c>
      <c r="C138" s="5" t="inlineStr">
        <is>
          <t>2: Acidic pH-switching adhesive and release matrices</t>
        </is>
      </c>
      <c r="D138" s="5" t="inlineStr">
        <is>
          <t>A dual pH-and temperature-responsive hydrogel produced in situ crosslinking of cyclodextrin-cellulose for wound healing</t>
        </is>
      </c>
      <c r="E138" s="5" t="inlineStr">
        <is>
          <t>10.1016/j.ijbiomac.2023.126693</t>
        </is>
      </c>
      <c r="F138" s="5" t="inlineStr">
        <is>
          <t>Thermo/NIR or externally actuated</t>
        </is>
      </c>
      <c r="G138" s="5" t="inlineStr">
        <is>
          <t>Wound closure</t>
        </is>
      </c>
      <c r="H138" s="6" t="inlineStr">
        <is>
          <t>1</t>
        </is>
      </c>
      <c r="K138" s="5" t="inlineStr">
        <is>
          <t xml:space="preserve">; </t>
        </is>
      </c>
      <c r="M138" s="5" t="inlineStr">
        <is>
          <t>100.0</t>
        </is>
      </c>
      <c r="N138" s="5" t="inlineStr">
        <is>
          <t>YES</t>
        </is>
      </c>
    </row>
    <row r="139">
      <c r="A139" s="6" t="n">
        <v>219</v>
      </c>
      <c r="B139" s="5" t="inlineStr">
        <is>
          <t>S3</t>
        </is>
      </c>
      <c r="C139" s="5" t="inlineStr">
        <is>
          <t>2: Acidic pH-switching adhesive and release matrices</t>
        </is>
      </c>
      <c r="D139" s="5" t="inlineStr">
        <is>
          <t>A dual pH-and temperature-responsive hydrogel produced in situ crosslinking of cyclodextrin-cellulose for wound healing</t>
        </is>
      </c>
      <c r="E139" s="5" t="inlineStr">
        <is>
          <t>10.1016/j.ijbiomac.2023.126693</t>
        </is>
      </c>
      <c r="F139" s="5" t="inlineStr">
        <is>
          <t>Thermo/NIR or externally actuated</t>
        </is>
      </c>
      <c r="G139" s="5" t="inlineStr">
        <is>
          <t>Safety or cytocompatibility</t>
        </is>
      </c>
      <c r="H139" s="6" t="inlineStr">
        <is>
          <t>1</t>
        </is>
      </c>
      <c r="K139" s="5" t="inlineStr">
        <is>
          <t xml:space="preserve">; </t>
        </is>
      </c>
      <c r="M139" s="5" t="inlineStr">
        <is>
          <t>100.0</t>
        </is>
      </c>
      <c r="N139" s="5" t="inlineStr">
        <is>
          <t>YES</t>
        </is>
      </c>
    </row>
    <row r="140">
      <c r="A140" s="6" t="n">
        <v>221</v>
      </c>
      <c r="B140" s="5" t="inlineStr">
        <is>
          <t>S3</t>
        </is>
      </c>
      <c r="C140" s="5" t="inlineStr">
        <is>
          <t>5: Thermogelling and externally actuated antimicrobial-regenerative systems</t>
        </is>
      </c>
      <c r="D140" s="5" t="inlineStr">
        <is>
          <t>Temperature-Responsive Hydrogel Delivery of Antimicrobial Peptide Engineered Watermelon-Derived Extracellular Vesicles Enables Sequential Infection Control and Wound Healing</t>
        </is>
      </c>
      <c r="E140" s="5" t="inlineStr">
        <is>
          <t>10.1016/j.colsurfb.2026.115438</t>
        </is>
      </c>
      <c r="F140" s="5" t="inlineStr">
        <is>
          <t>Thermo/NIR or externally actuated</t>
        </is>
      </c>
      <c r="G140" s="5" t="inlineStr">
        <is>
          <t>Release kinetics measured</t>
        </is>
      </c>
      <c r="H140" s="6" t="inlineStr">
        <is>
          <t>1</t>
        </is>
      </c>
      <c r="K140" s="5" t="inlineStr">
        <is>
          <t xml:space="preserve">; </t>
        </is>
      </c>
      <c r="M140" s="5" t="inlineStr">
        <is>
          <t>100.0</t>
        </is>
      </c>
      <c r="N140" s="5" t="inlineStr">
        <is>
          <t>YES</t>
        </is>
      </c>
    </row>
    <row r="141">
      <c r="A141" s="6" t="n">
        <v>221</v>
      </c>
      <c r="B141" s="5" t="inlineStr">
        <is>
          <t>S3</t>
        </is>
      </c>
      <c r="C141" s="5" t="inlineStr">
        <is>
          <t>5: Thermogelling and externally actuated antimicrobial-regenerative systems</t>
        </is>
      </c>
      <c r="D141" s="5" t="inlineStr">
        <is>
          <t>Temperature-Responsive Hydrogel Delivery of Antimicrobial Peptide Engineered Watermelon-Derived Extracellular Vesicles Enables Sequential Infection Control and Wound Healing</t>
        </is>
      </c>
      <c r="E141" s="5" t="inlineStr">
        <is>
          <t>10.1016/j.colsurfb.2026.115438</t>
        </is>
      </c>
      <c r="F141" s="5" t="inlineStr">
        <is>
          <t>Thermo/NIR or externally actuated</t>
        </is>
      </c>
      <c r="G141" s="5" t="inlineStr">
        <is>
          <t>Antimicrobial or biofilm control</t>
        </is>
      </c>
      <c r="H141" s="6" t="inlineStr">
        <is>
          <t>1</t>
        </is>
      </c>
      <c r="K141" s="5" t="inlineStr">
        <is>
          <t xml:space="preserve">; </t>
        </is>
      </c>
      <c r="M141" s="5" t="inlineStr">
        <is>
          <t>100.0</t>
        </is>
      </c>
      <c r="N141" s="5" t="inlineStr">
        <is>
          <t>YES</t>
        </is>
      </c>
    </row>
    <row r="142">
      <c r="A142" s="6" t="n">
        <v>221</v>
      </c>
      <c r="B142" s="5" t="inlineStr">
        <is>
          <t>S3</t>
        </is>
      </c>
      <c r="C142" s="5" t="inlineStr">
        <is>
          <t>5: Thermogelling and externally actuated antimicrobial-regenerative systems</t>
        </is>
      </c>
      <c r="D142" s="5" t="inlineStr">
        <is>
          <t>Temperature-Responsive Hydrogel Delivery of Antimicrobial Peptide Engineered Watermelon-Derived Extracellular Vesicles Enables Sequential Infection Control and Wound Healing</t>
        </is>
      </c>
      <c r="E142" s="5" t="inlineStr">
        <is>
          <t>10.1016/j.colsurfb.2026.115438</t>
        </is>
      </c>
      <c r="F142" s="5" t="inlineStr">
        <is>
          <t>Thermo/NIR or externally actuated</t>
        </is>
      </c>
      <c r="G142" s="5" t="inlineStr">
        <is>
          <t>Inflammation or macrophage modulation</t>
        </is>
      </c>
      <c r="H142" s="6" t="inlineStr">
        <is>
          <t>1</t>
        </is>
      </c>
      <c r="K142" s="5" t="inlineStr">
        <is>
          <t xml:space="preserve">; </t>
        </is>
      </c>
      <c r="M142" s="5" t="inlineStr">
        <is>
          <t>100.0</t>
        </is>
      </c>
      <c r="N142" s="5" t="inlineStr">
        <is>
          <t>YES</t>
        </is>
      </c>
    </row>
    <row r="143">
      <c r="A143" s="6" t="n">
        <v>221</v>
      </c>
      <c r="B143" s="5" t="inlineStr">
        <is>
          <t>S3</t>
        </is>
      </c>
      <c r="C143" s="5" t="inlineStr">
        <is>
          <t>5: Thermogelling and externally actuated antimicrobial-regenerative systems</t>
        </is>
      </c>
      <c r="D143" s="5" t="inlineStr">
        <is>
          <t>Temperature-Responsive Hydrogel Delivery of Antimicrobial Peptide Engineered Watermelon-Derived Extracellular Vesicles Enables Sequential Infection Control and Wound Healing</t>
        </is>
      </c>
      <c r="E143" s="5" t="inlineStr">
        <is>
          <t>10.1016/j.colsurfb.2026.115438</t>
        </is>
      </c>
      <c r="F143" s="5" t="inlineStr">
        <is>
          <t>Thermo/NIR or externally actuated</t>
        </is>
      </c>
      <c r="G143" s="5" t="inlineStr">
        <is>
          <t>Collagen or matrix remodeling</t>
        </is>
      </c>
      <c r="H143" s="6" t="inlineStr">
        <is>
          <t>1</t>
        </is>
      </c>
      <c r="K143" s="5" t="inlineStr">
        <is>
          <t xml:space="preserve">; </t>
        </is>
      </c>
      <c r="M143" s="5" t="inlineStr">
        <is>
          <t>100.0</t>
        </is>
      </c>
      <c r="N143" s="5" t="inlineStr">
        <is>
          <t>YES</t>
        </is>
      </c>
    </row>
    <row r="144">
      <c r="A144" s="6" t="n">
        <v>221</v>
      </c>
      <c r="B144" s="5" t="inlineStr">
        <is>
          <t>S3</t>
        </is>
      </c>
      <c r="C144" s="5" t="inlineStr">
        <is>
          <t>5: Thermogelling and externally actuated antimicrobial-regenerative systems</t>
        </is>
      </c>
      <c r="D144" s="5" t="inlineStr">
        <is>
          <t>Temperature-Responsive Hydrogel Delivery of Antimicrobial Peptide Engineered Watermelon-Derived Extracellular Vesicles Enables Sequential Infection Control and Wound Healing</t>
        </is>
      </c>
      <c r="E144" s="5" t="inlineStr">
        <is>
          <t>10.1016/j.colsurfb.2026.115438</t>
        </is>
      </c>
      <c r="F144" s="5" t="inlineStr">
        <is>
          <t>Thermo/NIR or externally actuated</t>
        </is>
      </c>
      <c r="G144" s="5" t="inlineStr">
        <is>
          <t>Wound closure</t>
        </is>
      </c>
      <c r="H144" s="6" t="inlineStr">
        <is>
          <t>1</t>
        </is>
      </c>
      <c r="K144" s="5" t="inlineStr">
        <is>
          <t xml:space="preserve">; </t>
        </is>
      </c>
      <c r="M144" s="5" t="inlineStr">
        <is>
          <t>100.0</t>
        </is>
      </c>
      <c r="N144" s="5" t="inlineStr">
        <is>
          <t>YES</t>
        </is>
      </c>
    </row>
    <row r="145">
      <c r="A145" s="6" t="n">
        <v>221</v>
      </c>
      <c r="B145" s="5" t="inlineStr">
        <is>
          <t>S3</t>
        </is>
      </c>
      <c r="C145" s="5" t="inlineStr">
        <is>
          <t>5: Thermogelling and externally actuated antimicrobial-regenerative systems</t>
        </is>
      </c>
      <c r="D145" s="5" t="inlineStr">
        <is>
          <t>Temperature-Responsive Hydrogel Delivery of Antimicrobial Peptide Engineered Watermelon-Derived Extracellular Vesicles Enables Sequential Infection Control and Wound Healing</t>
        </is>
      </c>
      <c r="E145" s="5" t="inlineStr">
        <is>
          <t>10.1016/j.colsurfb.2026.115438</t>
        </is>
      </c>
      <c r="F145" s="5" t="inlineStr">
        <is>
          <t>Thermo/NIR or externally actuated</t>
        </is>
      </c>
      <c r="G145" s="5" t="inlineStr">
        <is>
          <t>Safety or cytocompatibility</t>
        </is>
      </c>
      <c r="H145" s="6" t="inlineStr">
        <is>
          <t>1</t>
        </is>
      </c>
      <c r="K145" s="5" t="inlineStr">
        <is>
          <t xml:space="preserve">; </t>
        </is>
      </c>
      <c r="M145" s="5" t="inlineStr">
        <is>
          <t>100.0</t>
        </is>
      </c>
      <c r="N145" s="5" t="inlineStr">
        <is>
          <t>YES</t>
        </is>
      </c>
    </row>
    <row r="146">
      <c r="A146" s="6" t="n">
        <v>239</v>
      </c>
      <c r="B146" s="5" t="inlineStr">
        <is>
          <t>S3</t>
        </is>
      </c>
      <c r="C146" s="5" t="inlineStr">
        <is>
          <t>5: Thermogelling and externally actuated antimicrobial-regenerative systems</t>
        </is>
      </c>
      <c r="D146" s="5" t="inlineStr">
        <is>
          <t>A photo-modulated nitric oxide delivering hydrogel for the accelerated healing of biofilm infected chronic wounds</t>
        </is>
      </c>
      <c r="E146" s="5" t="inlineStr">
        <is>
          <t>10.1016/j.actbio.2024.09.017</t>
        </is>
      </c>
      <c r="F146" s="5" t="inlineStr">
        <is>
          <t>Thermo/NIR or externally actuated</t>
        </is>
      </c>
      <c r="G146" s="5" t="inlineStr">
        <is>
          <t>Release kinetics measured</t>
        </is>
      </c>
      <c r="H146" s="6" t="inlineStr">
        <is>
          <t>1</t>
        </is>
      </c>
      <c r="K146" s="5" t="inlineStr">
        <is>
          <t xml:space="preserve">; </t>
        </is>
      </c>
      <c r="M146" s="5" t="inlineStr">
        <is>
          <t>100.0</t>
        </is>
      </c>
      <c r="N146" s="5" t="inlineStr">
        <is>
          <t>YES</t>
        </is>
      </c>
    </row>
    <row r="147">
      <c r="A147" s="6" t="n">
        <v>239</v>
      </c>
      <c r="B147" s="5" t="inlineStr">
        <is>
          <t>S3</t>
        </is>
      </c>
      <c r="C147" s="5" t="inlineStr">
        <is>
          <t>5: Thermogelling and externally actuated antimicrobial-regenerative systems</t>
        </is>
      </c>
      <c r="D147" s="5" t="inlineStr">
        <is>
          <t>A photo-modulated nitric oxide delivering hydrogel for the accelerated healing of biofilm infected chronic wounds</t>
        </is>
      </c>
      <c r="E147" s="5" t="inlineStr">
        <is>
          <t>10.1016/j.actbio.2024.09.017</t>
        </is>
      </c>
      <c r="F147" s="5" t="inlineStr">
        <is>
          <t>Thermo/NIR or externally actuated</t>
        </is>
      </c>
      <c r="G147" s="5" t="inlineStr">
        <is>
          <t>Antimicrobial or biofilm control</t>
        </is>
      </c>
      <c r="H147" s="6" t="inlineStr">
        <is>
          <t>1</t>
        </is>
      </c>
      <c r="K147" s="5" t="inlineStr">
        <is>
          <t xml:space="preserve">; </t>
        </is>
      </c>
      <c r="M147" s="5" t="inlineStr">
        <is>
          <t>100.0</t>
        </is>
      </c>
      <c r="N147" s="5" t="inlineStr">
        <is>
          <t>YES</t>
        </is>
      </c>
    </row>
    <row r="148">
      <c r="A148" s="6" t="n">
        <v>239</v>
      </c>
      <c r="B148" s="5" t="inlineStr">
        <is>
          <t>S3</t>
        </is>
      </c>
      <c r="C148" s="5" t="inlineStr">
        <is>
          <t>5: Thermogelling and externally actuated antimicrobial-regenerative systems</t>
        </is>
      </c>
      <c r="D148" s="5" t="inlineStr">
        <is>
          <t>A photo-modulated nitric oxide delivering hydrogel for the accelerated healing of biofilm infected chronic wounds</t>
        </is>
      </c>
      <c r="E148" s="5" t="inlineStr">
        <is>
          <t>10.1016/j.actbio.2024.09.017</t>
        </is>
      </c>
      <c r="F148" s="5" t="inlineStr">
        <is>
          <t>Thermo/NIR or externally actuated</t>
        </is>
      </c>
      <c r="G148" s="5" t="inlineStr">
        <is>
          <t>Inflammation or macrophage modulation</t>
        </is>
      </c>
      <c r="H148" s="6" t="inlineStr">
        <is>
          <t>1</t>
        </is>
      </c>
      <c r="K148" s="5" t="inlineStr">
        <is>
          <t xml:space="preserve">; </t>
        </is>
      </c>
      <c r="M148" s="5" t="inlineStr">
        <is>
          <t>100.0</t>
        </is>
      </c>
      <c r="N148" s="5" t="inlineStr">
        <is>
          <t>YES</t>
        </is>
      </c>
    </row>
    <row r="149">
      <c r="A149" s="6" t="n">
        <v>239</v>
      </c>
      <c r="B149" s="5" t="inlineStr">
        <is>
          <t>S3</t>
        </is>
      </c>
      <c r="C149" s="5" t="inlineStr">
        <is>
          <t>5: Thermogelling and externally actuated antimicrobial-regenerative systems</t>
        </is>
      </c>
      <c r="D149" s="5" t="inlineStr">
        <is>
          <t>A photo-modulated nitric oxide delivering hydrogel for the accelerated healing of biofilm infected chronic wounds</t>
        </is>
      </c>
      <c r="E149" s="5" t="inlineStr">
        <is>
          <t>10.1016/j.actbio.2024.09.017</t>
        </is>
      </c>
      <c r="F149" s="5" t="inlineStr">
        <is>
          <t>Thermo/NIR or externally actuated</t>
        </is>
      </c>
      <c r="G149" s="5" t="inlineStr">
        <is>
          <t>Angiogenesis</t>
        </is>
      </c>
      <c r="H149" s="6" t="inlineStr">
        <is>
          <t>1</t>
        </is>
      </c>
      <c r="K149" s="5" t="inlineStr">
        <is>
          <t xml:space="preserve">; </t>
        </is>
      </c>
      <c r="M149" s="5" t="inlineStr">
        <is>
          <t>100.0</t>
        </is>
      </c>
      <c r="N149" s="5" t="inlineStr">
        <is>
          <t>YES</t>
        </is>
      </c>
    </row>
    <row r="150">
      <c r="A150" s="6" t="n">
        <v>239</v>
      </c>
      <c r="B150" s="5" t="inlineStr">
        <is>
          <t>S3</t>
        </is>
      </c>
      <c r="C150" s="5" t="inlineStr">
        <is>
          <t>5: Thermogelling and externally actuated antimicrobial-regenerative systems</t>
        </is>
      </c>
      <c r="D150" s="5" t="inlineStr">
        <is>
          <t>A photo-modulated nitric oxide delivering hydrogel for the accelerated healing of biofilm infected chronic wounds</t>
        </is>
      </c>
      <c r="E150" s="5" t="inlineStr">
        <is>
          <t>10.1016/j.actbio.2024.09.017</t>
        </is>
      </c>
      <c r="F150" s="5" t="inlineStr">
        <is>
          <t>Thermo/NIR or externally actuated</t>
        </is>
      </c>
      <c r="G150" s="5" t="inlineStr">
        <is>
          <t>Collagen or matrix remodeling</t>
        </is>
      </c>
      <c r="H150" s="6" t="inlineStr">
        <is>
          <t>1</t>
        </is>
      </c>
      <c r="K150" s="5" t="inlineStr">
        <is>
          <t xml:space="preserve">; </t>
        </is>
      </c>
      <c r="M150" s="5" t="inlineStr">
        <is>
          <t>100.0</t>
        </is>
      </c>
      <c r="N150" s="5" t="inlineStr">
        <is>
          <t>YES</t>
        </is>
      </c>
    </row>
    <row r="151">
      <c r="A151" s="6" t="n">
        <v>239</v>
      </c>
      <c r="B151" s="5" t="inlineStr">
        <is>
          <t>S3</t>
        </is>
      </c>
      <c r="C151" s="5" t="inlineStr">
        <is>
          <t>5: Thermogelling and externally actuated antimicrobial-regenerative systems</t>
        </is>
      </c>
      <c r="D151" s="5" t="inlineStr">
        <is>
          <t>A photo-modulated nitric oxide delivering hydrogel for the accelerated healing of biofilm infected chronic wounds</t>
        </is>
      </c>
      <c r="E151" s="5" t="inlineStr">
        <is>
          <t>10.1016/j.actbio.2024.09.017</t>
        </is>
      </c>
      <c r="F151" s="5" t="inlineStr">
        <is>
          <t>Thermo/NIR or externally actuated</t>
        </is>
      </c>
      <c r="G151" s="5" t="inlineStr">
        <is>
          <t>Re-epithelialization</t>
        </is>
      </c>
      <c r="H151" s="6" t="inlineStr">
        <is>
          <t>1</t>
        </is>
      </c>
      <c r="K151" s="5" t="inlineStr">
        <is>
          <t xml:space="preserve">; </t>
        </is>
      </c>
      <c r="M151" s="5" t="inlineStr">
        <is>
          <t>100.0</t>
        </is>
      </c>
      <c r="N151" s="5" t="inlineStr">
        <is>
          <t>YES</t>
        </is>
      </c>
    </row>
    <row r="152">
      <c r="A152" s="6" t="n">
        <v>239</v>
      </c>
      <c r="B152" s="5" t="inlineStr">
        <is>
          <t>S3</t>
        </is>
      </c>
      <c r="C152" s="5" t="inlineStr">
        <is>
          <t>5: Thermogelling and externally actuated antimicrobial-regenerative systems</t>
        </is>
      </c>
      <c r="D152" s="5" t="inlineStr">
        <is>
          <t>A photo-modulated nitric oxide delivering hydrogel for the accelerated healing of biofilm infected chronic wounds</t>
        </is>
      </c>
      <c r="E152" s="5" t="inlineStr">
        <is>
          <t>10.1016/j.actbio.2024.09.017</t>
        </is>
      </c>
      <c r="F152" s="5" t="inlineStr">
        <is>
          <t>Thermo/NIR or externally actuated</t>
        </is>
      </c>
      <c r="G152" s="5" t="inlineStr">
        <is>
          <t>Wound closure</t>
        </is>
      </c>
      <c r="H152" s="6" t="inlineStr">
        <is>
          <t>1</t>
        </is>
      </c>
      <c r="K152" s="5" t="inlineStr">
        <is>
          <t xml:space="preserve">; </t>
        </is>
      </c>
      <c r="M152" s="5" t="inlineStr">
        <is>
          <t>100.0</t>
        </is>
      </c>
      <c r="N152" s="5" t="inlineStr">
        <is>
          <t>YES</t>
        </is>
      </c>
    </row>
    <row r="153">
      <c r="A153" s="6" t="n">
        <v>239</v>
      </c>
      <c r="B153" s="5" t="inlineStr">
        <is>
          <t>S3</t>
        </is>
      </c>
      <c r="C153" s="5" t="inlineStr">
        <is>
          <t>5: Thermogelling and externally actuated antimicrobial-regenerative systems</t>
        </is>
      </c>
      <c r="D153" s="5" t="inlineStr">
        <is>
          <t>A photo-modulated nitric oxide delivering hydrogel for the accelerated healing of biofilm infected chronic wounds</t>
        </is>
      </c>
      <c r="E153" s="5" t="inlineStr">
        <is>
          <t>10.1016/j.actbio.2024.09.017</t>
        </is>
      </c>
      <c r="F153" s="5" t="inlineStr">
        <is>
          <t>Thermo/NIR or externally actuated</t>
        </is>
      </c>
      <c r="G153" s="5" t="inlineStr">
        <is>
          <t>Safety or cytocompatibility</t>
        </is>
      </c>
      <c r="H153" s="6" t="inlineStr">
        <is>
          <t>1</t>
        </is>
      </c>
      <c r="K153" s="5" t="inlineStr">
        <is>
          <t xml:space="preserve">; </t>
        </is>
      </c>
      <c r="M153" s="5" t="inlineStr">
        <is>
          <t>100.0</t>
        </is>
      </c>
      <c r="N153" s="5" t="inlineStr">
        <is>
          <t>YES</t>
        </is>
      </c>
    </row>
    <row r="154">
      <c r="A154" s="6" t="n">
        <v>245</v>
      </c>
      <c r="B154" s="5" t="inlineStr">
        <is>
          <t>S3</t>
        </is>
      </c>
      <c r="C154" s="5" t="inlineStr">
        <is>
          <t>5: Thermogelling and externally actuated antimicrobial-regenerative systems</t>
        </is>
      </c>
      <c r="D154" s="5" t="inlineStr">
        <is>
          <t>Multifunctional ultrasmall AgNP hydrogel accelerates healing of S. aureus infected wounds</t>
        </is>
      </c>
      <c r="E154" s="5" t="inlineStr">
        <is>
          <t>10.1016/j.actbio.2021.04.007</t>
        </is>
      </c>
      <c r="F154" s="5" t="inlineStr">
        <is>
          <t>Thermo/NIR or externally actuated</t>
        </is>
      </c>
      <c r="G154" s="5" t="inlineStr">
        <is>
          <t>Release kinetics measured</t>
        </is>
      </c>
      <c r="H154" s="6" t="inlineStr">
        <is>
          <t>1</t>
        </is>
      </c>
      <c r="K154" s="5" t="inlineStr">
        <is>
          <t xml:space="preserve">; </t>
        </is>
      </c>
      <c r="M154" s="5" t="inlineStr">
        <is>
          <t>100.0</t>
        </is>
      </c>
      <c r="N154" s="5" t="inlineStr">
        <is>
          <t>YES</t>
        </is>
      </c>
    </row>
    <row r="155">
      <c r="A155" s="6" t="n">
        <v>245</v>
      </c>
      <c r="B155" s="5" t="inlineStr">
        <is>
          <t>S3</t>
        </is>
      </c>
      <c r="C155" s="5" t="inlineStr">
        <is>
          <t>5: Thermogelling and externally actuated antimicrobial-regenerative systems</t>
        </is>
      </c>
      <c r="D155" s="5" t="inlineStr">
        <is>
          <t>Multifunctional ultrasmall AgNP hydrogel accelerates healing of S. aureus infected wounds</t>
        </is>
      </c>
      <c r="E155" s="5" t="inlineStr">
        <is>
          <t>10.1016/j.actbio.2021.04.007</t>
        </is>
      </c>
      <c r="F155" s="5" t="inlineStr">
        <is>
          <t>Thermo/NIR or externally actuated</t>
        </is>
      </c>
      <c r="G155" s="5" t="inlineStr">
        <is>
          <t>Antimicrobial or biofilm control</t>
        </is>
      </c>
      <c r="H155" s="6" t="inlineStr">
        <is>
          <t>1</t>
        </is>
      </c>
      <c r="K155" s="5" t="inlineStr">
        <is>
          <t xml:space="preserve">; </t>
        </is>
      </c>
      <c r="M155" s="5" t="inlineStr">
        <is>
          <t>100.0</t>
        </is>
      </c>
      <c r="N155" s="5" t="inlineStr">
        <is>
          <t>YES</t>
        </is>
      </c>
    </row>
    <row r="156">
      <c r="A156" s="6" t="n">
        <v>245</v>
      </c>
      <c r="B156" s="5" t="inlineStr">
        <is>
          <t>S3</t>
        </is>
      </c>
      <c r="C156" s="5" t="inlineStr">
        <is>
          <t>5: Thermogelling and externally actuated antimicrobial-regenerative systems</t>
        </is>
      </c>
      <c r="D156" s="5" t="inlineStr">
        <is>
          <t>Multifunctional ultrasmall AgNP hydrogel accelerates healing of S. aureus infected wounds</t>
        </is>
      </c>
      <c r="E156" s="5" t="inlineStr">
        <is>
          <t>10.1016/j.actbio.2021.04.007</t>
        </is>
      </c>
      <c r="F156" s="5" t="inlineStr">
        <is>
          <t>Thermo/NIR or externally actuated</t>
        </is>
      </c>
      <c r="G156" s="5" t="inlineStr">
        <is>
          <t>Inflammation or macrophage modulation</t>
        </is>
      </c>
      <c r="H156" s="6" t="inlineStr">
        <is>
          <t>1</t>
        </is>
      </c>
      <c r="K156" s="5" t="inlineStr">
        <is>
          <t xml:space="preserve">; </t>
        </is>
      </c>
      <c r="M156" s="5" t="inlineStr">
        <is>
          <t>100.0</t>
        </is>
      </c>
      <c r="N156" s="5" t="inlineStr">
        <is>
          <t>YES</t>
        </is>
      </c>
    </row>
    <row r="157">
      <c r="A157" s="6" t="n">
        <v>245</v>
      </c>
      <c r="B157" s="5" t="inlineStr">
        <is>
          <t>S3</t>
        </is>
      </c>
      <c r="C157" s="5" t="inlineStr">
        <is>
          <t>5: Thermogelling and externally actuated antimicrobial-regenerative systems</t>
        </is>
      </c>
      <c r="D157" s="5" t="inlineStr">
        <is>
          <t>Multifunctional ultrasmall AgNP hydrogel accelerates healing of S. aureus infected wounds</t>
        </is>
      </c>
      <c r="E157" s="5" t="inlineStr">
        <is>
          <t>10.1016/j.actbio.2021.04.007</t>
        </is>
      </c>
      <c r="F157" s="5" t="inlineStr">
        <is>
          <t>Thermo/NIR or externally actuated</t>
        </is>
      </c>
      <c r="G157" s="5" t="inlineStr">
        <is>
          <t>Re-epithelialization</t>
        </is>
      </c>
      <c r="H157" s="6" t="inlineStr">
        <is>
          <t>1</t>
        </is>
      </c>
      <c r="K157" s="5" t="inlineStr">
        <is>
          <t xml:space="preserve">; </t>
        </is>
      </c>
      <c r="M157" s="5" t="inlineStr">
        <is>
          <t>100.0</t>
        </is>
      </c>
      <c r="N157" s="5" t="inlineStr">
        <is>
          <t>YES</t>
        </is>
      </c>
    </row>
    <row r="158">
      <c r="A158" s="6" t="n">
        <v>245</v>
      </c>
      <c r="B158" s="5" t="inlineStr">
        <is>
          <t>S3</t>
        </is>
      </c>
      <c r="C158" s="5" t="inlineStr">
        <is>
          <t>5: Thermogelling and externally actuated antimicrobial-regenerative systems</t>
        </is>
      </c>
      <c r="D158" s="5" t="inlineStr">
        <is>
          <t>Multifunctional ultrasmall AgNP hydrogel accelerates healing of S. aureus infected wounds</t>
        </is>
      </c>
      <c r="E158" s="5" t="inlineStr">
        <is>
          <t>10.1016/j.actbio.2021.04.007</t>
        </is>
      </c>
      <c r="F158" s="5" t="inlineStr">
        <is>
          <t>Thermo/NIR or externally actuated</t>
        </is>
      </c>
      <c r="G158" s="5" t="inlineStr">
        <is>
          <t>Wound closure</t>
        </is>
      </c>
      <c r="H158" s="6" t="inlineStr">
        <is>
          <t>1</t>
        </is>
      </c>
      <c r="K158" s="5" t="inlineStr">
        <is>
          <t xml:space="preserve">; </t>
        </is>
      </c>
      <c r="M158" s="5" t="inlineStr">
        <is>
          <t>100.0</t>
        </is>
      </c>
      <c r="N158" s="5" t="inlineStr">
        <is>
          <t>YES</t>
        </is>
      </c>
    </row>
    <row r="159">
      <c r="A159" s="6" t="n">
        <v>245</v>
      </c>
      <c r="B159" s="5" t="inlineStr">
        <is>
          <t>S3</t>
        </is>
      </c>
      <c r="C159" s="5" t="inlineStr">
        <is>
          <t>5: Thermogelling and externally actuated antimicrobial-regenerative systems</t>
        </is>
      </c>
      <c r="D159" s="5" t="inlineStr">
        <is>
          <t>Multifunctional ultrasmall AgNP hydrogel accelerates healing of S. aureus infected wounds</t>
        </is>
      </c>
      <c r="E159" s="5" t="inlineStr">
        <is>
          <t>10.1016/j.actbio.2021.04.007</t>
        </is>
      </c>
      <c r="F159" s="5" t="inlineStr">
        <is>
          <t>Thermo/NIR or externally actuated</t>
        </is>
      </c>
      <c r="G159" s="5" t="inlineStr">
        <is>
          <t>Safety or cytocompatibility</t>
        </is>
      </c>
      <c r="H159" s="6" t="inlineStr">
        <is>
          <t>1</t>
        </is>
      </c>
      <c r="K159" s="5" t="inlineStr">
        <is>
          <t xml:space="preserve">; </t>
        </is>
      </c>
      <c r="M159" s="5" t="inlineStr">
        <is>
          <t>100.0</t>
        </is>
      </c>
      <c r="N159" s="5" t="inlineStr">
        <is>
          <t>YES</t>
        </is>
      </c>
    </row>
    <row r="160">
      <c r="A160" s="6" t="n">
        <v>257</v>
      </c>
      <c r="B160" s="5" t="inlineStr">
        <is>
          <t>S3</t>
        </is>
      </c>
      <c r="C160" s="5" t="inlineStr">
        <is>
          <t>11: Exosome and extracellular-vesicle release systems</t>
        </is>
      </c>
      <c r="D160" s="5" t="inlineStr">
        <is>
          <t>Duo-nano exosome encapsulating hydrogel boosts wound healing across xenogenic and allogenic models</t>
        </is>
      </c>
      <c r="E160" s="5" t="inlineStr">
        <is>
          <t>10.1016/j.biomaterials.2025.123975</t>
        </is>
      </c>
      <c r="F160" s="5" t="inlineStr">
        <is>
          <t>Thermo/NIR or externally actuated</t>
        </is>
      </c>
      <c r="G160" s="5" t="inlineStr">
        <is>
          <t>Release kinetics measured</t>
        </is>
      </c>
      <c r="H160" s="6" t="inlineStr">
        <is>
          <t>1</t>
        </is>
      </c>
      <c r="K160" s="5" t="inlineStr">
        <is>
          <t xml:space="preserve">; </t>
        </is>
      </c>
      <c r="M160" s="5" t="inlineStr">
        <is>
          <t>100.0</t>
        </is>
      </c>
      <c r="N160" s="5" t="inlineStr">
        <is>
          <t>YES</t>
        </is>
      </c>
    </row>
    <row r="161">
      <c r="A161" s="6" t="n">
        <v>257</v>
      </c>
      <c r="B161" s="5" t="inlineStr">
        <is>
          <t>S3</t>
        </is>
      </c>
      <c r="C161" s="5" t="inlineStr">
        <is>
          <t>11: Exosome and extracellular-vesicle release systems</t>
        </is>
      </c>
      <c r="D161" s="5" t="inlineStr">
        <is>
          <t>Duo-nano exosome encapsulating hydrogel boosts wound healing across xenogenic and allogenic models</t>
        </is>
      </c>
      <c r="E161" s="5" t="inlineStr">
        <is>
          <t>10.1016/j.biomaterials.2025.123975</t>
        </is>
      </c>
      <c r="F161" s="5" t="inlineStr">
        <is>
          <t>Thermo/NIR or externally actuated</t>
        </is>
      </c>
      <c r="G161" s="5" t="inlineStr">
        <is>
          <t>Antimicrobial or biofilm control</t>
        </is>
      </c>
      <c r="H161" s="6" t="inlineStr">
        <is>
          <t>1</t>
        </is>
      </c>
      <c r="K161" s="5" t="inlineStr">
        <is>
          <t xml:space="preserve">; </t>
        </is>
      </c>
      <c r="M161" s="5" t="inlineStr">
        <is>
          <t>100.0</t>
        </is>
      </c>
      <c r="N161" s="5" t="inlineStr">
        <is>
          <t>YES</t>
        </is>
      </c>
    </row>
    <row r="162">
      <c r="A162" s="6" t="n">
        <v>257</v>
      </c>
      <c r="B162" s="5" t="inlineStr">
        <is>
          <t>S3</t>
        </is>
      </c>
      <c r="C162" s="5" t="inlineStr">
        <is>
          <t>11: Exosome and extracellular-vesicle release systems</t>
        </is>
      </c>
      <c r="D162" s="5" t="inlineStr">
        <is>
          <t>Duo-nano exosome encapsulating hydrogel boosts wound healing across xenogenic and allogenic models</t>
        </is>
      </c>
      <c r="E162" s="5" t="inlineStr">
        <is>
          <t>10.1016/j.biomaterials.2025.123975</t>
        </is>
      </c>
      <c r="F162" s="5" t="inlineStr">
        <is>
          <t>Thermo/NIR or externally actuated</t>
        </is>
      </c>
      <c r="G162" s="5" t="inlineStr">
        <is>
          <t>Angiogenesis</t>
        </is>
      </c>
      <c r="H162" s="6" t="inlineStr">
        <is>
          <t>1</t>
        </is>
      </c>
      <c r="K162" s="5" t="inlineStr">
        <is>
          <t xml:space="preserve">; </t>
        </is>
      </c>
      <c r="M162" s="5" t="inlineStr">
        <is>
          <t>100.0</t>
        </is>
      </c>
      <c r="N162" s="5" t="inlineStr">
        <is>
          <t>YES</t>
        </is>
      </c>
    </row>
    <row r="163">
      <c r="A163" s="6" t="n">
        <v>257</v>
      </c>
      <c r="B163" s="5" t="inlineStr">
        <is>
          <t>S3</t>
        </is>
      </c>
      <c r="C163" s="5" t="inlineStr">
        <is>
          <t>11: Exosome and extracellular-vesicle release systems</t>
        </is>
      </c>
      <c r="D163" s="5" t="inlineStr">
        <is>
          <t>Duo-nano exosome encapsulating hydrogel boosts wound healing across xenogenic and allogenic models</t>
        </is>
      </c>
      <c r="E163" s="5" t="inlineStr">
        <is>
          <t>10.1016/j.biomaterials.2025.123975</t>
        </is>
      </c>
      <c r="F163" s="5" t="inlineStr">
        <is>
          <t>Thermo/NIR or externally actuated</t>
        </is>
      </c>
      <c r="G163" s="5" t="inlineStr">
        <is>
          <t>Collagen or matrix remodeling</t>
        </is>
      </c>
      <c r="H163" s="6" t="inlineStr">
        <is>
          <t>1</t>
        </is>
      </c>
      <c r="K163" s="5" t="inlineStr">
        <is>
          <t xml:space="preserve">; </t>
        </is>
      </c>
      <c r="M163" s="5" t="inlineStr">
        <is>
          <t>100.0</t>
        </is>
      </c>
      <c r="N163" s="5" t="inlineStr">
        <is>
          <t>YES</t>
        </is>
      </c>
    </row>
    <row r="164">
      <c r="A164" s="6" t="n">
        <v>257</v>
      </c>
      <c r="B164" s="5" t="inlineStr">
        <is>
          <t>S3</t>
        </is>
      </c>
      <c r="C164" s="5" t="inlineStr">
        <is>
          <t>11: Exosome and extracellular-vesicle release systems</t>
        </is>
      </c>
      <c r="D164" s="5" t="inlineStr">
        <is>
          <t>Duo-nano exosome encapsulating hydrogel boosts wound healing across xenogenic and allogenic models</t>
        </is>
      </c>
      <c r="E164" s="5" t="inlineStr">
        <is>
          <t>10.1016/j.biomaterials.2025.123975</t>
        </is>
      </c>
      <c r="F164" s="5" t="inlineStr">
        <is>
          <t>Thermo/NIR or externally actuated</t>
        </is>
      </c>
      <c r="G164" s="5" t="inlineStr">
        <is>
          <t>Re-epithelialization</t>
        </is>
      </c>
      <c r="H164" s="6" t="inlineStr">
        <is>
          <t>1</t>
        </is>
      </c>
      <c r="K164" s="5" t="inlineStr">
        <is>
          <t xml:space="preserve">; </t>
        </is>
      </c>
      <c r="M164" s="5" t="inlineStr">
        <is>
          <t>100.0</t>
        </is>
      </c>
      <c r="N164" s="5" t="inlineStr">
        <is>
          <t>YES</t>
        </is>
      </c>
    </row>
    <row r="165">
      <c r="A165" s="6" t="n">
        <v>257</v>
      </c>
      <c r="B165" s="5" t="inlineStr">
        <is>
          <t>S3</t>
        </is>
      </c>
      <c r="C165" s="5" t="inlineStr">
        <is>
          <t>11: Exosome and extracellular-vesicle release systems</t>
        </is>
      </c>
      <c r="D165" s="5" t="inlineStr">
        <is>
          <t>Duo-nano exosome encapsulating hydrogel boosts wound healing across xenogenic and allogenic models</t>
        </is>
      </c>
      <c r="E165" s="5" t="inlineStr">
        <is>
          <t>10.1016/j.biomaterials.2025.123975</t>
        </is>
      </c>
      <c r="F165" s="5" t="inlineStr">
        <is>
          <t>Thermo/NIR or externally actuated</t>
        </is>
      </c>
      <c r="G165" s="5" t="inlineStr">
        <is>
          <t>Wound closure</t>
        </is>
      </c>
      <c r="H165" s="6" t="inlineStr">
        <is>
          <t>1</t>
        </is>
      </c>
      <c r="K165" s="5" t="inlineStr">
        <is>
          <t xml:space="preserve">; </t>
        </is>
      </c>
      <c r="M165" s="5" t="inlineStr">
        <is>
          <t>100.0</t>
        </is>
      </c>
      <c r="N165" s="5" t="inlineStr">
        <is>
          <t>YES</t>
        </is>
      </c>
    </row>
    <row r="166">
      <c r="A166" s="6" t="n">
        <v>257</v>
      </c>
      <c r="B166" s="5" t="inlineStr">
        <is>
          <t>S3</t>
        </is>
      </c>
      <c r="C166" s="5" t="inlineStr">
        <is>
          <t>11: Exosome and extracellular-vesicle release systems</t>
        </is>
      </c>
      <c r="D166" s="5" t="inlineStr">
        <is>
          <t>Duo-nano exosome encapsulating hydrogel boosts wound healing across xenogenic and allogenic models</t>
        </is>
      </c>
      <c r="E166" s="5" t="inlineStr">
        <is>
          <t>10.1016/j.biomaterials.2025.123975</t>
        </is>
      </c>
      <c r="F166" s="5" t="inlineStr">
        <is>
          <t>Thermo/NIR or externally actuated</t>
        </is>
      </c>
      <c r="G166" s="5" t="inlineStr">
        <is>
          <t>Safety or cytocompatibility</t>
        </is>
      </c>
      <c r="H166" s="6" t="inlineStr">
        <is>
          <t>1</t>
        </is>
      </c>
      <c r="K166" s="5" t="inlineStr">
        <is>
          <t xml:space="preserve">; </t>
        </is>
      </c>
      <c r="M166" s="5" t="inlineStr">
        <is>
          <t>100.0</t>
        </is>
      </c>
      <c r="N166" s="5" t="inlineStr">
        <is>
          <t>YES</t>
        </is>
      </c>
    </row>
    <row r="167">
      <c r="A167" s="6" t="n">
        <v>212</v>
      </c>
      <c r="B167" s="5" t="inlineStr">
        <is>
          <t>S3</t>
        </is>
      </c>
      <c r="C167" s="5" t="inlineStr">
        <is>
          <t>3: Redox-, glucose-, and mixed-stimulus adaptive hydrogels</t>
        </is>
      </c>
      <c r="D167" s="5" t="inlineStr">
        <is>
          <t>Smart multifunctional ROS-responsive supramolecular hydrogel for simultaneously regulating oxidative stress, immune dysregulation, and bacterial infection in diabetic wound healing</t>
        </is>
      </c>
      <c r="E167" s="5" t="inlineStr">
        <is>
          <t>10.1016/j.biomaterials.2026.124006</t>
        </is>
      </c>
      <c r="F167" s="5" t="inlineStr">
        <is>
          <t>Immune-programming</t>
        </is>
      </c>
      <c r="G167" s="5" t="inlineStr">
        <is>
          <t>Release kinetics measured</t>
        </is>
      </c>
      <c r="H167" s="6" t="inlineStr">
        <is>
          <t>1</t>
        </is>
      </c>
      <c r="K167" s="5" t="inlineStr">
        <is>
          <t xml:space="preserve">; </t>
        </is>
      </c>
      <c r="M167" s="5" t="inlineStr">
        <is>
          <t>100.0</t>
        </is>
      </c>
      <c r="N167" s="5" t="inlineStr">
        <is>
          <t>YES</t>
        </is>
      </c>
    </row>
    <row r="168">
      <c r="A168" s="6" t="n">
        <v>212</v>
      </c>
      <c r="B168" s="5" t="inlineStr">
        <is>
          <t>S3</t>
        </is>
      </c>
      <c r="C168" s="5" t="inlineStr">
        <is>
          <t>3: Redox-, glucose-, and mixed-stimulus adaptive hydrogels</t>
        </is>
      </c>
      <c r="D168" s="5" t="inlineStr">
        <is>
          <t>Smart multifunctional ROS-responsive supramolecular hydrogel for simultaneously regulating oxidative stress, immune dysregulation, and bacterial infection in diabetic wound healing</t>
        </is>
      </c>
      <c r="E168" s="5" t="inlineStr">
        <is>
          <t>10.1016/j.biomaterials.2026.124006</t>
        </is>
      </c>
      <c r="F168" s="5" t="inlineStr">
        <is>
          <t>Immune-programming</t>
        </is>
      </c>
      <c r="G168" s="5" t="inlineStr">
        <is>
          <t>Antimicrobial or biofilm control</t>
        </is>
      </c>
      <c r="H168" s="6" t="inlineStr">
        <is>
          <t>1</t>
        </is>
      </c>
      <c r="K168" s="5" t="inlineStr">
        <is>
          <t xml:space="preserve">; </t>
        </is>
      </c>
      <c r="M168" s="5" t="inlineStr">
        <is>
          <t>100.0</t>
        </is>
      </c>
      <c r="N168" s="5" t="inlineStr">
        <is>
          <t>YES</t>
        </is>
      </c>
    </row>
    <row r="169">
      <c r="A169" s="6" t="n">
        <v>212</v>
      </c>
      <c r="B169" s="5" t="inlineStr">
        <is>
          <t>S3</t>
        </is>
      </c>
      <c r="C169" s="5" t="inlineStr">
        <is>
          <t>3: Redox-, glucose-, and mixed-stimulus adaptive hydrogels</t>
        </is>
      </c>
      <c r="D169" s="5" t="inlineStr">
        <is>
          <t>Smart multifunctional ROS-responsive supramolecular hydrogel for simultaneously regulating oxidative stress, immune dysregulation, and bacterial infection in diabetic wound healing</t>
        </is>
      </c>
      <c r="E169" s="5" t="inlineStr">
        <is>
          <t>10.1016/j.biomaterials.2026.124006</t>
        </is>
      </c>
      <c r="F169" s="5" t="inlineStr">
        <is>
          <t>Immune-programming</t>
        </is>
      </c>
      <c r="G169" s="5" t="inlineStr">
        <is>
          <t>Inflammation or macrophage modulation</t>
        </is>
      </c>
      <c r="H169" s="6" t="inlineStr">
        <is>
          <t>1</t>
        </is>
      </c>
      <c r="K169" s="5" t="inlineStr">
        <is>
          <t xml:space="preserve">; </t>
        </is>
      </c>
      <c r="M169" s="5" t="inlineStr">
        <is>
          <t>100.0</t>
        </is>
      </c>
      <c r="N169" s="5" t="inlineStr">
        <is>
          <t>YES</t>
        </is>
      </c>
    </row>
    <row r="170">
      <c r="A170" s="6" t="n">
        <v>212</v>
      </c>
      <c r="B170" s="5" t="inlineStr">
        <is>
          <t>S3</t>
        </is>
      </c>
      <c r="C170" s="5" t="inlineStr">
        <is>
          <t>3: Redox-, glucose-, and mixed-stimulus adaptive hydrogels</t>
        </is>
      </c>
      <c r="D170" s="5" t="inlineStr">
        <is>
          <t>Smart multifunctional ROS-responsive supramolecular hydrogel for simultaneously regulating oxidative stress, immune dysregulation, and bacterial infection in diabetic wound healing</t>
        </is>
      </c>
      <c r="E170" s="5" t="inlineStr">
        <is>
          <t>10.1016/j.biomaterials.2026.124006</t>
        </is>
      </c>
      <c r="F170" s="5" t="inlineStr">
        <is>
          <t>Immune-programming</t>
        </is>
      </c>
      <c r="G170" s="5" t="inlineStr">
        <is>
          <t>Angiogenesis</t>
        </is>
      </c>
      <c r="H170" s="6" t="inlineStr">
        <is>
          <t>1</t>
        </is>
      </c>
      <c r="K170" s="5" t="inlineStr">
        <is>
          <t xml:space="preserve">; </t>
        </is>
      </c>
      <c r="M170" s="5" t="inlineStr">
        <is>
          <t>100.0</t>
        </is>
      </c>
      <c r="N170" s="5" t="inlineStr">
        <is>
          <t>YES</t>
        </is>
      </c>
    </row>
    <row r="171">
      <c r="A171" s="6" t="n">
        <v>212</v>
      </c>
      <c r="B171" s="5" t="inlineStr">
        <is>
          <t>S3</t>
        </is>
      </c>
      <c r="C171" s="5" t="inlineStr">
        <is>
          <t>3: Redox-, glucose-, and mixed-stimulus adaptive hydrogels</t>
        </is>
      </c>
      <c r="D171" s="5" t="inlineStr">
        <is>
          <t>Smart multifunctional ROS-responsive supramolecular hydrogel for simultaneously regulating oxidative stress, immune dysregulation, and bacterial infection in diabetic wound healing</t>
        </is>
      </c>
      <c r="E171" s="5" t="inlineStr">
        <is>
          <t>10.1016/j.biomaterials.2026.124006</t>
        </is>
      </c>
      <c r="F171" s="5" t="inlineStr">
        <is>
          <t>Immune-programming</t>
        </is>
      </c>
      <c r="G171" s="5" t="inlineStr">
        <is>
          <t>Collagen or matrix remodeling</t>
        </is>
      </c>
      <c r="H171" s="6" t="inlineStr">
        <is>
          <t>1</t>
        </is>
      </c>
      <c r="K171" s="5" t="inlineStr">
        <is>
          <t xml:space="preserve">; </t>
        </is>
      </c>
      <c r="M171" s="5" t="inlineStr">
        <is>
          <t>100.0</t>
        </is>
      </c>
      <c r="N171" s="5" t="inlineStr">
        <is>
          <t>YES</t>
        </is>
      </c>
    </row>
    <row r="172">
      <c r="A172" s="6" t="n">
        <v>212</v>
      </c>
      <c r="B172" s="5" t="inlineStr">
        <is>
          <t>S3</t>
        </is>
      </c>
      <c r="C172" s="5" t="inlineStr">
        <is>
          <t>3: Redox-, glucose-, and mixed-stimulus adaptive hydrogels</t>
        </is>
      </c>
      <c r="D172" s="5" t="inlineStr">
        <is>
          <t>Smart multifunctional ROS-responsive supramolecular hydrogel for simultaneously regulating oxidative stress, immune dysregulation, and bacterial infection in diabetic wound healing</t>
        </is>
      </c>
      <c r="E172" s="5" t="inlineStr">
        <is>
          <t>10.1016/j.biomaterials.2026.124006</t>
        </is>
      </c>
      <c r="F172" s="5" t="inlineStr">
        <is>
          <t>Immune-programming</t>
        </is>
      </c>
      <c r="G172" s="5" t="inlineStr">
        <is>
          <t>Re-epithelialization</t>
        </is>
      </c>
      <c r="H172" s="6" t="inlineStr">
        <is>
          <t>1</t>
        </is>
      </c>
      <c r="K172" s="5" t="inlineStr">
        <is>
          <t xml:space="preserve">; </t>
        </is>
      </c>
      <c r="M172" s="5" t="inlineStr">
        <is>
          <t>100.0</t>
        </is>
      </c>
      <c r="N172" s="5" t="inlineStr">
        <is>
          <t>YES</t>
        </is>
      </c>
    </row>
    <row r="173">
      <c r="A173" s="6" t="n">
        <v>212</v>
      </c>
      <c r="B173" s="5" t="inlineStr">
        <is>
          <t>S3</t>
        </is>
      </c>
      <c r="C173" s="5" t="inlineStr">
        <is>
          <t>3: Redox-, glucose-, and mixed-stimulus adaptive hydrogels</t>
        </is>
      </c>
      <c r="D173" s="5" t="inlineStr">
        <is>
          <t>Smart multifunctional ROS-responsive supramolecular hydrogel for simultaneously regulating oxidative stress, immune dysregulation, and bacterial infection in diabetic wound healing</t>
        </is>
      </c>
      <c r="E173" s="5" t="inlineStr">
        <is>
          <t>10.1016/j.biomaterials.2026.124006</t>
        </is>
      </c>
      <c r="F173" s="5" t="inlineStr">
        <is>
          <t>Immune-programming</t>
        </is>
      </c>
      <c r="G173" s="5" t="inlineStr">
        <is>
          <t>Wound closure</t>
        </is>
      </c>
      <c r="H173" s="6" t="inlineStr">
        <is>
          <t>1</t>
        </is>
      </c>
      <c r="K173" s="5" t="inlineStr">
        <is>
          <t xml:space="preserve">; </t>
        </is>
      </c>
      <c r="M173" s="5" t="inlineStr">
        <is>
          <t>100.0</t>
        </is>
      </c>
      <c r="N173" s="5" t="inlineStr">
        <is>
          <t>YES</t>
        </is>
      </c>
    </row>
    <row r="174">
      <c r="A174" s="6" t="n">
        <v>212</v>
      </c>
      <c r="B174" s="5" t="inlineStr">
        <is>
          <t>S3</t>
        </is>
      </c>
      <c r="C174" s="5" t="inlineStr">
        <is>
          <t>3: Redox-, glucose-, and mixed-stimulus adaptive hydrogels</t>
        </is>
      </c>
      <c r="D174" s="5" t="inlineStr">
        <is>
          <t>Smart multifunctional ROS-responsive supramolecular hydrogel for simultaneously regulating oxidative stress, immune dysregulation, and bacterial infection in diabetic wound healing</t>
        </is>
      </c>
      <c r="E174" s="5" t="inlineStr">
        <is>
          <t>10.1016/j.biomaterials.2026.124006</t>
        </is>
      </c>
      <c r="F174" s="5" t="inlineStr">
        <is>
          <t>Immune-programming</t>
        </is>
      </c>
      <c r="G174" s="5" t="inlineStr">
        <is>
          <t>Safety or cytocompatibility</t>
        </is>
      </c>
      <c r="H174" s="6" t="inlineStr">
        <is>
          <t>1</t>
        </is>
      </c>
      <c r="K174" s="5" t="inlineStr">
        <is>
          <t xml:space="preserve">; </t>
        </is>
      </c>
      <c r="M174" s="5" t="inlineStr">
        <is>
          <t>100.0</t>
        </is>
      </c>
      <c r="N174" s="5" t="inlineStr">
        <is>
          <t>YES</t>
        </is>
      </c>
    </row>
    <row r="175">
      <c r="A175" s="6" t="n">
        <v>215</v>
      </c>
      <c r="B175" s="5" t="inlineStr">
        <is>
          <t>S3</t>
        </is>
      </c>
      <c r="C175" s="5" t="inlineStr">
        <is>
          <t>3: Redox-, glucose-, and mixed-stimulus adaptive hydrogels</t>
        </is>
      </c>
      <c r="D175" s="5" t="inlineStr">
        <is>
          <t>Glucose/ROS-responsive and redox-gated adaptive hydrogel dressing for accelerating diabetic wound repair via synergistic cGAS/STING pathway inhibition and oxidative stress alleviation</t>
        </is>
      </c>
      <c r="E175" s="5" t="inlineStr">
        <is>
          <t>10.1016/j.bioactmat.2026.03.025</t>
        </is>
      </c>
      <c r="F175" s="5" t="inlineStr">
        <is>
          <t>Immune-programming</t>
        </is>
      </c>
      <c r="G175" s="5" t="inlineStr">
        <is>
          <t>Release kinetics measured</t>
        </is>
      </c>
      <c r="H175" s="6" t="inlineStr">
        <is>
          <t>1</t>
        </is>
      </c>
      <c r="K175" s="5" t="inlineStr">
        <is>
          <t xml:space="preserve">; </t>
        </is>
      </c>
      <c r="M175" s="5" t="inlineStr">
        <is>
          <t>100.0</t>
        </is>
      </c>
      <c r="N175" s="5" t="inlineStr">
        <is>
          <t>YES</t>
        </is>
      </c>
    </row>
    <row r="176">
      <c r="A176" s="6" t="n">
        <v>215</v>
      </c>
      <c r="B176" s="5" t="inlineStr">
        <is>
          <t>S3</t>
        </is>
      </c>
      <c r="C176" s="5" t="inlineStr">
        <is>
          <t>3: Redox-, glucose-, and mixed-stimulus adaptive hydrogels</t>
        </is>
      </c>
      <c r="D176" s="5" t="inlineStr">
        <is>
          <t>Glucose/ROS-responsive and redox-gated adaptive hydrogel dressing for accelerating diabetic wound repair via synergistic cGAS/STING pathway inhibition and oxidative stress alleviation</t>
        </is>
      </c>
      <c r="E176" s="5" t="inlineStr">
        <is>
          <t>10.1016/j.bioactmat.2026.03.025</t>
        </is>
      </c>
      <c r="F176" s="5" t="inlineStr">
        <is>
          <t>Immune-programming</t>
        </is>
      </c>
      <c r="G176" s="5" t="inlineStr">
        <is>
          <t>Inflammation or macrophage modulation</t>
        </is>
      </c>
      <c r="H176" s="6" t="inlineStr">
        <is>
          <t>1</t>
        </is>
      </c>
      <c r="K176" s="5" t="inlineStr">
        <is>
          <t xml:space="preserve">; </t>
        </is>
      </c>
      <c r="M176" s="5" t="inlineStr">
        <is>
          <t>100.0</t>
        </is>
      </c>
      <c r="N176" s="5" t="inlineStr">
        <is>
          <t>YES</t>
        </is>
      </c>
    </row>
    <row r="177">
      <c r="A177" s="6" t="n">
        <v>215</v>
      </c>
      <c r="B177" s="5" t="inlineStr">
        <is>
          <t>S3</t>
        </is>
      </c>
      <c r="C177" s="5" t="inlineStr">
        <is>
          <t>3: Redox-, glucose-, and mixed-stimulus adaptive hydrogels</t>
        </is>
      </c>
      <c r="D177" s="5" t="inlineStr">
        <is>
          <t>Glucose/ROS-responsive and redox-gated adaptive hydrogel dressing for accelerating diabetic wound repair via synergistic cGAS/STING pathway inhibition and oxidative stress alleviation</t>
        </is>
      </c>
      <c r="E177" s="5" t="inlineStr">
        <is>
          <t>10.1016/j.bioactmat.2026.03.025</t>
        </is>
      </c>
      <c r="F177" s="5" t="inlineStr">
        <is>
          <t>Immune-programming</t>
        </is>
      </c>
      <c r="G177" s="5" t="inlineStr">
        <is>
          <t>Angiogenesis</t>
        </is>
      </c>
      <c r="H177" s="6" t="inlineStr">
        <is>
          <t>1</t>
        </is>
      </c>
      <c r="K177" s="5" t="inlineStr">
        <is>
          <t xml:space="preserve">; </t>
        </is>
      </c>
      <c r="M177" s="5" t="inlineStr">
        <is>
          <t>100.0</t>
        </is>
      </c>
      <c r="N177" s="5" t="inlineStr">
        <is>
          <t>YES</t>
        </is>
      </c>
    </row>
    <row r="178">
      <c r="A178" s="6" t="n">
        <v>215</v>
      </c>
      <c r="B178" s="5" t="inlineStr">
        <is>
          <t>S3</t>
        </is>
      </c>
      <c r="C178" s="5" t="inlineStr">
        <is>
          <t>3: Redox-, glucose-, and mixed-stimulus adaptive hydrogels</t>
        </is>
      </c>
      <c r="D178" s="5" t="inlineStr">
        <is>
          <t>Glucose/ROS-responsive and redox-gated adaptive hydrogel dressing for accelerating diabetic wound repair via synergistic cGAS/STING pathway inhibition and oxidative stress alleviation</t>
        </is>
      </c>
      <c r="E178" s="5" t="inlineStr">
        <is>
          <t>10.1016/j.bioactmat.2026.03.025</t>
        </is>
      </c>
      <c r="F178" s="5" t="inlineStr">
        <is>
          <t>Immune-programming</t>
        </is>
      </c>
      <c r="G178" s="5" t="inlineStr">
        <is>
          <t>Collagen or matrix remodeling</t>
        </is>
      </c>
      <c r="H178" s="6" t="inlineStr">
        <is>
          <t>1</t>
        </is>
      </c>
      <c r="K178" s="5" t="inlineStr">
        <is>
          <t xml:space="preserve">; </t>
        </is>
      </c>
      <c r="M178" s="5" t="inlineStr">
        <is>
          <t>100.0</t>
        </is>
      </c>
      <c r="N178" s="5" t="inlineStr">
        <is>
          <t>YES</t>
        </is>
      </c>
    </row>
    <row r="179">
      <c r="A179" s="6" t="n">
        <v>215</v>
      </c>
      <c r="B179" s="5" t="inlineStr">
        <is>
          <t>S3</t>
        </is>
      </c>
      <c r="C179" s="5" t="inlineStr">
        <is>
          <t>3: Redox-, glucose-, and mixed-stimulus adaptive hydrogels</t>
        </is>
      </c>
      <c r="D179" s="5" t="inlineStr">
        <is>
          <t>Glucose/ROS-responsive and redox-gated adaptive hydrogel dressing for accelerating diabetic wound repair via synergistic cGAS/STING pathway inhibition and oxidative stress alleviation</t>
        </is>
      </c>
      <c r="E179" s="5" t="inlineStr">
        <is>
          <t>10.1016/j.bioactmat.2026.03.025</t>
        </is>
      </c>
      <c r="F179" s="5" t="inlineStr">
        <is>
          <t>Immune-programming</t>
        </is>
      </c>
      <c r="G179" s="5" t="inlineStr">
        <is>
          <t>Re-epithelialization</t>
        </is>
      </c>
      <c r="H179" s="6" t="inlineStr">
        <is>
          <t>1</t>
        </is>
      </c>
      <c r="K179" s="5" t="inlineStr">
        <is>
          <t xml:space="preserve">; </t>
        </is>
      </c>
      <c r="M179" s="5" t="inlineStr">
        <is>
          <t>100.0</t>
        </is>
      </c>
      <c r="N179" s="5" t="inlineStr">
        <is>
          <t>YES</t>
        </is>
      </c>
    </row>
    <row r="180">
      <c r="A180" s="6" t="n">
        <v>215</v>
      </c>
      <c r="B180" s="5" t="inlineStr">
        <is>
          <t>S3</t>
        </is>
      </c>
      <c r="C180" s="5" t="inlineStr">
        <is>
          <t>3: Redox-, glucose-, and mixed-stimulus adaptive hydrogels</t>
        </is>
      </c>
      <c r="D180" s="5" t="inlineStr">
        <is>
          <t>Glucose/ROS-responsive and redox-gated adaptive hydrogel dressing for accelerating diabetic wound repair via synergistic cGAS/STING pathway inhibition and oxidative stress alleviation</t>
        </is>
      </c>
      <c r="E180" s="5" t="inlineStr">
        <is>
          <t>10.1016/j.bioactmat.2026.03.025</t>
        </is>
      </c>
      <c r="F180" s="5" t="inlineStr">
        <is>
          <t>Immune-programming</t>
        </is>
      </c>
      <c r="G180" s="5" t="inlineStr">
        <is>
          <t>Wound closure</t>
        </is>
      </c>
      <c r="H180" s="6" t="inlineStr">
        <is>
          <t>1</t>
        </is>
      </c>
      <c r="K180" s="5" t="inlineStr">
        <is>
          <t xml:space="preserve">; </t>
        </is>
      </c>
      <c r="M180" s="5" t="inlineStr">
        <is>
          <t>100.0</t>
        </is>
      </c>
      <c r="N180" s="5" t="inlineStr">
        <is>
          <t>YES</t>
        </is>
      </c>
    </row>
    <row r="181">
      <c r="A181" s="6" t="n">
        <v>215</v>
      </c>
      <c r="B181" s="5" t="inlineStr">
        <is>
          <t>S3</t>
        </is>
      </c>
      <c r="C181" s="5" t="inlineStr">
        <is>
          <t>3: Redox-, glucose-, and mixed-stimulus adaptive hydrogels</t>
        </is>
      </c>
      <c r="D181" s="5" t="inlineStr">
        <is>
          <t>Glucose/ROS-responsive and redox-gated adaptive hydrogel dressing for accelerating diabetic wound repair via synergistic cGAS/STING pathway inhibition and oxidative stress alleviation</t>
        </is>
      </c>
      <c r="E181" s="5" t="inlineStr">
        <is>
          <t>10.1016/j.bioactmat.2026.03.025</t>
        </is>
      </c>
      <c r="F181" s="5" t="inlineStr">
        <is>
          <t>Immune-programming</t>
        </is>
      </c>
      <c r="G181" s="5" t="inlineStr">
        <is>
          <t>Safety or cytocompatibility</t>
        </is>
      </c>
      <c r="H181" s="6" t="inlineStr">
        <is>
          <t>1</t>
        </is>
      </c>
      <c r="K181" s="5" t="inlineStr">
        <is>
          <t xml:space="preserve">; </t>
        </is>
      </c>
      <c r="M181" s="5" t="inlineStr">
        <is>
          <t>100.0</t>
        </is>
      </c>
      <c r="N181" s="5" t="inlineStr">
        <is>
          <t>YES</t>
        </is>
      </c>
    </row>
    <row r="182">
      <c r="A182" s="6" t="n">
        <v>224</v>
      </c>
      <c r="B182" s="5" t="inlineStr">
        <is>
          <t>S3</t>
        </is>
      </c>
      <c r="C182" s="5" t="inlineStr">
        <is>
          <t>7: Macrophage-state and cytokine-balancing matrices</t>
        </is>
      </c>
      <c r="D182" s="5" t="inlineStr">
        <is>
          <t>Immunomodulatory hydrogel orchestrates pro-regenerative response of macrophages and angiogenesis for chronic wound healing</t>
        </is>
      </c>
      <c r="E182" s="5" t="inlineStr">
        <is>
          <t>10.1016/j.biomaterials.2024.122848</t>
        </is>
      </c>
      <c r="F182" s="5" t="inlineStr">
        <is>
          <t>Immune-programming</t>
        </is>
      </c>
      <c r="G182" s="5" t="inlineStr">
        <is>
          <t>Release kinetics measured</t>
        </is>
      </c>
      <c r="H182" s="6" t="inlineStr">
        <is>
          <t>1</t>
        </is>
      </c>
      <c r="K182" s="5" t="inlineStr">
        <is>
          <t xml:space="preserve">; </t>
        </is>
      </c>
      <c r="M182" s="5" t="inlineStr">
        <is>
          <t>100.0</t>
        </is>
      </c>
      <c r="N182" s="5" t="inlineStr">
        <is>
          <t>YES</t>
        </is>
      </c>
    </row>
    <row r="183">
      <c r="A183" s="6" t="n">
        <v>224</v>
      </c>
      <c r="B183" s="5" t="inlineStr">
        <is>
          <t>S3</t>
        </is>
      </c>
      <c r="C183" s="5" t="inlineStr">
        <is>
          <t>7: Macrophage-state and cytokine-balancing matrices</t>
        </is>
      </c>
      <c r="D183" s="5" t="inlineStr">
        <is>
          <t>Immunomodulatory hydrogel orchestrates pro-regenerative response of macrophages and angiogenesis for chronic wound healing</t>
        </is>
      </c>
      <c r="E183" s="5" t="inlineStr">
        <is>
          <t>10.1016/j.biomaterials.2024.122848</t>
        </is>
      </c>
      <c r="F183" s="5" t="inlineStr">
        <is>
          <t>Immune-programming</t>
        </is>
      </c>
      <c r="G183" s="5" t="inlineStr">
        <is>
          <t>Antimicrobial or biofilm control</t>
        </is>
      </c>
      <c r="H183" s="6" t="inlineStr">
        <is>
          <t>1</t>
        </is>
      </c>
      <c r="K183" s="5" t="inlineStr">
        <is>
          <t xml:space="preserve">; </t>
        </is>
      </c>
      <c r="M183" s="5" t="inlineStr">
        <is>
          <t>100.0</t>
        </is>
      </c>
      <c r="N183" s="5" t="inlineStr">
        <is>
          <t>YES</t>
        </is>
      </c>
    </row>
    <row r="184">
      <c r="A184" s="6" t="n">
        <v>224</v>
      </c>
      <c r="B184" s="5" t="inlineStr">
        <is>
          <t>S3</t>
        </is>
      </c>
      <c r="C184" s="5" t="inlineStr">
        <is>
          <t>7: Macrophage-state and cytokine-balancing matrices</t>
        </is>
      </c>
      <c r="D184" s="5" t="inlineStr">
        <is>
          <t>Immunomodulatory hydrogel orchestrates pro-regenerative response of macrophages and angiogenesis for chronic wound healing</t>
        </is>
      </c>
      <c r="E184" s="5" t="inlineStr">
        <is>
          <t>10.1016/j.biomaterials.2024.122848</t>
        </is>
      </c>
      <c r="F184" s="5" t="inlineStr">
        <is>
          <t>Immune-programming</t>
        </is>
      </c>
      <c r="G184" s="5" t="inlineStr">
        <is>
          <t>Inflammation or macrophage modulation</t>
        </is>
      </c>
      <c r="H184" s="6" t="inlineStr">
        <is>
          <t>1</t>
        </is>
      </c>
      <c r="K184" s="5" t="inlineStr">
        <is>
          <t xml:space="preserve">; </t>
        </is>
      </c>
      <c r="M184" s="5" t="inlineStr">
        <is>
          <t>100.0</t>
        </is>
      </c>
      <c r="N184" s="5" t="inlineStr">
        <is>
          <t>YES</t>
        </is>
      </c>
    </row>
    <row r="185">
      <c r="A185" s="6" t="n">
        <v>224</v>
      </c>
      <c r="B185" s="5" t="inlineStr">
        <is>
          <t>S3</t>
        </is>
      </c>
      <c r="C185" s="5" t="inlineStr">
        <is>
          <t>7: Macrophage-state and cytokine-balancing matrices</t>
        </is>
      </c>
      <c r="D185" s="5" t="inlineStr">
        <is>
          <t>Immunomodulatory hydrogel orchestrates pro-regenerative response of macrophages and angiogenesis for chronic wound healing</t>
        </is>
      </c>
      <c r="E185" s="5" t="inlineStr">
        <is>
          <t>10.1016/j.biomaterials.2024.122848</t>
        </is>
      </c>
      <c r="F185" s="5" t="inlineStr">
        <is>
          <t>Immune-programming</t>
        </is>
      </c>
      <c r="G185" s="5" t="inlineStr">
        <is>
          <t>Angiogenesis</t>
        </is>
      </c>
      <c r="H185" s="6" t="inlineStr">
        <is>
          <t>1</t>
        </is>
      </c>
      <c r="K185" s="5" t="inlineStr">
        <is>
          <t xml:space="preserve">; </t>
        </is>
      </c>
      <c r="M185" s="5" t="inlineStr">
        <is>
          <t>100.0</t>
        </is>
      </c>
      <c r="N185" s="5" t="inlineStr">
        <is>
          <t>YES</t>
        </is>
      </c>
    </row>
    <row r="186">
      <c r="A186" s="6" t="n">
        <v>224</v>
      </c>
      <c r="B186" s="5" t="inlineStr">
        <is>
          <t>S3</t>
        </is>
      </c>
      <c r="C186" s="5" t="inlineStr">
        <is>
          <t>7: Macrophage-state and cytokine-balancing matrices</t>
        </is>
      </c>
      <c r="D186" s="5" t="inlineStr">
        <is>
          <t>Immunomodulatory hydrogel orchestrates pro-regenerative response of macrophages and angiogenesis for chronic wound healing</t>
        </is>
      </c>
      <c r="E186" s="5" t="inlineStr">
        <is>
          <t>10.1016/j.biomaterials.2024.122848</t>
        </is>
      </c>
      <c r="F186" s="5" t="inlineStr">
        <is>
          <t>Immune-programming</t>
        </is>
      </c>
      <c r="G186" s="5" t="inlineStr">
        <is>
          <t>Collagen or matrix remodeling</t>
        </is>
      </c>
      <c r="H186" s="6" t="inlineStr">
        <is>
          <t>1</t>
        </is>
      </c>
      <c r="K186" s="5" t="inlineStr">
        <is>
          <t xml:space="preserve">; </t>
        </is>
      </c>
      <c r="M186" s="5" t="inlineStr">
        <is>
          <t>100.0</t>
        </is>
      </c>
      <c r="N186" s="5" t="inlineStr">
        <is>
          <t>YES</t>
        </is>
      </c>
    </row>
    <row r="187">
      <c r="A187" s="6" t="n">
        <v>224</v>
      </c>
      <c r="B187" s="5" t="inlineStr">
        <is>
          <t>S3</t>
        </is>
      </c>
      <c r="C187" s="5" t="inlineStr">
        <is>
          <t>7: Macrophage-state and cytokine-balancing matrices</t>
        </is>
      </c>
      <c r="D187" s="5" t="inlineStr">
        <is>
          <t>Immunomodulatory hydrogel orchestrates pro-regenerative response of macrophages and angiogenesis for chronic wound healing</t>
        </is>
      </c>
      <c r="E187" s="5" t="inlineStr">
        <is>
          <t>10.1016/j.biomaterials.2024.122848</t>
        </is>
      </c>
      <c r="F187" s="5" t="inlineStr">
        <is>
          <t>Immune-programming</t>
        </is>
      </c>
      <c r="G187" s="5" t="inlineStr">
        <is>
          <t>Re-epithelialization</t>
        </is>
      </c>
      <c r="H187" s="6" t="inlineStr">
        <is>
          <t>1</t>
        </is>
      </c>
      <c r="K187" s="5" t="inlineStr">
        <is>
          <t xml:space="preserve">; </t>
        </is>
      </c>
      <c r="M187" s="5" t="inlineStr">
        <is>
          <t>100.0</t>
        </is>
      </c>
      <c r="N187" s="5" t="inlineStr">
        <is>
          <t>YES</t>
        </is>
      </c>
    </row>
    <row r="188">
      <c r="A188" s="6" t="n">
        <v>224</v>
      </c>
      <c r="B188" s="5" t="inlineStr">
        <is>
          <t>S3</t>
        </is>
      </c>
      <c r="C188" s="5" t="inlineStr">
        <is>
          <t>7: Macrophage-state and cytokine-balancing matrices</t>
        </is>
      </c>
      <c r="D188" s="5" t="inlineStr">
        <is>
          <t>Immunomodulatory hydrogel orchestrates pro-regenerative response of macrophages and angiogenesis for chronic wound healing</t>
        </is>
      </c>
      <c r="E188" s="5" t="inlineStr">
        <is>
          <t>10.1016/j.biomaterials.2024.122848</t>
        </is>
      </c>
      <c r="F188" s="5" t="inlineStr">
        <is>
          <t>Immune-programming</t>
        </is>
      </c>
      <c r="G188" s="5" t="inlineStr">
        <is>
          <t>Wound closure</t>
        </is>
      </c>
      <c r="H188" s="6" t="inlineStr">
        <is>
          <t>1</t>
        </is>
      </c>
      <c r="K188" s="5" t="inlineStr">
        <is>
          <t xml:space="preserve">; </t>
        </is>
      </c>
      <c r="M188" s="5" t="inlineStr">
        <is>
          <t>100.0</t>
        </is>
      </c>
      <c r="N188" s="5" t="inlineStr">
        <is>
          <t>YES</t>
        </is>
      </c>
    </row>
    <row r="189">
      <c r="A189" s="6" t="n">
        <v>224</v>
      </c>
      <c r="B189" s="5" t="inlineStr">
        <is>
          <t>S3</t>
        </is>
      </c>
      <c r="C189" s="5" t="inlineStr">
        <is>
          <t>7: Macrophage-state and cytokine-balancing matrices</t>
        </is>
      </c>
      <c r="D189" s="5" t="inlineStr">
        <is>
          <t>Immunomodulatory hydrogel orchestrates pro-regenerative response of macrophages and angiogenesis for chronic wound healing</t>
        </is>
      </c>
      <c r="E189" s="5" t="inlineStr">
        <is>
          <t>10.1016/j.biomaterials.2024.122848</t>
        </is>
      </c>
      <c r="F189" s="5" t="inlineStr">
        <is>
          <t>Immune-programming</t>
        </is>
      </c>
      <c r="G189" s="5" t="inlineStr">
        <is>
          <t>Safety or cytocompatibility</t>
        </is>
      </c>
      <c r="H189" s="6" t="inlineStr">
        <is>
          <t>1</t>
        </is>
      </c>
      <c r="K189" s="5" t="inlineStr">
        <is>
          <t xml:space="preserve">; </t>
        </is>
      </c>
      <c r="M189" s="5" t="inlineStr">
        <is>
          <t>100.0</t>
        </is>
      </c>
      <c r="N189" s="5" t="inlineStr">
        <is>
          <t>YES</t>
        </is>
      </c>
    </row>
    <row r="190">
      <c r="A190" s="6" t="n">
        <v>225</v>
      </c>
      <c r="B190" s="5" t="inlineStr">
        <is>
          <t>S3</t>
        </is>
      </c>
      <c r="C190" s="5" t="inlineStr">
        <is>
          <t>7: Macrophage-state and cytokine-balancing matrices</t>
        </is>
      </c>
      <c r="D190" s="5" t="inlineStr">
        <is>
          <t>Immunoregulatory hydrogel decorated with Tannic acid/Ferric ion accelerates diabetic wound healing via regulating Macrophage polarization</t>
        </is>
      </c>
      <c r="E190" s="5" t="inlineStr">
        <is>
          <t>10.1016/j.cej.2023.143173</t>
        </is>
      </c>
      <c r="F190" s="5" t="inlineStr">
        <is>
          <t>Immune-programming</t>
        </is>
      </c>
      <c r="G190" s="5" t="inlineStr">
        <is>
          <t>Release kinetics measured</t>
        </is>
      </c>
      <c r="H190" s="6" t="inlineStr">
        <is>
          <t>1</t>
        </is>
      </c>
      <c r="K190" s="5" t="inlineStr">
        <is>
          <t xml:space="preserve">; </t>
        </is>
      </c>
      <c r="M190" s="5" t="inlineStr">
        <is>
          <t>100.0</t>
        </is>
      </c>
      <c r="N190" s="5" t="inlineStr">
        <is>
          <t>YES</t>
        </is>
      </c>
    </row>
    <row r="191">
      <c r="A191" s="6" t="n">
        <v>225</v>
      </c>
      <c r="B191" s="5" t="inlineStr">
        <is>
          <t>S3</t>
        </is>
      </c>
      <c r="C191" s="5" t="inlineStr">
        <is>
          <t>7: Macrophage-state and cytokine-balancing matrices</t>
        </is>
      </c>
      <c r="D191" s="5" t="inlineStr">
        <is>
          <t>Immunoregulatory hydrogel decorated with Tannic acid/Ferric ion accelerates diabetic wound healing via regulating Macrophage polarization</t>
        </is>
      </c>
      <c r="E191" s="5" t="inlineStr">
        <is>
          <t>10.1016/j.cej.2023.143173</t>
        </is>
      </c>
      <c r="F191" s="5" t="inlineStr">
        <is>
          <t>Immune-programming</t>
        </is>
      </c>
      <c r="G191" s="5" t="inlineStr">
        <is>
          <t>Antimicrobial or biofilm control</t>
        </is>
      </c>
      <c r="H191" s="6" t="inlineStr">
        <is>
          <t>1</t>
        </is>
      </c>
      <c r="K191" s="5" t="inlineStr">
        <is>
          <t xml:space="preserve">; </t>
        </is>
      </c>
      <c r="M191" s="5" t="inlineStr">
        <is>
          <t>100.0</t>
        </is>
      </c>
      <c r="N191" s="5" t="inlineStr">
        <is>
          <t>YES</t>
        </is>
      </c>
    </row>
    <row r="192">
      <c r="A192" s="6" t="n">
        <v>225</v>
      </c>
      <c r="B192" s="5" t="inlineStr">
        <is>
          <t>S3</t>
        </is>
      </c>
      <c r="C192" s="5" t="inlineStr">
        <is>
          <t>7: Macrophage-state and cytokine-balancing matrices</t>
        </is>
      </c>
      <c r="D192" s="5" t="inlineStr">
        <is>
          <t>Immunoregulatory hydrogel decorated with Tannic acid/Ferric ion accelerates diabetic wound healing via regulating Macrophage polarization</t>
        </is>
      </c>
      <c r="E192" s="5" t="inlineStr">
        <is>
          <t>10.1016/j.cej.2023.143173</t>
        </is>
      </c>
      <c r="F192" s="5" t="inlineStr">
        <is>
          <t>Immune-programming</t>
        </is>
      </c>
      <c r="G192" s="5" t="inlineStr">
        <is>
          <t>Inflammation or macrophage modulation</t>
        </is>
      </c>
      <c r="H192" s="6" t="inlineStr">
        <is>
          <t>1</t>
        </is>
      </c>
      <c r="K192" s="5" t="inlineStr">
        <is>
          <t xml:space="preserve">; </t>
        </is>
      </c>
      <c r="M192" s="5" t="inlineStr">
        <is>
          <t>100.0</t>
        </is>
      </c>
      <c r="N192" s="5" t="inlineStr">
        <is>
          <t>YES</t>
        </is>
      </c>
    </row>
    <row r="193">
      <c r="A193" s="6" t="n">
        <v>225</v>
      </c>
      <c r="B193" s="5" t="inlineStr">
        <is>
          <t>S3</t>
        </is>
      </c>
      <c r="C193" s="5" t="inlineStr">
        <is>
          <t>7: Macrophage-state and cytokine-balancing matrices</t>
        </is>
      </c>
      <c r="D193" s="5" t="inlineStr">
        <is>
          <t>Immunoregulatory hydrogel decorated with Tannic acid/Ferric ion accelerates diabetic wound healing via regulating Macrophage polarization</t>
        </is>
      </c>
      <c r="E193" s="5" t="inlineStr">
        <is>
          <t>10.1016/j.cej.2023.143173</t>
        </is>
      </c>
      <c r="F193" s="5" t="inlineStr">
        <is>
          <t>Immune-programming</t>
        </is>
      </c>
      <c r="G193" s="5" t="inlineStr">
        <is>
          <t>Angiogenesis</t>
        </is>
      </c>
      <c r="H193" s="6" t="inlineStr">
        <is>
          <t>1</t>
        </is>
      </c>
      <c r="K193" s="5" t="inlineStr">
        <is>
          <t xml:space="preserve">; </t>
        </is>
      </c>
      <c r="M193" s="5" t="inlineStr">
        <is>
          <t>100.0</t>
        </is>
      </c>
      <c r="N193" s="5" t="inlineStr">
        <is>
          <t>YES</t>
        </is>
      </c>
    </row>
    <row r="194">
      <c r="A194" s="6" t="n">
        <v>225</v>
      </c>
      <c r="B194" s="5" t="inlineStr">
        <is>
          <t>S3</t>
        </is>
      </c>
      <c r="C194" s="5" t="inlineStr">
        <is>
          <t>7: Macrophage-state and cytokine-balancing matrices</t>
        </is>
      </c>
      <c r="D194" s="5" t="inlineStr">
        <is>
          <t>Immunoregulatory hydrogel decorated with Tannic acid/Ferric ion accelerates diabetic wound healing via regulating Macrophage polarization</t>
        </is>
      </c>
      <c r="E194" s="5" t="inlineStr">
        <is>
          <t>10.1016/j.cej.2023.143173</t>
        </is>
      </c>
      <c r="F194" s="5" t="inlineStr">
        <is>
          <t>Immune-programming</t>
        </is>
      </c>
      <c r="G194" s="5" t="inlineStr">
        <is>
          <t>Collagen or matrix remodeling</t>
        </is>
      </c>
      <c r="H194" s="6" t="inlineStr">
        <is>
          <t>1</t>
        </is>
      </c>
      <c r="K194" s="5" t="inlineStr">
        <is>
          <t xml:space="preserve">; </t>
        </is>
      </c>
      <c r="M194" s="5" t="inlineStr">
        <is>
          <t>100.0</t>
        </is>
      </c>
      <c r="N194" s="5" t="inlineStr">
        <is>
          <t>YES</t>
        </is>
      </c>
    </row>
    <row r="195">
      <c r="A195" s="6" t="n">
        <v>225</v>
      </c>
      <c r="B195" s="5" t="inlineStr">
        <is>
          <t>S3</t>
        </is>
      </c>
      <c r="C195" s="5" t="inlineStr">
        <is>
          <t>7: Macrophage-state and cytokine-balancing matrices</t>
        </is>
      </c>
      <c r="D195" s="5" t="inlineStr">
        <is>
          <t>Immunoregulatory hydrogel decorated with Tannic acid/Ferric ion accelerates diabetic wound healing via regulating Macrophage polarization</t>
        </is>
      </c>
      <c r="E195" s="5" t="inlineStr">
        <is>
          <t>10.1016/j.cej.2023.143173</t>
        </is>
      </c>
      <c r="F195" s="5" t="inlineStr">
        <is>
          <t>Immune-programming</t>
        </is>
      </c>
      <c r="G195" s="5" t="inlineStr">
        <is>
          <t>Re-epithelialization</t>
        </is>
      </c>
      <c r="H195" s="6" t="inlineStr">
        <is>
          <t>1</t>
        </is>
      </c>
      <c r="K195" s="5" t="inlineStr">
        <is>
          <t xml:space="preserve">; </t>
        </is>
      </c>
      <c r="M195" s="5" t="inlineStr">
        <is>
          <t>100.0</t>
        </is>
      </c>
      <c r="N195" s="5" t="inlineStr">
        <is>
          <t>YES</t>
        </is>
      </c>
    </row>
    <row r="196">
      <c r="A196" s="6" t="n">
        <v>225</v>
      </c>
      <c r="B196" s="5" t="inlineStr">
        <is>
          <t>S3</t>
        </is>
      </c>
      <c r="C196" s="5" t="inlineStr">
        <is>
          <t>7: Macrophage-state and cytokine-balancing matrices</t>
        </is>
      </c>
      <c r="D196" s="5" t="inlineStr">
        <is>
          <t>Immunoregulatory hydrogel decorated with Tannic acid/Ferric ion accelerates diabetic wound healing via regulating Macrophage polarization</t>
        </is>
      </c>
      <c r="E196" s="5" t="inlineStr">
        <is>
          <t>10.1016/j.cej.2023.143173</t>
        </is>
      </c>
      <c r="F196" s="5" t="inlineStr">
        <is>
          <t>Immune-programming</t>
        </is>
      </c>
      <c r="G196" s="5" t="inlineStr">
        <is>
          <t>Wound closure</t>
        </is>
      </c>
      <c r="H196" s="6" t="inlineStr">
        <is>
          <t>1</t>
        </is>
      </c>
      <c r="K196" s="5" t="inlineStr">
        <is>
          <t xml:space="preserve">; </t>
        </is>
      </c>
      <c r="M196" s="5" t="inlineStr">
        <is>
          <t>100.0</t>
        </is>
      </c>
      <c r="N196" s="5" t="inlineStr">
        <is>
          <t>YES</t>
        </is>
      </c>
    </row>
    <row r="197">
      <c r="A197" s="6" t="n">
        <v>225</v>
      </c>
      <c r="B197" s="5" t="inlineStr">
        <is>
          <t>S3</t>
        </is>
      </c>
      <c r="C197" s="5" t="inlineStr">
        <is>
          <t>7: Macrophage-state and cytokine-balancing matrices</t>
        </is>
      </c>
      <c r="D197" s="5" t="inlineStr">
        <is>
          <t>Immunoregulatory hydrogel decorated with Tannic acid/Ferric ion accelerates diabetic wound healing via regulating Macrophage polarization</t>
        </is>
      </c>
      <c r="E197" s="5" t="inlineStr">
        <is>
          <t>10.1016/j.cej.2023.143173</t>
        </is>
      </c>
      <c r="F197" s="5" t="inlineStr">
        <is>
          <t>Immune-programming</t>
        </is>
      </c>
      <c r="G197" s="5" t="inlineStr">
        <is>
          <t>Safety or cytocompatibility</t>
        </is>
      </c>
      <c r="H197" s="6" t="inlineStr">
        <is>
          <t>1</t>
        </is>
      </c>
      <c r="K197" s="5" t="inlineStr">
        <is>
          <t xml:space="preserve">; </t>
        </is>
      </c>
      <c r="M197" s="5" t="inlineStr">
        <is>
          <t>100.0</t>
        </is>
      </c>
      <c r="N197" s="5" t="inlineStr">
        <is>
          <t>YES</t>
        </is>
      </c>
    </row>
    <row r="198">
      <c r="A198" s="6" t="n">
        <v>226</v>
      </c>
      <c r="B198" s="5" t="inlineStr">
        <is>
          <t>S3</t>
        </is>
      </c>
      <c r="C198" s="5" t="inlineStr">
        <is>
          <t>7: Macrophage-state and cytokine-balancing matrices</t>
        </is>
      </c>
      <c r="D198" s="5" t="inlineStr">
        <is>
          <t>Extracellular matrix‐mimetic immunomodulatory hydrogel for accelerating wound healing</t>
        </is>
      </c>
      <c r="E198" s="5" t="inlineStr">
        <is>
          <t>10.1002/adhm.202301264</t>
        </is>
      </c>
      <c r="F198" s="5" t="inlineStr">
        <is>
          <t>Immune-programming</t>
        </is>
      </c>
      <c r="G198" s="5" t="inlineStr">
        <is>
          <t>Release kinetics measured</t>
        </is>
      </c>
      <c r="H198" s="6" t="inlineStr">
        <is>
          <t>1</t>
        </is>
      </c>
      <c r="K198" s="5" t="inlineStr">
        <is>
          <t xml:space="preserve">; </t>
        </is>
      </c>
      <c r="M198" s="5" t="inlineStr">
        <is>
          <t>100.0</t>
        </is>
      </c>
      <c r="N198" s="5" t="inlineStr">
        <is>
          <t>YES</t>
        </is>
      </c>
    </row>
    <row r="199">
      <c r="A199" s="6" t="n">
        <v>226</v>
      </c>
      <c r="B199" s="5" t="inlineStr">
        <is>
          <t>S3</t>
        </is>
      </c>
      <c r="C199" s="5" t="inlineStr">
        <is>
          <t>7: Macrophage-state and cytokine-balancing matrices</t>
        </is>
      </c>
      <c r="D199" s="5" t="inlineStr">
        <is>
          <t>Extracellular matrix‐mimetic immunomodulatory hydrogel for accelerating wound healing</t>
        </is>
      </c>
      <c r="E199" s="5" t="inlineStr">
        <is>
          <t>10.1002/adhm.202301264</t>
        </is>
      </c>
      <c r="F199" s="5" t="inlineStr">
        <is>
          <t>Immune-programming</t>
        </is>
      </c>
      <c r="G199" s="5" t="inlineStr">
        <is>
          <t>Antimicrobial or biofilm control</t>
        </is>
      </c>
      <c r="H199" s="6" t="inlineStr">
        <is>
          <t>1</t>
        </is>
      </c>
      <c r="K199" s="5" t="inlineStr">
        <is>
          <t xml:space="preserve">; </t>
        </is>
      </c>
      <c r="M199" s="5" t="inlineStr">
        <is>
          <t>100.0</t>
        </is>
      </c>
      <c r="N199" s="5" t="inlineStr">
        <is>
          <t>YES</t>
        </is>
      </c>
    </row>
    <row r="200">
      <c r="A200" s="6" t="n">
        <v>226</v>
      </c>
      <c r="B200" s="5" t="inlineStr">
        <is>
          <t>S3</t>
        </is>
      </c>
      <c r="C200" s="5" t="inlineStr">
        <is>
          <t>7: Macrophage-state and cytokine-balancing matrices</t>
        </is>
      </c>
      <c r="D200" s="5" t="inlineStr">
        <is>
          <t>Extracellular matrix‐mimetic immunomodulatory hydrogel for accelerating wound healing</t>
        </is>
      </c>
      <c r="E200" s="5" t="inlineStr">
        <is>
          <t>10.1002/adhm.202301264</t>
        </is>
      </c>
      <c r="F200" s="5" t="inlineStr">
        <is>
          <t>Immune-programming</t>
        </is>
      </c>
      <c r="G200" s="5" t="inlineStr">
        <is>
          <t>Inflammation or macrophage modulation</t>
        </is>
      </c>
      <c r="H200" s="6" t="inlineStr">
        <is>
          <t>1</t>
        </is>
      </c>
      <c r="K200" s="5" t="inlineStr">
        <is>
          <t xml:space="preserve">; </t>
        </is>
      </c>
      <c r="M200" s="5" t="inlineStr">
        <is>
          <t>100.0</t>
        </is>
      </c>
      <c r="N200" s="5" t="inlineStr">
        <is>
          <t>YES</t>
        </is>
      </c>
    </row>
    <row r="201">
      <c r="A201" s="6" t="n">
        <v>226</v>
      </c>
      <c r="B201" s="5" t="inlineStr">
        <is>
          <t>S3</t>
        </is>
      </c>
      <c r="C201" s="5" t="inlineStr">
        <is>
          <t>7: Macrophage-state and cytokine-balancing matrices</t>
        </is>
      </c>
      <c r="D201" s="5" t="inlineStr">
        <is>
          <t>Extracellular matrix‐mimetic immunomodulatory hydrogel for accelerating wound healing</t>
        </is>
      </c>
      <c r="E201" s="5" t="inlineStr">
        <is>
          <t>10.1002/adhm.202301264</t>
        </is>
      </c>
      <c r="F201" s="5" t="inlineStr">
        <is>
          <t>Immune-programming</t>
        </is>
      </c>
      <c r="G201" s="5" t="inlineStr">
        <is>
          <t>Angiogenesis</t>
        </is>
      </c>
      <c r="H201" s="6" t="inlineStr">
        <is>
          <t>1</t>
        </is>
      </c>
      <c r="K201" s="5" t="inlineStr">
        <is>
          <t xml:space="preserve">; </t>
        </is>
      </c>
      <c r="M201" s="5" t="inlineStr">
        <is>
          <t>100.0</t>
        </is>
      </c>
      <c r="N201" s="5" t="inlineStr">
        <is>
          <t>YES</t>
        </is>
      </c>
    </row>
    <row r="202">
      <c r="A202" s="6" t="n">
        <v>226</v>
      </c>
      <c r="B202" s="5" t="inlineStr">
        <is>
          <t>S3</t>
        </is>
      </c>
      <c r="C202" s="5" t="inlineStr">
        <is>
          <t>7: Macrophage-state and cytokine-balancing matrices</t>
        </is>
      </c>
      <c r="D202" s="5" t="inlineStr">
        <is>
          <t>Extracellular matrix‐mimetic immunomodulatory hydrogel for accelerating wound healing</t>
        </is>
      </c>
      <c r="E202" s="5" t="inlineStr">
        <is>
          <t>10.1002/adhm.202301264</t>
        </is>
      </c>
      <c r="F202" s="5" t="inlineStr">
        <is>
          <t>Immune-programming</t>
        </is>
      </c>
      <c r="G202" s="5" t="inlineStr">
        <is>
          <t>Wound closure</t>
        </is>
      </c>
      <c r="H202" s="6" t="inlineStr">
        <is>
          <t>1</t>
        </is>
      </c>
      <c r="K202" s="5" t="inlineStr">
        <is>
          <t xml:space="preserve">; </t>
        </is>
      </c>
      <c r="M202" s="5" t="inlineStr">
        <is>
          <t>100.0</t>
        </is>
      </c>
      <c r="N202" s="5" t="inlineStr">
        <is>
          <t>YES</t>
        </is>
      </c>
    </row>
    <row r="203">
      <c r="A203" s="6" t="n">
        <v>226</v>
      </c>
      <c r="B203" s="5" t="inlineStr">
        <is>
          <t>S3</t>
        </is>
      </c>
      <c r="C203" s="5" t="inlineStr">
        <is>
          <t>7: Macrophage-state and cytokine-balancing matrices</t>
        </is>
      </c>
      <c r="D203" s="5" t="inlineStr">
        <is>
          <t>Extracellular matrix‐mimetic immunomodulatory hydrogel for accelerating wound healing</t>
        </is>
      </c>
      <c r="E203" s="5" t="inlineStr">
        <is>
          <t>10.1002/adhm.202301264</t>
        </is>
      </c>
      <c r="F203" s="5" t="inlineStr">
        <is>
          <t>Immune-programming</t>
        </is>
      </c>
      <c r="G203" s="5" t="inlineStr">
        <is>
          <t>Safety or cytocompatibility</t>
        </is>
      </c>
      <c r="H203" s="6" t="inlineStr">
        <is>
          <t>1</t>
        </is>
      </c>
      <c r="K203" s="5" t="inlineStr">
        <is>
          <t xml:space="preserve">; </t>
        </is>
      </c>
      <c r="M203" s="5" t="inlineStr">
        <is>
          <t>100.0</t>
        </is>
      </c>
      <c r="N203" s="5" t="inlineStr">
        <is>
          <t>YES</t>
        </is>
      </c>
    </row>
    <row r="204">
      <c r="A204" s="6" t="n">
        <v>227</v>
      </c>
      <c r="B204" s="5" t="inlineStr">
        <is>
          <t>S3</t>
        </is>
      </c>
      <c r="C204" s="5" t="inlineStr">
        <is>
          <t>7: Macrophage-state and cytokine-balancing matrices</t>
        </is>
      </c>
      <c r="D204" s="5" t="inlineStr">
        <is>
          <t>Bioinspired design of mannose-decorated globular lysine dendrimers promotes diabetic wound healing by orchestrating appropriate macrophage polarization</t>
        </is>
      </c>
      <c r="E204" s="5" t="inlineStr">
        <is>
          <t>10.1016/j.biomaterials.2021.121323</t>
        </is>
      </c>
      <c r="F204" s="5" t="inlineStr">
        <is>
          <t>Immune-programming</t>
        </is>
      </c>
      <c r="G204" s="5" t="inlineStr">
        <is>
          <t>Release kinetics measured</t>
        </is>
      </c>
      <c r="H204" s="6" t="inlineStr">
        <is>
          <t>1</t>
        </is>
      </c>
      <c r="K204" s="5" t="inlineStr">
        <is>
          <t xml:space="preserve">; </t>
        </is>
      </c>
      <c r="M204" s="5" t="inlineStr">
        <is>
          <t>100.0</t>
        </is>
      </c>
      <c r="N204" s="5" t="inlineStr">
        <is>
          <t>YES</t>
        </is>
      </c>
    </row>
    <row r="205">
      <c r="A205" s="6" t="n">
        <v>227</v>
      </c>
      <c r="B205" s="5" t="inlineStr">
        <is>
          <t>S3</t>
        </is>
      </c>
      <c r="C205" s="5" t="inlineStr">
        <is>
          <t>7: Macrophage-state and cytokine-balancing matrices</t>
        </is>
      </c>
      <c r="D205" s="5" t="inlineStr">
        <is>
          <t>Bioinspired design of mannose-decorated globular lysine dendrimers promotes diabetic wound healing by orchestrating appropriate macrophage polarization</t>
        </is>
      </c>
      <c r="E205" s="5" t="inlineStr">
        <is>
          <t>10.1016/j.biomaterials.2021.121323</t>
        </is>
      </c>
      <c r="F205" s="5" t="inlineStr">
        <is>
          <t>Immune-programming</t>
        </is>
      </c>
      <c r="G205" s="5" t="inlineStr">
        <is>
          <t>Antimicrobial or biofilm control</t>
        </is>
      </c>
      <c r="H205" s="6" t="inlineStr">
        <is>
          <t>1</t>
        </is>
      </c>
      <c r="K205" s="5" t="inlineStr">
        <is>
          <t xml:space="preserve">; </t>
        </is>
      </c>
      <c r="M205" s="5" t="inlineStr">
        <is>
          <t>100.0</t>
        </is>
      </c>
      <c r="N205" s="5" t="inlineStr">
        <is>
          <t>YES</t>
        </is>
      </c>
    </row>
    <row r="206">
      <c r="A206" s="6" t="n">
        <v>227</v>
      </c>
      <c r="B206" s="5" t="inlineStr">
        <is>
          <t>S3</t>
        </is>
      </c>
      <c r="C206" s="5" t="inlineStr">
        <is>
          <t>7: Macrophage-state and cytokine-balancing matrices</t>
        </is>
      </c>
      <c r="D206" s="5" t="inlineStr">
        <is>
          <t>Bioinspired design of mannose-decorated globular lysine dendrimers promotes diabetic wound healing by orchestrating appropriate macrophage polarization</t>
        </is>
      </c>
      <c r="E206" s="5" t="inlineStr">
        <is>
          <t>10.1016/j.biomaterials.2021.121323</t>
        </is>
      </c>
      <c r="F206" s="5" t="inlineStr">
        <is>
          <t>Immune-programming</t>
        </is>
      </c>
      <c r="G206" s="5" t="inlineStr">
        <is>
          <t>Inflammation or macrophage modulation</t>
        </is>
      </c>
      <c r="H206" s="6" t="inlineStr">
        <is>
          <t>1</t>
        </is>
      </c>
      <c r="K206" s="5" t="inlineStr">
        <is>
          <t xml:space="preserve">; </t>
        </is>
      </c>
      <c r="M206" s="5" t="inlineStr">
        <is>
          <t>100.0</t>
        </is>
      </c>
      <c r="N206" s="5" t="inlineStr">
        <is>
          <t>YES</t>
        </is>
      </c>
    </row>
    <row r="207">
      <c r="A207" s="6" t="n">
        <v>227</v>
      </c>
      <c r="B207" s="5" t="inlineStr">
        <is>
          <t>S3</t>
        </is>
      </c>
      <c r="C207" s="5" t="inlineStr">
        <is>
          <t>7: Macrophage-state and cytokine-balancing matrices</t>
        </is>
      </c>
      <c r="D207" s="5" t="inlineStr">
        <is>
          <t>Bioinspired design of mannose-decorated globular lysine dendrimers promotes diabetic wound healing by orchestrating appropriate macrophage polarization</t>
        </is>
      </c>
      <c r="E207" s="5" t="inlineStr">
        <is>
          <t>10.1016/j.biomaterials.2021.121323</t>
        </is>
      </c>
      <c r="F207" s="5" t="inlineStr">
        <is>
          <t>Immune-programming</t>
        </is>
      </c>
      <c r="G207" s="5" t="inlineStr">
        <is>
          <t>Angiogenesis</t>
        </is>
      </c>
      <c r="H207" s="6" t="inlineStr">
        <is>
          <t>1</t>
        </is>
      </c>
      <c r="K207" s="5" t="inlineStr">
        <is>
          <t xml:space="preserve">; </t>
        </is>
      </c>
      <c r="M207" s="5" t="inlineStr">
        <is>
          <t>100.0</t>
        </is>
      </c>
      <c r="N207" s="5" t="inlineStr">
        <is>
          <t>YES</t>
        </is>
      </c>
    </row>
    <row r="208">
      <c r="A208" s="6" t="n">
        <v>227</v>
      </c>
      <c r="B208" s="5" t="inlineStr">
        <is>
          <t>S3</t>
        </is>
      </c>
      <c r="C208" s="5" t="inlineStr">
        <is>
          <t>7: Macrophage-state and cytokine-balancing matrices</t>
        </is>
      </c>
      <c r="D208" s="5" t="inlineStr">
        <is>
          <t>Bioinspired design of mannose-decorated globular lysine dendrimers promotes diabetic wound healing by orchestrating appropriate macrophage polarization</t>
        </is>
      </c>
      <c r="E208" s="5" t="inlineStr">
        <is>
          <t>10.1016/j.biomaterials.2021.121323</t>
        </is>
      </c>
      <c r="F208" s="5" t="inlineStr">
        <is>
          <t>Immune-programming</t>
        </is>
      </c>
      <c r="G208" s="5" t="inlineStr">
        <is>
          <t>Collagen or matrix remodeling</t>
        </is>
      </c>
      <c r="H208" s="6" t="inlineStr">
        <is>
          <t>1</t>
        </is>
      </c>
      <c r="K208" s="5" t="inlineStr">
        <is>
          <t xml:space="preserve">; </t>
        </is>
      </c>
      <c r="M208" s="5" t="inlineStr">
        <is>
          <t>100.0</t>
        </is>
      </c>
      <c r="N208" s="5" t="inlineStr">
        <is>
          <t>YES</t>
        </is>
      </c>
    </row>
    <row r="209">
      <c r="A209" s="6" t="n">
        <v>227</v>
      </c>
      <c r="B209" s="5" t="inlineStr">
        <is>
          <t>S3</t>
        </is>
      </c>
      <c r="C209" s="5" t="inlineStr">
        <is>
          <t>7: Macrophage-state and cytokine-balancing matrices</t>
        </is>
      </c>
      <c r="D209" s="5" t="inlineStr">
        <is>
          <t>Bioinspired design of mannose-decorated globular lysine dendrimers promotes diabetic wound healing by orchestrating appropriate macrophage polarization</t>
        </is>
      </c>
      <c r="E209" s="5" t="inlineStr">
        <is>
          <t>10.1016/j.biomaterials.2021.121323</t>
        </is>
      </c>
      <c r="F209" s="5" t="inlineStr">
        <is>
          <t>Immune-programming</t>
        </is>
      </c>
      <c r="G209" s="5" t="inlineStr">
        <is>
          <t>Wound closure</t>
        </is>
      </c>
      <c r="H209" s="6" t="inlineStr">
        <is>
          <t>1</t>
        </is>
      </c>
      <c r="K209" s="5" t="inlineStr">
        <is>
          <t xml:space="preserve">; </t>
        </is>
      </c>
      <c r="M209" s="5" t="inlineStr">
        <is>
          <t>100.0</t>
        </is>
      </c>
      <c r="N209" s="5" t="inlineStr">
        <is>
          <t>YES</t>
        </is>
      </c>
    </row>
    <row r="210">
      <c r="A210" s="6" t="n">
        <v>227</v>
      </c>
      <c r="B210" s="5" t="inlineStr">
        <is>
          <t>S3</t>
        </is>
      </c>
      <c r="C210" s="5" t="inlineStr">
        <is>
          <t>7: Macrophage-state and cytokine-balancing matrices</t>
        </is>
      </c>
      <c r="D210" s="5" t="inlineStr">
        <is>
          <t>Bioinspired design of mannose-decorated globular lysine dendrimers promotes diabetic wound healing by orchestrating appropriate macrophage polarization</t>
        </is>
      </c>
      <c r="E210" s="5" t="inlineStr">
        <is>
          <t>10.1016/j.biomaterials.2021.121323</t>
        </is>
      </c>
      <c r="F210" s="5" t="inlineStr">
        <is>
          <t>Immune-programming</t>
        </is>
      </c>
      <c r="G210" s="5" t="inlineStr">
        <is>
          <t>Safety or cytocompatibility</t>
        </is>
      </c>
      <c r="H210" s="6" t="inlineStr">
        <is>
          <t>1</t>
        </is>
      </c>
      <c r="K210" s="5" t="inlineStr">
        <is>
          <t xml:space="preserve">; </t>
        </is>
      </c>
      <c r="M210" s="5" t="inlineStr">
        <is>
          <t>100.0</t>
        </is>
      </c>
      <c r="N210" s="5" t="inlineStr">
        <is>
          <t>YES</t>
        </is>
      </c>
    </row>
    <row r="211">
      <c r="A211" s="6" t="n">
        <v>230</v>
      </c>
      <c r="B211" s="5" t="inlineStr">
        <is>
          <t>S3</t>
        </is>
      </c>
      <c r="C211" s="5" t="inlineStr">
        <is>
          <t>2: Acidic pH-switching adhesive and release matrices</t>
        </is>
      </c>
      <c r="D211" s="5" t="inlineStr">
        <is>
          <t>Chitosan-based hydrogel dressings for diabetic wound healing via promoting M2 macrophage-polarization</t>
        </is>
      </c>
      <c r="E211" s="5" t="inlineStr">
        <is>
          <t>10.1016/j.carbpol.2024.121873</t>
        </is>
      </c>
      <c r="F211" s="5" t="inlineStr">
        <is>
          <t>Immune-programming</t>
        </is>
      </c>
      <c r="G211" s="5" t="inlineStr">
        <is>
          <t>Release kinetics measured</t>
        </is>
      </c>
      <c r="H211" s="6" t="inlineStr">
        <is>
          <t>1</t>
        </is>
      </c>
      <c r="K211" s="5" t="inlineStr">
        <is>
          <t xml:space="preserve">; </t>
        </is>
      </c>
      <c r="M211" s="5" t="inlineStr">
        <is>
          <t>100.0</t>
        </is>
      </c>
      <c r="N211" s="5" t="inlineStr">
        <is>
          <t>YES</t>
        </is>
      </c>
    </row>
    <row r="212">
      <c r="A212" s="6" t="n">
        <v>230</v>
      </c>
      <c r="B212" s="5" t="inlineStr">
        <is>
          <t>S3</t>
        </is>
      </c>
      <c r="C212" s="5" t="inlineStr">
        <is>
          <t>2: Acidic pH-switching adhesive and release matrices</t>
        </is>
      </c>
      <c r="D212" s="5" t="inlineStr">
        <is>
          <t>Chitosan-based hydrogel dressings for diabetic wound healing via promoting M2 macrophage-polarization</t>
        </is>
      </c>
      <c r="E212" s="5" t="inlineStr">
        <is>
          <t>10.1016/j.carbpol.2024.121873</t>
        </is>
      </c>
      <c r="F212" s="5" t="inlineStr">
        <is>
          <t>Immune-programming</t>
        </is>
      </c>
      <c r="G212" s="5" t="inlineStr">
        <is>
          <t>Antimicrobial or biofilm control</t>
        </is>
      </c>
      <c r="H212" s="6" t="inlineStr">
        <is>
          <t>1</t>
        </is>
      </c>
      <c r="K212" s="5" t="inlineStr">
        <is>
          <t xml:space="preserve">; </t>
        </is>
      </c>
      <c r="M212" s="5" t="inlineStr">
        <is>
          <t>100.0</t>
        </is>
      </c>
      <c r="N212" s="5" t="inlineStr">
        <is>
          <t>YES</t>
        </is>
      </c>
    </row>
    <row r="213">
      <c r="A213" s="6" t="n">
        <v>230</v>
      </c>
      <c r="B213" s="5" t="inlineStr">
        <is>
          <t>S3</t>
        </is>
      </c>
      <c r="C213" s="5" t="inlineStr">
        <is>
          <t>2: Acidic pH-switching adhesive and release matrices</t>
        </is>
      </c>
      <c r="D213" s="5" t="inlineStr">
        <is>
          <t>Chitosan-based hydrogel dressings for diabetic wound healing via promoting M2 macrophage-polarization</t>
        </is>
      </c>
      <c r="E213" s="5" t="inlineStr">
        <is>
          <t>10.1016/j.carbpol.2024.121873</t>
        </is>
      </c>
      <c r="F213" s="5" t="inlineStr">
        <is>
          <t>Immune-programming</t>
        </is>
      </c>
      <c r="G213" s="5" t="inlineStr">
        <is>
          <t>Inflammation or macrophage modulation</t>
        </is>
      </c>
      <c r="H213" s="6" t="inlineStr">
        <is>
          <t>1</t>
        </is>
      </c>
      <c r="K213" s="5" t="inlineStr">
        <is>
          <t xml:space="preserve">; </t>
        </is>
      </c>
      <c r="M213" s="5" t="inlineStr">
        <is>
          <t>100.0</t>
        </is>
      </c>
      <c r="N213" s="5" t="inlineStr">
        <is>
          <t>YES</t>
        </is>
      </c>
    </row>
    <row r="214">
      <c r="A214" s="6" t="n">
        <v>230</v>
      </c>
      <c r="B214" s="5" t="inlineStr">
        <is>
          <t>S3</t>
        </is>
      </c>
      <c r="C214" s="5" t="inlineStr">
        <is>
          <t>2: Acidic pH-switching adhesive and release matrices</t>
        </is>
      </c>
      <c r="D214" s="5" t="inlineStr">
        <is>
          <t>Chitosan-based hydrogel dressings for diabetic wound healing via promoting M2 macrophage-polarization</t>
        </is>
      </c>
      <c r="E214" s="5" t="inlineStr">
        <is>
          <t>10.1016/j.carbpol.2024.121873</t>
        </is>
      </c>
      <c r="F214" s="5" t="inlineStr">
        <is>
          <t>Immune-programming</t>
        </is>
      </c>
      <c r="G214" s="5" t="inlineStr">
        <is>
          <t>Angiogenesis</t>
        </is>
      </c>
      <c r="H214" s="6" t="inlineStr">
        <is>
          <t>1</t>
        </is>
      </c>
      <c r="K214" s="5" t="inlineStr">
        <is>
          <t xml:space="preserve">; </t>
        </is>
      </c>
      <c r="M214" s="5" t="inlineStr">
        <is>
          <t>100.0</t>
        </is>
      </c>
      <c r="N214" s="5" t="inlineStr">
        <is>
          <t>YES</t>
        </is>
      </c>
    </row>
    <row r="215">
      <c r="A215" s="6" t="n">
        <v>230</v>
      </c>
      <c r="B215" s="5" t="inlineStr">
        <is>
          <t>S3</t>
        </is>
      </c>
      <c r="C215" s="5" t="inlineStr">
        <is>
          <t>2: Acidic pH-switching adhesive and release matrices</t>
        </is>
      </c>
      <c r="D215" s="5" t="inlineStr">
        <is>
          <t>Chitosan-based hydrogel dressings for diabetic wound healing via promoting M2 macrophage-polarization</t>
        </is>
      </c>
      <c r="E215" s="5" t="inlineStr">
        <is>
          <t>10.1016/j.carbpol.2024.121873</t>
        </is>
      </c>
      <c r="F215" s="5" t="inlineStr">
        <is>
          <t>Immune-programming</t>
        </is>
      </c>
      <c r="G215" s="5" t="inlineStr">
        <is>
          <t>Collagen or matrix remodeling</t>
        </is>
      </c>
      <c r="H215" s="6" t="inlineStr">
        <is>
          <t>1</t>
        </is>
      </c>
      <c r="K215" s="5" t="inlineStr">
        <is>
          <t xml:space="preserve">; </t>
        </is>
      </c>
      <c r="M215" s="5" t="inlineStr">
        <is>
          <t>100.0</t>
        </is>
      </c>
      <c r="N215" s="5" t="inlineStr">
        <is>
          <t>YES</t>
        </is>
      </c>
    </row>
    <row r="216">
      <c r="A216" s="6" t="n">
        <v>230</v>
      </c>
      <c r="B216" s="5" t="inlineStr">
        <is>
          <t>S3</t>
        </is>
      </c>
      <c r="C216" s="5" t="inlineStr">
        <is>
          <t>2: Acidic pH-switching adhesive and release matrices</t>
        </is>
      </c>
      <c r="D216" s="5" t="inlineStr">
        <is>
          <t>Chitosan-based hydrogel dressings for diabetic wound healing via promoting M2 macrophage-polarization</t>
        </is>
      </c>
      <c r="E216" s="5" t="inlineStr">
        <is>
          <t>10.1016/j.carbpol.2024.121873</t>
        </is>
      </c>
      <c r="F216" s="5" t="inlineStr">
        <is>
          <t>Immune-programming</t>
        </is>
      </c>
      <c r="G216" s="5" t="inlineStr">
        <is>
          <t>Re-epithelialization</t>
        </is>
      </c>
      <c r="H216" s="6" t="inlineStr">
        <is>
          <t>1</t>
        </is>
      </c>
      <c r="K216" s="5" t="inlineStr">
        <is>
          <t xml:space="preserve">; </t>
        </is>
      </c>
      <c r="M216" s="5" t="inlineStr">
        <is>
          <t>100.0</t>
        </is>
      </c>
      <c r="N216" s="5" t="inlineStr">
        <is>
          <t>YES</t>
        </is>
      </c>
    </row>
    <row r="217">
      <c r="A217" s="6" t="n">
        <v>230</v>
      </c>
      <c r="B217" s="5" t="inlineStr">
        <is>
          <t>S3</t>
        </is>
      </c>
      <c r="C217" s="5" t="inlineStr">
        <is>
          <t>2: Acidic pH-switching adhesive and release matrices</t>
        </is>
      </c>
      <c r="D217" s="5" t="inlineStr">
        <is>
          <t>Chitosan-based hydrogel dressings for diabetic wound healing via promoting M2 macrophage-polarization</t>
        </is>
      </c>
      <c r="E217" s="5" t="inlineStr">
        <is>
          <t>10.1016/j.carbpol.2024.121873</t>
        </is>
      </c>
      <c r="F217" s="5" t="inlineStr">
        <is>
          <t>Immune-programming</t>
        </is>
      </c>
      <c r="G217" s="5" t="inlineStr">
        <is>
          <t>Wound closure</t>
        </is>
      </c>
      <c r="H217" s="6" t="inlineStr">
        <is>
          <t>1</t>
        </is>
      </c>
      <c r="K217" s="5" t="inlineStr">
        <is>
          <t xml:space="preserve">; </t>
        </is>
      </c>
      <c r="M217" s="5" t="inlineStr">
        <is>
          <t>100.0</t>
        </is>
      </c>
      <c r="N217" s="5" t="inlineStr">
        <is>
          <t>YES</t>
        </is>
      </c>
    </row>
    <row r="218">
      <c r="A218" s="6" t="n">
        <v>230</v>
      </c>
      <c r="B218" s="5" t="inlineStr">
        <is>
          <t>S3</t>
        </is>
      </c>
      <c r="C218" s="5" t="inlineStr">
        <is>
          <t>2: Acidic pH-switching adhesive and release matrices</t>
        </is>
      </c>
      <c r="D218" s="5" t="inlineStr">
        <is>
          <t>Chitosan-based hydrogel dressings for diabetic wound healing via promoting M2 macrophage-polarization</t>
        </is>
      </c>
      <c r="E218" s="5" t="inlineStr">
        <is>
          <t>10.1016/j.carbpol.2024.121873</t>
        </is>
      </c>
      <c r="F218" s="5" t="inlineStr">
        <is>
          <t>Immune-programming</t>
        </is>
      </c>
      <c r="G218" s="5" t="inlineStr">
        <is>
          <t>Safety or cytocompatibility</t>
        </is>
      </c>
      <c r="H218" s="6" t="inlineStr">
        <is>
          <t>1</t>
        </is>
      </c>
      <c r="K218" s="5" t="inlineStr">
        <is>
          <t xml:space="preserve">; </t>
        </is>
      </c>
      <c r="M218" s="5" t="inlineStr">
        <is>
          <t>100.0</t>
        </is>
      </c>
      <c r="N218" s="5" t="inlineStr">
        <is>
          <t>YES</t>
        </is>
      </c>
    </row>
    <row r="219">
      <c r="A219" s="6" t="n">
        <v>231</v>
      </c>
      <c r="B219" s="5" t="inlineStr">
        <is>
          <t>S3</t>
        </is>
      </c>
      <c r="C219" s="5" t="inlineStr">
        <is>
          <t>7: Macrophage-state and cytokine-balancing matrices</t>
        </is>
      </c>
      <c r="D219" s="5" t="inlineStr">
        <is>
          <t>Varying ratios of M/G in alginate to modulate macrophages polarization and its application for wound healing in diabetic</t>
        </is>
      </c>
      <c r="E219" s="5" t="inlineStr">
        <is>
          <t>10.1016/j.ijbiomac.2024.132387</t>
        </is>
      </c>
      <c r="F219" s="5" t="inlineStr">
        <is>
          <t>Immune-programming</t>
        </is>
      </c>
      <c r="G219" s="5" t="inlineStr">
        <is>
          <t>Release kinetics measured</t>
        </is>
      </c>
      <c r="H219" s="6" t="inlineStr">
        <is>
          <t>1</t>
        </is>
      </c>
      <c r="K219" s="5" t="inlineStr">
        <is>
          <t xml:space="preserve">; </t>
        </is>
      </c>
      <c r="M219" s="5" t="inlineStr">
        <is>
          <t>100.0</t>
        </is>
      </c>
      <c r="N219" s="5" t="inlineStr">
        <is>
          <t>YES</t>
        </is>
      </c>
    </row>
    <row r="220">
      <c r="A220" s="6" t="n">
        <v>231</v>
      </c>
      <c r="B220" s="5" t="inlineStr">
        <is>
          <t>S3</t>
        </is>
      </c>
      <c r="C220" s="5" t="inlineStr">
        <is>
          <t>7: Macrophage-state and cytokine-balancing matrices</t>
        </is>
      </c>
      <c r="D220" s="5" t="inlineStr">
        <is>
          <t>Varying ratios of M/G in alginate to modulate macrophages polarization and its application for wound healing in diabetic</t>
        </is>
      </c>
      <c r="E220" s="5" t="inlineStr">
        <is>
          <t>10.1016/j.ijbiomac.2024.132387</t>
        </is>
      </c>
      <c r="F220" s="5" t="inlineStr">
        <is>
          <t>Immune-programming</t>
        </is>
      </c>
      <c r="G220" s="5" t="inlineStr">
        <is>
          <t>Antimicrobial or biofilm control</t>
        </is>
      </c>
      <c r="H220" s="6" t="inlineStr">
        <is>
          <t>1</t>
        </is>
      </c>
      <c r="K220" s="5" t="inlineStr">
        <is>
          <t xml:space="preserve">; </t>
        </is>
      </c>
      <c r="M220" s="5" t="inlineStr">
        <is>
          <t>100.0</t>
        </is>
      </c>
      <c r="N220" s="5" t="inlineStr">
        <is>
          <t>YES</t>
        </is>
      </c>
    </row>
    <row r="221">
      <c r="A221" s="6" t="n">
        <v>231</v>
      </c>
      <c r="B221" s="5" t="inlineStr">
        <is>
          <t>S3</t>
        </is>
      </c>
      <c r="C221" s="5" t="inlineStr">
        <is>
          <t>7: Macrophage-state and cytokine-balancing matrices</t>
        </is>
      </c>
      <c r="D221" s="5" t="inlineStr">
        <is>
          <t>Varying ratios of M/G in alginate to modulate macrophages polarization and its application for wound healing in diabetic</t>
        </is>
      </c>
      <c r="E221" s="5" t="inlineStr">
        <is>
          <t>10.1016/j.ijbiomac.2024.132387</t>
        </is>
      </c>
      <c r="F221" s="5" t="inlineStr">
        <is>
          <t>Immune-programming</t>
        </is>
      </c>
      <c r="G221" s="5" t="inlineStr">
        <is>
          <t>Inflammation or macrophage modulation</t>
        </is>
      </c>
      <c r="H221" s="6" t="inlineStr">
        <is>
          <t>1</t>
        </is>
      </c>
      <c r="K221" s="5" t="inlineStr">
        <is>
          <t xml:space="preserve">; </t>
        </is>
      </c>
      <c r="M221" s="5" t="inlineStr">
        <is>
          <t>100.0</t>
        </is>
      </c>
      <c r="N221" s="5" t="inlineStr">
        <is>
          <t>YES</t>
        </is>
      </c>
    </row>
    <row r="222">
      <c r="A222" s="6" t="n">
        <v>231</v>
      </c>
      <c r="B222" s="5" t="inlineStr">
        <is>
          <t>S3</t>
        </is>
      </c>
      <c r="C222" s="5" t="inlineStr">
        <is>
          <t>7: Macrophage-state and cytokine-balancing matrices</t>
        </is>
      </c>
      <c r="D222" s="5" t="inlineStr">
        <is>
          <t>Varying ratios of M/G in alginate to modulate macrophages polarization and its application for wound healing in diabetic</t>
        </is>
      </c>
      <c r="E222" s="5" t="inlineStr">
        <is>
          <t>10.1016/j.ijbiomac.2024.132387</t>
        </is>
      </c>
      <c r="F222" s="5" t="inlineStr">
        <is>
          <t>Immune-programming</t>
        </is>
      </c>
      <c r="G222" s="5" t="inlineStr">
        <is>
          <t>Angiogenesis</t>
        </is>
      </c>
      <c r="H222" s="6" t="inlineStr">
        <is>
          <t>1</t>
        </is>
      </c>
      <c r="K222" s="5" t="inlineStr">
        <is>
          <t xml:space="preserve">; </t>
        </is>
      </c>
      <c r="M222" s="5" t="inlineStr">
        <is>
          <t>100.0</t>
        </is>
      </c>
      <c r="N222" s="5" t="inlineStr">
        <is>
          <t>YES</t>
        </is>
      </c>
    </row>
    <row r="223">
      <c r="A223" s="6" t="n">
        <v>231</v>
      </c>
      <c r="B223" s="5" t="inlineStr">
        <is>
          <t>S3</t>
        </is>
      </c>
      <c r="C223" s="5" t="inlineStr">
        <is>
          <t>7: Macrophage-state and cytokine-balancing matrices</t>
        </is>
      </c>
      <c r="D223" s="5" t="inlineStr">
        <is>
          <t>Varying ratios of M/G in alginate to modulate macrophages polarization and its application for wound healing in diabetic</t>
        </is>
      </c>
      <c r="E223" s="5" t="inlineStr">
        <is>
          <t>10.1016/j.ijbiomac.2024.132387</t>
        </is>
      </c>
      <c r="F223" s="5" t="inlineStr">
        <is>
          <t>Immune-programming</t>
        </is>
      </c>
      <c r="G223" s="5" t="inlineStr">
        <is>
          <t>Collagen or matrix remodeling</t>
        </is>
      </c>
      <c r="H223" s="6" t="inlineStr">
        <is>
          <t>1</t>
        </is>
      </c>
      <c r="K223" s="5" t="inlineStr">
        <is>
          <t xml:space="preserve">; </t>
        </is>
      </c>
      <c r="M223" s="5" t="inlineStr">
        <is>
          <t>100.0</t>
        </is>
      </c>
      <c r="N223" s="5" t="inlineStr">
        <is>
          <t>YES</t>
        </is>
      </c>
    </row>
    <row r="224">
      <c r="A224" s="6" t="n">
        <v>231</v>
      </c>
      <c r="B224" s="5" t="inlineStr">
        <is>
          <t>S3</t>
        </is>
      </c>
      <c r="C224" s="5" t="inlineStr">
        <is>
          <t>7: Macrophage-state and cytokine-balancing matrices</t>
        </is>
      </c>
      <c r="D224" s="5" t="inlineStr">
        <is>
          <t>Varying ratios of M/G in alginate to modulate macrophages polarization and its application for wound healing in diabetic</t>
        </is>
      </c>
      <c r="E224" s="5" t="inlineStr">
        <is>
          <t>10.1016/j.ijbiomac.2024.132387</t>
        </is>
      </c>
      <c r="F224" s="5" t="inlineStr">
        <is>
          <t>Immune-programming</t>
        </is>
      </c>
      <c r="G224" s="5" t="inlineStr">
        <is>
          <t>Re-epithelialization</t>
        </is>
      </c>
      <c r="H224" s="6" t="inlineStr">
        <is>
          <t>1</t>
        </is>
      </c>
      <c r="K224" s="5" t="inlineStr">
        <is>
          <t xml:space="preserve">; </t>
        </is>
      </c>
      <c r="M224" s="5" t="inlineStr">
        <is>
          <t>100.0</t>
        </is>
      </c>
      <c r="N224" s="5" t="inlineStr">
        <is>
          <t>YES</t>
        </is>
      </c>
    </row>
    <row r="225">
      <c r="A225" s="6" t="n">
        <v>231</v>
      </c>
      <c r="B225" s="5" t="inlineStr">
        <is>
          <t>S3</t>
        </is>
      </c>
      <c r="C225" s="5" t="inlineStr">
        <is>
          <t>7: Macrophage-state and cytokine-balancing matrices</t>
        </is>
      </c>
      <c r="D225" s="5" t="inlineStr">
        <is>
          <t>Varying ratios of M/G in alginate to modulate macrophages polarization and its application for wound healing in diabetic</t>
        </is>
      </c>
      <c r="E225" s="5" t="inlineStr">
        <is>
          <t>10.1016/j.ijbiomac.2024.132387</t>
        </is>
      </c>
      <c r="F225" s="5" t="inlineStr">
        <is>
          <t>Immune-programming</t>
        </is>
      </c>
      <c r="G225" s="5" t="inlineStr">
        <is>
          <t>Wound closure</t>
        </is>
      </c>
      <c r="H225" s="6" t="inlineStr">
        <is>
          <t>1</t>
        </is>
      </c>
      <c r="K225" s="5" t="inlineStr">
        <is>
          <t xml:space="preserve">; </t>
        </is>
      </c>
      <c r="M225" s="5" t="inlineStr">
        <is>
          <t>100.0</t>
        </is>
      </c>
      <c r="N225" s="5" t="inlineStr">
        <is>
          <t>YES</t>
        </is>
      </c>
    </row>
    <row r="226">
      <c r="A226" s="6" t="n">
        <v>231</v>
      </c>
      <c r="B226" s="5" t="inlineStr">
        <is>
          <t>S3</t>
        </is>
      </c>
      <c r="C226" s="5" t="inlineStr">
        <is>
          <t>7: Macrophage-state and cytokine-balancing matrices</t>
        </is>
      </c>
      <c r="D226" s="5" t="inlineStr">
        <is>
          <t>Varying ratios of M/G in alginate to modulate macrophages polarization and its application for wound healing in diabetic</t>
        </is>
      </c>
      <c r="E226" s="5" t="inlineStr">
        <is>
          <t>10.1016/j.ijbiomac.2024.132387</t>
        </is>
      </c>
      <c r="F226" s="5" t="inlineStr">
        <is>
          <t>Immune-programming</t>
        </is>
      </c>
      <c r="G226" s="5" t="inlineStr">
        <is>
          <t>Safety or cytocompatibility</t>
        </is>
      </c>
      <c r="H226" s="6" t="inlineStr">
        <is>
          <t>1</t>
        </is>
      </c>
      <c r="K226" s="5" t="inlineStr">
        <is>
          <t xml:space="preserve">; </t>
        </is>
      </c>
      <c r="M226" s="5" t="inlineStr">
        <is>
          <t>100.0</t>
        </is>
      </c>
      <c r="N226" s="5" t="inlineStr">
        <is>
          <t>YES</t>
        </is>
      </c>
    </row>
    <row r="227">
      <c r="A227" s="6" t="n">
        <v>232</v>
      </c>
      <c r="B227" s="5" t="inlineStr">
        <is>
          <t>S3</t>
        </is>
      </c>
      <c r="C227" s="5" t="inlineStr">
        <is>
          <t>7: Macrophage-state and cytokine-balancing matrices</t>
        </is>
      </c>
      <c r="D227" s="5" t="inlineStr">
        <is>
          <t>Programming of macrophage polarization in different stages for accelerating wound healing</t>
        </is>
      </c>
      <c r="E227" s="5" t="inlineStr">
        <is>
          <t>10.1016/j.cej.2024.152131</t>
        </is>
      </c>
      <c r="F227" s="5" t="inlineStr">
        <is>
          <t>Immune-programming</t>
        </is>
      </c>
      <c r="G227" s="5" t="inlineStr">
        <is>
          <t>Release kinetics measured</t>
        </is>
      </c>
      <c r="H227" s="6" t="inlineStr">
        <is>
          <t>1</t>
        </is>
      </c>
      <c r="K227" s="5" t="inlineStr">
        <is>
          <t xml:space="preserve">; </t>
        </is>
      </c>
      <c r="M227" s="5" t="inlineStr">
        <is>
          <t>100.0</t>
        </is>
      </c>
      <c r="N227" s="5" t="inlineStr">
        <is>
          <t>YES</t>
        </is>
      </c>
    </row>
    <row r="228">
      <c r="A228" s="6" t="n">
        <v>232</v>
      </c>
      <c r="B228" s="5" t="inlineStr">
        <is>
          <t>S3</t>
        </is>
      </c>
      <c r="C228" s="5" t="inlineStr">
        <is>
          <t>7: Macrophage-state and cytokine-balancing matrices</t>
        </is>
      </c>
      <c r="D228" s="5" t="inlineStr">
        <is>
          <t>Programming of macrophage polarization in different stages for accelerating wound healing</t>
        </is>
      </c>
      <c r="E228" s="5" t="inlineStr">
        <is>
          <t>10.1016/j.cej.2024.152131</t>
        </is>
      </c>
      <c r="F228" s="5" t="inlineStr">
        <is>
          <t>Immune-programming</t>
        </is>
      </c>
      <c r="G228" s="5" t="inlineStr">
        <is>
          <t>Antimicrobial or biofilm control</t>
        </is>
      </c>
      <c r="H228" s="6" t="inlineStr">
        <is>
          <t>1</t>
        </is>
      </c>
      <c r="K228" s="5" t="inlineStr">
        <is>
          <t xml:space="preserve">; </t>
        </is>
      </c>
      <c r="M228" s="5" t="inlineStr">
        <is>
          <t>100.0</t>
        </is>
      </c>
      <c r="N228" s="5" t="inlineStr">
        <is>
          <t>YES</t>
        </is>
      </c>
    </row>
    <row r="229">
      <c r="A229" s="6" t="n">
        <v>232</v>
      </c>
      <c r="B229" s="5" t="inlineStr">
        <is>
          <t>S3</t>
        </is>
      </c>
      <c r="C229" s="5" t="inlineStr">
        <is>
          <t>7: Macrophage-state and cytokine-balancing matrices</t>
        </is>
      </c>
      <c r="D229" s="5" t="inlineStr">
        <is>
          <t>Programming of macrophage polarization in different stages for accelerating wound healing</t>
        </is>
      </c>
      <c r="E229" s="5" t="inlineStr">
        <is>
          <t>10.1016/j.cej.2024.152131</t>
        </is>
      </c>
      <c r="F229" s="5" t="inlineStr">
        <is>
          <t>Immune-programming</t>
        </is>
      </c>
      <c r="G229" s="5" t="inlineStr">
        <is>
          <t>Inflammation or macrophage modulation</t>
        </is>
      </c>
      <c r="H229" s="6" t="inlineStr">
        <is>
          <t>1</t>
        </is>
      </c>
      <c r="K229" s="5" t="inlineStr">
        <is>
          <t xml:space="preserve">; </t>
        </is>
      </c>
      <c r="M229" s="5" t="inlineStr">
        <is>
          <t>100.0</t>
        </is>
      </c>
      <c r="N229" s="5" t="inlineStr">
        <is>
          <t>YES</t>
        </is>
      </c>
    </row>
    <row r="230">
      <c r="A230" s="6" t="n">
        <v>232</v>
      </c>
      <c r="B230" s="5" t="inlineStr">
        <is>
          <t>S3</t>
        </is>
      </c>
      <c r="C230" s="5" t="inlineStr">
        <is>
          <t>7: Macrophage-state and cytokine-balancing matrices</t>
        </is>
      </c>
      <c r="D230" s="5" t="inlineStr">
        <is>
          <t>Programming of macrophage polarization in different stages for accelerating wound healing</t>
        </is>
      </c>
      <c r="E230" s="5" t="inlineStr">
        <is>
          <t>10.1016/j.cej.2024.152131</t>
        </is>
      </c>
      <c r="F230" s="5" t="inlineStr">
        <is>
          <t>Immune-programming</t>
        </is>
      </c>
      <c r="G230" s="5" t="inlineStr">
        <is>
          <t>Angiogenesis</t>
        </is>
      </c>
      <c r="H230" s="6" t="inlineStr">
        <is>
          <t>1</t>
        </is>
      </c>
      <c r="K230" s="5" t="inlineStr">
        <is>
          <t xml:space="preserve">; </t>
        </is>
      </c>
      <c r="M230" s="5" t="inlineStr">
        <is>
          <t>100.0</t>
        </is>
      </c>
      <c r="N230" s="5" t="inlineStr">
        <is>
          <t>YES</t>
        </is>
      </c>
    </row>
    <row r="231">
      <c r="A231" s="6" t="n">
        <v>232</v>
      </c>
      <c r="B231" s="5" t="inlineStr">
        <is>
          <t>S3</t>
        </is>
      </c>
      <c r="C231" s="5" t="inlineStr">
        <is>
          <t>7: Macrophage-state and cytokine-balancing matrices</t>
        </is>
      </c>
      <c r="D231" s="5" t="inlineStr">
        <is>
          <t>Programming of macrophage polarization in different stages for accelerating wound healing</t>
        </is>
      </c>
      <c r="E231" s="5" t="inlineStr">
        <is>
          <t>10.1016/j.cej.2024.152131</t>
        </is>
      </c>
      <c r="F231" s="5" t="inlineStr">
        <is>
          <t>Immune-programming</t>
        </is>
      </c>
      <c r="G231" s="5" t="inlineStr">
        <is>
          <t>Collagen or matrix remodeling</t>
        </is>
      </c>
      <c r="H231" s="6" t="inlineStr">
        <is>
          <t>1</t>
        </is>
      </c>
      <c r="K231" s="5" t="inlineStr">
        <is>
          <t xml:space="preserve">; </t>
        </is>
      </c>
      <c r="M231" s="5" t="inlineStr">
        <is>
          <t>100.0</t>
        </is>
      </c>
      <c r="N231" s="5" t="inlineStr">
        <is>
          <t>YES</t>
        </is>
      </c>
    </row>
    <row r="232">
      <c r="A232" s="6" t="n">
        <v>232</v>
      </c>
      <c r="B232" s="5" t="inlineStr">
        <is>
          <t>S3</t>
        </is>
      </c>
      <c r="C232" s="5" t="inlineStr">
        <is>
          <t>7: Macrophage-state and cytokine-balancing matrices</t>
        </is>
      </c>
      <c r="D232" s="5" t="inlineStr">
        <is>
          <t>Programming of macrophage polarization in different stages for accelerating wound healing</t>
        </is>
      </c>
      <c r="E232" s="5" t="inlineStr">
        <is>
          <t>10.1016/j.cej.2024.152131</t>
        </is>
      </c>
      <c r="F232" s="5" t="inlineStr">
        <is>
          <t>Immune-programming</t>
        </is>
      </c>
      <c r="G232" s="5" t="inlineStr">
        <is>
          <t>Re-epithelialization</t>
        </is>
      </c>
      <c r="H232" s="6" t="inlineStr">
        <is>
          <t>1</t>
        </is>
      </c>
      <c r="K232" s="5" t="inlineStr">
        <is>
          <t xml:space="preserve">; </t>
        </is>
      </c>
      <c r="M232" s="5" t="inlineStr">
        <is>
          <t>100.0</t>
        </is>
      </c>
      <c r="N232" s="5" t="inlineStr">
        <is>
          <t>YES</t>
        </is>
      </c>
    </row>
    <row r="233">
      <c r="A233" s="6" t="n">
        <v>232</v>
      </c>
      <c r="B233" s="5" t="inlineStr">
        <is>
          <t>S3</t>
        </is>
      </c>
      <c r="C233" s="5" t="inlineStr">
        <is>
          <t>7: Macrophage-state and cytokine-balancing matrices</t>
        </is>
      </c>
      <c r="D233" s="5" t="inlineStr">
        <is>
          <t>Programming of macrophage polarization in different stages for accelerating wound healing</t>
        </is>
      </c>
      <c r="E233" s="5" t="inlineStr">
        <is>
          <t>10.1016/j.cej.2024.152131</t>
        </is>
      </c>
      <c r="F233" s="5" t="inlineStr">
        <is>
          <t>Immune-programming</t>
        </is>
      </c>
      <c r="G233" s="5" t="inlineStr">
        <is>
          <t>Wound closure</t>
        </is>
      </c>
      <c r="H233" s="6" t="inlineStr">
        <is>
          <t>1</t>
        </is>
      </c>
      <c r="K233" s="5" t="inlineStr">
        <is>
          <t xml:space="preserve">; </t>
        </is>
      </c>
      <c r="M233" s="5" t="inlineStr">
        <is>
          <t>100.0</t>
        </is>
      </c>
      <c r="N233" s="5" t="inlineStr">
        <is>
          <t>YES</t>
        </is>
      </c>
    </row>
    <row r="234">
      <c r="A234" s="6" t="n">
        <v>232</v>
      </c>
      <c r="B234" s="5" t="inlineStr">
        <is>
          <t>S3</t>
        </is>
      </c>
      <c r="C234" s="5" t="inlineStr">
        <is>
          <t>7: Macrophage-state and cytokine-balancing matrices</t>
        </is>
      </c>
      <c r="D234" s="5" t="inlineStr">
        <is>
          <t>Programming of macrophage polarization in different stages for accelerating wound healing</t>
        </is>
      </c>
      <c r="E234" s="5" t="inlineStr">
        <is>
          <t>10.1016/j.cej.2024.152131</t>
        </is>
      </c>
      <c r="F234" s="5" t="inlineStr">
        <is>
          <t>Immune-programming</t>
        </is>
      </c>
      <c r="G234" s="5" t="inlineStr">
        <is>
          <t>Safety or cytocompatibility</t>
        </is>
      </c>
      <c r="H234" s="6" t="inlineStr">
        <is>
          <t>1</t>
        </is>
      </c>
      <c r="K234" s="5" t="inlineStr">
        <is>
          <t xml:space="preserve">; </t>
        </is>
      </c>
      <c r="M234" s="5" t="inlineStr">
        <is>
          <t>100.0</t>
        </is>
      </c>
      <c r="N234" s="5" t="inlineStr">
        <is>
          <t>YES</t>
        </is>
      </c>
    </row>
    <row r="235">
      <c r="A235" s="6" t="n">
        <v>256</v>
      </c>
      <c r="B235" s="5" t="inlineStr">
        <is>
          <t>S3</t>
        </is>
      </c>
      <c r="C235" s="5" t="inlineStr">
        <is>
          <t>11: Exosome and extracellular-vesicle release systems</t>
        </is>
      </c>
      <c r="D235" s="5" t="inlineStr">
        <is>
          <t>All‐in‐one: multifunctional hydrogel accelerates oxidative diabetic wound healing through timed‐release of exosome and fibroblast growth factor</t>
        </is>
      </c>
      <c r="E235" s="5" t="inlineStr">
        <is>
          <t>10.1002/smll.202104229</t>
        </is>
      </c>
      <c r="F235" s="5" t="inlineStr">
        <is>
          <t>Immune-programming</t>
        </is>
      </c>
      <c r="G235" s="5" t="inlineStr">
        <is>
          <t>Release kinetics measured</t>
        </is>
      </c>
      <c r="H235" s="6" t="inlineStr">
        <is>
          <t>1</t>
        </is>
      </c>
      <c r="K235" s="5" t="inlineStr">
        <is>
          <t xml:space="preserve">; </t>
        </is>
      </c>
      <c r="M235" s="5" t="inlineStr">
        <is>
          <t>100.0</t>
        </is>
      </c>
      <c r="N235" s="5" t="inlineStr">
        <is>
          <t>YES</t>
        </is>
      </c>
    </row>
    <row r="236">
      <c r="A236" s="6" t="n">
        <v>256</v>
      </c>
      <c r="B236" s="5" t="inlineStr">
        <is>
          <t>S3</t>
        </is>
      </c>
      <c r="C236" s="5" t="inlineStr">
        <is>
          <t>11: Exosome and extracellular-vesicle release systems</t>
        </is>
      </c>
      <c r="D236" s="5" t="inlineStr">
        <is>
          <t>All‐in‐one: multifunctional hydrogel accelerates oxidative diabetic wound healing through timed‐release of exosome and fibroblast growth factor</t>
        </is>
      </c>
      <c r="E236" s="5" t="inlineStr">
        <is>
          <t>10.1002/smll.202104229</t>
        </is>
      </c>
      <c r="F236" s="5" t="inlineStr">
        <is>
          <t>Immune-programming</t>
        </is>
      </c>
      <c r="G236" s="5" t="inlineStr">
        <is>
          <t>Antimicrobial or biofilm control</t>
        </is>
      </c>
      <c r="H236" s="6" t="inlineStr">
        <is>
          <t>1</t>
        </is>
      </c>
      <c r="K236" s="5" t="inlineStr">
        <is>
          <t xml:space="preserve">; </t>
        </is>
      </c>
      <c r="M236" s="5" t="inlineStr">
        <is>
          <t>100.0</t>
        </is>
      </c>
      <c r="N236" s="5" t="inlineStr">
        <is>
          <t>YES</t>
        </is>
      </c>
    </row>
    <row r="237">
      <c r="A237" s="6" t="n">
        <v>256</v>
      </c>
      <c r="B237" s="5" t="inlineStr">
        <is>
          <t>S3</t>
        </is>
      </c>
      <c r="C237" s="5" t="inlineStr">
        <is>
          <t>11: Exosome and extracellular-vesicle release systems</t>
        </is>
      </c>
      <c r="D237" s="5" t="inlineStr">
        <is>
          <t>All‐in‐one: multifunctional hydrogel accelerates oxidative diabetic wound healing through timed‐release of exosome and fibroblast growth factor</t>
        </is>
      </c>
      <c r="E237" s="5" t="inlineStr">
        <is>
          <t>10.1002/smll.202104229</t>
        </is>
      </c>
      <c r="F237" s="5" t="inlineStr">
        <is>
          <t>Immune-programming</t>
        </is>
      </c>
      <c r="G237" s="5" t="inlineStr">
        <is>
          <t>Inflammation or macrophage modulation</t>
        </is>
      </c>
      <c r="H237" s="6" t="inlineStr">
        <is>
          <t>1</t>
        </is>
      </c>
      <c r="K237" s="5" t="inlineStr">
        <is>
          <t xml:space="preserve">; </t>
        </is>
      </c>
      <c r="M237" s="5" t="inlineStr">
        <is>
          <t>100.0</t>
        </is>
      </c>
      <c r="N237" s="5" t="inlineStr">
        <is>
          <t>YES</t>
        </is>
      </c>
    </row>
    <row r="238">
      <c r="A238" s="6" t="n">
        <v>256</v>
      </c>
      <c r="B238" s="5" t="inlineStr">
        <is>
          <t>S3</t>
        </is>
      </c>
      <c r="C238" s="5" t="inlineStr">
        <is>
          <t>11: Exosome and extracellular-vesicle release systems</t>
        </is>
      </c>
      <c r="D238" s="5" t="inlineStr">
        <is>
          <t>All‐in‐one: multifunctional hydrogel accelerates oxidative diabetic wound healing through timed‐release of exosome and fibroblast growth factor</t>
        </is>
      </c>
      <c r="E238" s="5" t="inlineStr">
        <is>
          <t>10.1002/smll.202104229</t>
        </is>
      </c>
      <c r="F238" s="5" t="inlineStr">
        <is>
          <t>Immune-programming</t>
        </is>
      </c>
      <c r="G238" s="5" t="inlineStr">
        <is>
          <t>Angiogenesis</t>
        </is>
      </c>
      <c r="H238" s="6" t="inlineStr">
        <is>
          <t>1</t>
        </is>
      </c>
      <c r="K238" s="5" t="inlineStr">
        <is>
          <t xml:space="preserve">; </t>
        </is>
      </c>
      <c r="M238" s="5" t="inlineStr">
        <is>
          <t>100.0</t>
        </is>
      </c>
      <c r="N238" s="5" t="inlineStr">
        <is>
          <t>YES</t>
        </is>
      </c>
    </row>
    <row r="239">
      <c r="A239" s="6" t="n">
        <v>256</v>
      </c>
      <c r="B239" s="5" t="inlineStr">
        <is>
          <t>S3</t>
        </is>
      </c>
      <c r="C239" s="5" t="inlineStr">
        <is>
          <t>11: Exosome and extracellular-vesicle release systems</t>
        </is>
      </c>
      <c r="D239" s="5" t="inlineStr">
        <is>
          <t>All‐in‐one: multifunctional hydrogel accelerates oxidative diabetic wound healing through timed‐release of exosome and fibroblast growth factor</t>
        </is>
      </c>
      <c r="E239" s="5" t="inlineStr">
        <is>
          <t>10.1002/smll.202104229</t>
        </is>
      </c>
      <c r="F239" s="5" t="inlineStr">
        <is>
          <t>Immune-programming</t>
        </is>
      </c>
      <c r="G239" s="5" t="inlineStr">
        <is>
          <t>Collagen or matrix remodeling</t>
        </is>
      </c>
      <c r="H239" s="6" t="inlineStr">
        <is>
          <t>1</t>
        </is>
      </c>
      <c r="K239" s="5" t="inlineStr">
        <is>
          <t xml:space="preserve">; </t>
        </is>
      </c>
      <c r="M239" s="5" t="inlineStr">
        <is>
          <t>100.0</t>
        </is>
      </c>
      <c r="N239" s="5" t="inlineStr">
        <is>
          <t>YES</t>
        </is>
      </c>
    </row>
    <row r="240">
      <c r="A240" s="6" t="n">
        <v>256</v>
      </c>
      <c r="B240" s="5" t="inlineStr">
        <is>
          <t>S3</t>
        </is>
      </c>
      <c r="C240" s="5" t="inlineStr">
        <is>
          <t>11: Exosome and extracellular-vesicle release systems</t>
        </is>
      </c>
      <c r="D240" s="5" t="inlineStr">
        <is>
          <t>All‐in‐one: multifunctional hydrogel accelerates oxidative diabetic wound healing through timed‐release of exosome and fibroblast growth factor</t>
        </is>
      </c>
      <c r="E240" s="5" t="inlineStr">
        <is>
          <t>10.1002/smll.202104229</t>
        </is>
      </c>
      <c r="F240" s="5" t="inlineStr">
        <is>
          <t>Immune-programming</t>
        </is>
      </c>
      <c r="G240" s="5" t="inlineStr">
        <is>
          <t>Re-epithelialization</t>
        </is>
      </c>
      <c r="H240" s="6" t="inlineStr">
        <is>
          <t>1</t>
        </is>
      </c>
      <c r="K240" s="5" t="inlineStr">
        <is>
          <t xml:space="preserve">; </t>
        </is>
      </c>
      <c r="M240" s="5" t="inlineStr">
        <is>
          <t>100.0</t>
        </is>
      </c>
      <c r="N240" s="5" t="inlineStr">
        <is>
          <t>YES</t>
        </is>
      </c>
    </row>
    <row r="241">
      <c r="A241" s="6" t="n">
        <v>256</v>
      </c>
      <c r="B241" s="5" t="inlineStr">
        <is>
          <t>S3</t>
        </is>
      </c>
      <c r="C241" s="5" t="inlineStr">
        <is>
          <t>11: Exosome and extracellular-vesicle release systems</t>
        </is>
      </c>
      <c r="D241" s="5" t="inlineStr">
        <is>
          <t>All‐in‐one: multifunctional hydrogel accelerates oxidative diabetic wound healing through timed‐release of exosome and fibroblast growth factor</t>
        </is>
      </c>
      <c r="E241" s="5" t="inlineStr">
        <is>
          <t>10.1002/smll.202104229</t>
        </is>
      </c>
      <c r="F241" s="5" t="inlineStr">
        <is>
          <t>Immune-programming</t>
        </is>
      </c>
      <c r="G241" s="5" t="inlineStr">
        <is>
          <t>Wound closure</t>
        </is>
      </c>
      <c r="H241" s="6" t="inlineStr">
        <is>
          <t>1</t>
        </is>
      </c>
      <c r="K241" s="5" t="inlineStr">
        <is>
          <t xml:space="preserve">; </t>
        </is>
      </c>
      <c r="M241" s="5" t="inlineStr">
        <is>
          <t>100.0</t>
        </is>
      </c>
      <c r="N241" s="5" t="inlineStr">
        <is>
          <t>YES</t>
        </is>
      </c>
    </row>
    <row r="242">
      <c r="A242" s="6" t="n">
        <v>256</v>
      </c>
      <c r="B242" s="5" t="inlineStr">
        <is>
          <t>S3</t>
        </is>
      </c>
      <c r="C242" s="5" t="inlineStr">
        <is>
          <t>11: Exosome and extracellular-vesicle release systems</t>
        </is>
      </c>
      <c r="D242" s="5" t="inlineStr">
        <is>
          <t>All‐in‐one: multifunctional hydrogel accelerates oxidative diabetic wound healing through timed‐release of exosome and fibroblast growth factor</t>
        </is>
      </c>
      <c r="E242" s="5" t="inlineStr">
        <is>
          <t>10.1002/smll.202104229</t>
        </is>
      </c>
      <c r="F242" s="5" t="inlineStr">
        <is>
          <t>Immune-programming</t>
        </is>
      </c>
      <c r="G242" s="5" t="inlineStr">
        <is>
          <t>Safety or cytocompatibility</t>
        </is>
      </c>
      <c r="H242" s="6" t="inlineStr">
        <is>
          <t>1</t>
        </is>
      </c>
      <c r="K242" s="5" t="inlineStr">
        <is>
          <t xml:space="preserve">; </t>
        </is>
      </c>
      <c r="M242" s="5" t="inlineStr">
        <is>
          <t>100.0</t>
        </is>
      </c>
      <c r="N242" s="5" t="inlineStr">
        <is>
          <t>YES</t>
        </is>
      </c>
    </row>
    <row r="243">
      <c r="A243" s="6" t="n">
        <v>259</v>
      </c>
      <c r="B243" s="5" t="inlineStr">
        <is>
          <t>S3</t>
        </is>
      </c>
      <c r="C243" s="5" t="inlineStr">
        <is>
          <t>11: Exosome and extracellular-vesicle release systems</t>
        </is>
      </c>
      <c r="D243" s="5" t="inlineStr">
        <is>
          <t>Sustained exosome‐guided macrophage polarization using hydrolytically degradable PEG hydrogels for cutaneous wound healing: identification of key proteins and MiRNAs, and sustained release formulation</t>
        </is>
      </c>
      <c r="E243" s="5" t="inlineStr">
        <is>
          <t>10.1002/smll.202200060</t>
        </is>
      </c>
      <c r="F243" s="5" t="inlineStr">
        <is>
          <t>Immune-programming</t>
        </is>
      </c>
      <c r="G243" s="5" t="inlineStr">
        <is>
          <t>Release kinetics measured</t>
        </is>
      </c>
      <c r="H243" s="6" t="inlineStr">
        <is>
          <t>1</t>
        </is>
      </c>
      <c r="K243" s="5" t="inlineStr">
        <is>
          <t xml:space="preserve">; </t>
        </is>
      </c>
      <c r="M243" s="5" t="inlineStr">
        <is>
          <t>100.0</t>
        </is>
      </c>
      <c r="N243" s="5" t="inlineStr">
        <is>
          <t>YES</t>
        </is>
      </c>
    </row>
    <row r="244">
      <c r="A244" s="6" t="n">
        <v>259</v>
      </c>
      <c r="B244" s="5" t="inlineStr">
        <is>
          <t>S3</t>
        </is>
      </c>
      <c r="C244" s="5" t="inlineStr">
        <is>
          <t>11: Exosome and extracellular-vesicle release systems</t>
        </is>
      </c>
      <c r="D244" s="5" t="inlineStr">
        <is>
          <t>Sustained exosome‐guided macrophage polarization using hydrolytically degradable PEG hydrogels for cutaneous wound healing: identification of key proteins and MiRNAs, and sustained release formulation</t>
        </is>
      </c>
      <c r="E244" s="5" t="inlineStr">
        <is>
          <t>10.1002/smll.202200060</t>
        </is>
      </c>
      <c r="F244" s="5" t="inlineStr">
        <is>
          <t>Immune-programming</t>
        </is>
      </c>
      <c r="G244" s="5" t="inlineStr">
        <is>
          <t>Antimicrobial or biofilm control</t>
        </is>
      </c>
      <c r="H244" s="6" t="inlineStr">
        <is>
          <t>1</t>
        </is>
      </c>
      <c r="K244" s="5" t="inlineStr">
        <is>
          <t xml:space="preserve">; </t>
        </is>
      </c>
      <c r="M244" s="5" t="inlineStr">
        <is>
          <t>100.0</t>
        </is>
      </c>
      <c r="N244" s="5" t="inlineStr">
        <is>
          <t>YES</t>
        </is>
      </c>
    </row>
    <row r="245">
      <c r="A245" s="6" t="n">
        <v>259</v>
      </c>
      <c r="B245" s="5" t="inlineStr">
        <is>
          <t>S3</t>
        </is>
      </c>
      <c r="C245" s="5" t="inlineStr">
        <is>
          <t>11: Exosome and extracellular-vesicle release systems</t>
        </is>
      </c>
      <c r="D245" s="5" t="inlineStr">
        <is>
          <t>Sustained exosome‐guided macrophage polarization using hydrolytically degradable PEG hydrogels for cutaneous wound healing: identification of key proteins and MiRNAs, and sustained release formulation</t>
        </is>
      </c>
      <c r="E245" s="5" t="inlineStr">
        <is>
          <t>10.1002/smll.202200060</t>
        </is>
      </c>
      <c r="F245" s="5" t="inlineStr">
        <is>
          <t>Immune-programming</t>
        </is>
      </c>
      <c r="G245" s="5" t="inlineStr">
        <is>
          <t>Inflammation or macrophage modulation</t>
        </is>
      </c>
      <c r="H245" s="6" t="inlineStr">
        <is>
          <t>1</t>
        </is>
      </c>
      <c r="K245" s="5" t="inlineStr">
        <is>
          <t xml:space="preserve">; </t>
        </is>
      </c>
      <c r="M245" s="5" t="inlineStr">
        <is>
          <t>100.0</t>
        </is>
      </c>
      <c r="N245" s="5" t="inlineStr">
        <is>
          <t>YES</t>
        </is>
      </c>
    </row>
    <row r="246">
      <c r="A246" s="6" t="n">
        <v>259</v>
      </c>
      <c r="B246" s="5" t="inlineStr">
        <is>
          <t>S3</t>
        </is>
      </c>
      <c r="C246" s="5" t="inlineStr">
        <is>
          <t>11: Exosome and extracellular-vesicle release systems</t>
        </is>
      </c>
      <c r="D246" s="5" t="inlineStr">
        <is>
          <t>Sustained exosome‐guided macrophage polarization using hydrolytically degradable PEG hydrogels for cutaneous wound healing: identification of key proteins and MiRNAs, and sustained release formulation</t>
        </is>
      </c>
      <c r="E246" s="5" t="inlineStr">
        <is>
          <t>10.1002/smll.202200060</t>
        </is>
      </c>
      <c r="F246" s="5" t="inlineStr">
        <is>
          <t>Immune-programming</t>
        </is>
      </c>
      <c r="G246" s="5" t="inlineStr">
        <is>
          <t>Collagen or matrix remodeling</t>
        </is>
      </c>
      <c r="H246" s="6" t="inlineStr">
        <is>
          <t>1</t>
        </is>
      </c>
      <c r="K246" s="5" t="inlineStr">
        <is>
          <t xml:space="preserve">; </t>
        </is>
      </c>
      <c r="M246" s="5" t="inlineStr">
        <is>
          <t>100.0</t>
        </is>
      </c>
      <c r="N246" s="5" t="inlineStr">
        <is>
          <t>YES</t>
        </is>
      </c>
    </row>
    <row r="247">
      <c r="A247" s="6" t="n">
        <v>259</v>
      </c>
      <c r="B247" s="5" t="inlineStr">
        <is>
          <t>S3</t>
        </is>
      </c>
      <c r="C247" s="5" t="inlineStr">
        <is>
          <t>11: Exosome and extracellular-vesicle release systems</t>
        </is>
      </c>
      <c r="D247" s="5" t="inlineStr">
        <is>
          <t>Sustained exosome‐guided macrophage polarization using hydrolytically degradable PEG hydrogels for cutaneous wound healing: identification of key proteins and MiRNAs, and sustained release formulation</t>
        </is>
      </c>
      <c r="E247" s="5" t="inlineStr">
        <is>
          <t>10.1002/smll.202200060</t>
        </is>
      </c>
      <c r="F247" s="5" t="inlineStr">
        <is>
          <t>Immune-programming</t>
        </is>
      </c>
      <c r="G247" s="5" t="inlineStr">
        <is>
          <t>Wound closure</t>
        </is>
      </c>
      <c r="H247" s="6" t="inlineStr">
        <is>
          <t>1</t>
        </is>
      </c>
      <c r="K247" s="5" t="inlineStr">
        <is>
          <t xml:space="preserve">; </t>
        </is>
      </c>
      <c r="M247" s="5" t="inlineStr">
        <is>
          <t>100.0</t>
        </is>
      </c>
      <c r="N247" s="5" t="inlineStr">
        <is>
          <t>YES</t>
        </is>
      </c>
    </row>
    <row r="248">
      <c r="A248" s="6" t="n">
        <v>259</v>
      </c>
      <c r="B248" s="5" t="inlineStr">
        <is>
          <t>S3</t>
        </is>
      </c>
      <c r="C248" s="5" t="inlineStr">
        <is>
          <t>11: Exosome and extracellular-vesicle release systems</t>
        </is>
      </c>
      <c r="D248" s="5" t="inlineStr">
        <is>
          <t>Sustained exosome‐guided macrophage polarization using hydrolytically degradable PEG hydrogels for cutaneous wound healing: identification of key proteins and MiRNAs, and sustained release formulation</t>
        </is>
      </c>
      <c r="E248" s="5" t="inlineStr">
        <is>
          <t>10.1002/smll.202200060</t>
        </is>
      </c>
      <c r="F248" s="5" t="inlineStr">
        <is>
          <t>Immune-programming</t>
        </is>
      </c>
      <c r="G248" s="5" t="inlineStr">
        <is>
          <t>Safety or cytocompatibility</t>
        </is>
      </c>
      <c r="H248" s="6" t="inlineStr">
        <is>
          <t>1</t>
        </is>
      </c>
      <c r="K248" s="5" t="inlineStr">
        <is>
          <t xml:space="preserve">; </t>
        </is>
      </c>
      <c r="M248" s="5" t="inlineStr">
        <is>
          <t>100.0</t>
        </is>
      </c>
      <c r="N248" s="5" t="inlineStr">
        <is>
          <t>YES</t>
        </is>
      </c>
    </row>
    <row r="249">
      <c r="A249" s="6" t="n">
        <v>206</v>
      </c>
      <c r="B249" s="5" t="inlineStr">
        <is>
          <t>S3</t>
        </is>
      </c>
      <c r="C249" s="5" t="inlineStr">
        <is>
          <t>2: Acidic pH-switching adhesive and release matrices</t>
        </is>
      </c>
      <c r="D249" s="5" t="inlineStr">
        <is>
          <t>pH-responsive hydrogel loaded with insulin as a bioactive dressing for enhancing diabetic wound healing</t>
        </is>
      </c>
      <c r="E249" s="5" t="inlineStr">
        <is>
          <t>10.1016/j.matdes.2021.110104</t>
        </is>
      </c>
      <c r="F249" s="5" t="inlineStr">
        <is>
          <t>Sustained or staged delivery</t>
        </is>
      </c>
      <c r="G249" s="5" t="inlineStr">
        <is>
          <t>Release kinetics measured</t>
        </is>
      </c>
      <c r="H249" s="6" t="inlineStr">
        <is>
          <t>1</t>
        </is>
      </c>
      <c r="K249" s="5" t="inlineStr">
        <is>
          <t xml:space="preserve">; </t>
        </is>
      </c>
      <c r="M249" s="5" t="inlineStr">
        <is>
          <t>100.0</t>
        </is>
      </c>
      <c r="N249" s="5" t="inlineStr">
        <is>
          <t>YES</t>
        </is>
      </c>
    </row>
    <row r="250">
      <c r="A250" s="6" t="n">
        <v>206</v>
      </c>
      <c r="B250" s="5" t="inlineStr">
        <is>
          <t>S3</t>
        </is>
      </c>
      <c r="C250" s="5" t="inlineStr">
        <is>
          <t>2: Acidic pH-switching adhesive and release matrices</t>
        </is>
      </c>
      <c r="D250" s="5" t="inlineStr">
        <is>
          <t>pH-responsive hydrogel loaded with insulin as a bioactive dressing for enhancing diabetic wound healing</t>
        </is>
      </c>
      <c r="E250" s="5" t="inlineStr">
        <is>
          <t>10.1016/j.matdes.2021.110104</t>
        </is>
      </c>
      <c r="F250" s="5" t="inlineStr">
        <is>
          <t>Sustained or staged delivery</t>
        </is>
      </c>
      <c r="G250" s="5" t="inlineStr">
        <is>
          <t>Antimicrobial or biofilm control</t>
        </is>
      </c>
      <c r="H250" s="6" t="inlineStr">
        <is>
          <t>1</t>
        </is>
      </c>
      <c r="K250" s="5" t="inlineStr">
        <is>
          <t xml:space="preserve">; </t>
        </is>
      </c>
      <c r="M250" s="5" t="inlineStr">
        <is>
          <t>100.0</t>
        </is>
      </c>
      <c r="N250" s="5" t="inlineStr">
        <is>
          <t>YES</t>
        </is>
      </c>
    </row>
    <row r="251">
      <c r="A251" s="6" t="n">
        <v>206</v>
      </c>
      <c r="B251" s="5" t="inlineStr">
        <is>
          <t>S3</t>
        </is>
      </c>
      <c r="C251" s="5" t="inlineStr">
        <is>
          <t>2: Acidic pH-switching adhesive and release matrices</t>
        </is>
      </c>
      <c r="D251" s="5" t="inlineStr">
        <is>
          <t>pH-responsive hydrogel loaded with insulin as a bioactive dressing for enhancing diabetic wound healing</t>
        </is>
      </c>
      <c r="E251" s="5" t="inlineStr">
        <is>
          <t>10.1016/j.matdes.2021.110104</t>
        </is>
      </c>
      <c r="F251" s="5" t="inlineStr">
        <is>
          <t>Sustained or staged delivery</t>
        </is>
      </c>
      <c r="G251" s="5" t="inlineStr">
        <is>
          <t>Inflammation or macrophage modulation</t>
        </is>
      </c>
      <c r="H251" s="6" t="inlineStr">
        <is>
          <t>1</t>
        </is>
      </c>
      <c r="K251" s="5" t="inlineStr">
        <is>
          <t xml:space="preserve">; </t>
        </is>
      </c>
      <c r="M251" s="5" t="inlineStr">
        <is>
          <t>100.0</t>
        </is>
      </c>
      <c r="N251" s="5" t="inlineStr">
        <is>
          <t>YES</t>
        </is>
      </c>
    </row>
    <row r="252">
      <c r="A252" s="6" t="n">
        <v>206</v>
      </c>
      <c r="B252" s="5" t="inlineStr">
        <is>
          <t>S3</t>
        </is>
      </c>
      <c r="C252" s="5" t="inlineStr">
        <is>
          <t>2: Acidic pH-switching adhesive and release matrices</t>
        </is>
      </c>
      <c r="D252" s="5" t="inlineStr">
        <is>
          <t>pH-responsive hydrogel loaded with insulin as a bioactive dressing for enhancing diabetic wound healing</t>
        </is>
      </c>
      <c r="E252" s="5" t="inlineStr">
        <is>
          <t>10.1016/j.matdes.2021.110104</t>
        </is>
      </c>
      <c r="F252" s="5" t="inlineStr">
        <is>
          <t>Sustained or staged delivery</t>
        </is>
      </c>
      <c r="G252" s="5" t="inlineStr">
        <is>
          <t>Angiogenesis</t>
        </is>
      </c>
      <c r="H252" s="6" t="inlineStr">
        <is>
          <t>1</t>
        </is>
      </c>
      <c r="K252" s="5" t="inlineStr">
        <is>
          <t xml:space="preserve">; </t>
        </is>
      </c>
      <c r="M252" s="5" t="inlineStr">
        <is>
          <t>100.0</t>
        </is>
      </c>
      <c r="N252" s="5" t="inlineStr">
        <is>
          <t>YES</t>
        </is>
      </c>
    </row>
    <row r="253">
      <c r="A253" s="6" t="n">
        <v>206</v>
      </c>
      <c r="B253" s="5" t="inlineStr">
        <is>
          <t>S3</t>
        </is>
      </c>
      <c r="C253" s="5" t="inlineStr">
        <is>
          <t>2: Acidic pH-switching adhesive and release matrices</t>
        </is>
      </c>
      <c r="D253" s="5" t="inlineStr">
        <is>
          <t>pH-responsive hydrogel loaded with insulin as a bioactive dressing for enhancing diabetic wound healing</t>
        </is>
      </c>
      <c r="E253" s="5" t="inlineStr">
        <is>
          <t>10.1016/j.matdes.2021.110104</t>
        </is>
      </c>
      <c r="F253" s="5" t="inlineStr">
        <is>
          <t>Sustained or staged delivery</t>
        </is>
      </c>
      <c r="G253" s="5" t="inlineStr">
        <is>
          <t>Collagen or matrix remodeling</t>
        </is>
      </c>
      <c r="H253" s="6" t="inlineStr">
        <is>
          <t>1</t>
        </is>
      </c>
      <c r="K253" s="5" t="inlineStr">
        <is>
          <t xml:space="preserve">; </t>
        </is>
      </c>
      <c r="M253" s="5" t="inlineStr">
        <is>
          <t>100.0</t>
        </is>
      </c>
      <c r="N253" s="5" t="inlineStr">
        <is>
          <t>YES</t>
        </is>
      </c>
    </row>
    <row r="254">
      <c r="A254" s="6" t="n">
        <v>206</v>
      </c>
      <c r="B254" s="5" t="inlineStr">
        <is>
          <t>S3</t>
        </is>
      </c>
      <c r="C254" s="5" t="inlineStr">
        <is>
          <t>2: Acidic pH-switching adhesive and release matrices</t>
        </is>
      </c>
      <c r="D254" s="5" t="inlineStr">
        <is>
          <t>pH-responsive hydrogel loaded with insulin as a bioactive dressing for enhancing diabetic wound healing</t>
        </is>
      </c>
      <c r="E254" s="5" t="inlineStr">
        <is>
          <t>10.1016/j.matdes.2021.110104</t>
        </is>
      </c>
      <c r="F254" s="5" t="inlineStr">
        <is>
          <t>Sustained or staged delivery</t>
        </is>
      </c>
      <c r="G254" s="5" t="inlineStr">
        <is>
          <t>Re-epithelialization</t>
        </is>
      </c>
      <c r="H254" s="6" t="inlineStr">
        <is>
          <t>1</t>
        </is>
      </c>
      <c r="K254" s="5" t="inlineStr">
        <is>
          <t xml:space="preserve">; </t>
        </is>
      </c>
      <c r="M254" s="5" t="inlineStr">
        <is>
          <t>100.0</t>
        </is>
      </c>
      <c r="N254" s="5" t="inlineStr">
        <is>
          <t>YES</t>
        </is>
      </c>
    </row>
    <row r="255">
      <c r="A255" s="6" t="n">
        <v>206</v>
      </c>
      <c r="B255" s="5" t="inlineStr">
        <is>
          <t>S3</t>
        </is>
      </c>
      <c r="C255" s="5" t="inlineStr">
        <is>
          <t>2: Acidic pH-switching adhesive and release matrices</t>
        </is>
      </c>
      <c r="D255" s="5" t="inlineStr">
        <is>
          <t>pH-responsive hydrogel loaded with insulin as a bioactive dressing for enhancing diabetic wound healing</t>
        </is>
      </c>
      <c r="E255" s="5" t="inlineStr">
        <is>
          <t>10.1016/j.matdes.2021.110104</t>
        </is>
      </c>
      <c r="F255" s="5" t="inlineStr">
        <is>
          <t>Sustained or staged delivery</t>
        </is>
      </c>
      <c r="G255" s="5" t="inlineStr">
        <is>
          <t>Wound closure</t>
        </is>
      </c>
      <c r="H255" s="6" t="inlineStr">
        <is>
          <t>1</t>
        </is>
      </c>
      <c r="K255" s="5" t="inlineStr">
        <is>
          <t xml:space="preserve">; </t>
        </is>
      </c>
      <c r="M255" s="5" t="inlineStr">
        <is>
          <t>100.0</t>
        </is>
      </c>
      <c r="N255" s="5" t="inlineStr">
        <is>
          <t>YES</t>
        </is>
      </c>
    </row>
    <row r="256">
      <c r="A256" s="6" t="n">
        <v>206</v>
      </c>
      <c r="B256" s="5" t="inlineStr">
        <is>
          <t>S3</t>
        </is>
      </c>
      <c r="C256" s="5" t="inlineStr">
        <is>
          <t>2: Acidic pH-switching adhesive and release matrices</t>
        </is>
      </c>
      <c r="D256" s="5" t="inlineStr">
        <is>
          <t>pH-responsive hydrogel loaded with insulin as a bioactive dressing for enhancing diabetic wound healing</t>
        </is>
      </c>
      <c r="E256" s="5" t="inlineStr">
        <is>
          <t>10.1016/j.matdes.2021.110104</t>
        </is>
      </c>
      <c r="F256" s="5" t="inlineStr">
        <is>
          <t>Sustained or staged delivery</t>
        </is>
      </c>
      <c r="G256" s="5" t="inlineStr">
        <is>
          <t>Safety or cytocompatibility</t>
        </is>
      </c>
      <c r="H256" s="6" t="inlineStr">
        <is>
          <t>1</t>
        </is>
      </c>
      <c r="K256" s="5" t="inlineStr">
        <is>
          <t xml:space="preserve">; </t>
        </is>
      </c>
      <c r="M256" s="5" t="inlineStr">
        <is>
          <t>100.0</t>
        </is>
      </c>
      <c r="N256" s="5" t="inlineStr">
        <is>
          <t>YES</t>
        </is>
      </c>
    </row>
    <row r="257">
      <c r="A257" s="6" t="n">
        <v>248</v>
      </c>
      <c r="B257" s="5" t="inlineStr">
        <is>
          <t>S3</t>
        </is>
      </c>
      <c r="C257" s="5" t="inlineStr">
        <is>
          <t>10: Growth-factor and protein delivery depots</t>
        </is>
      </c>
      <c r="D257" s="5" t="inlineStr">
        <is>
          <t>Sustained release of insulin-like growth factor-1 from Bombyx mori L. silk fibroin delivery for diabetic wound therapy</t>
        </is>
      </c>
      <c r="E257" s="5" t="inlineStr">
        <is>
          <t>10.3390/ijms22126267</t>
        </is>
      </c>
      <c r="F257" s="5" t="inlineStr">
        <is>
          <t>Sustained or staged delivery</t>
        </is>
      </c>
      <c r="G257" s="5" t="inlineStr">
        <is>
          <t>Release kinetics measured</t>
        </is>
      </c>
      <c r="H257" s="6" t="inlineStr">
        <is>
          <t>1</t>
        </is>
      </c>
      <c r="K257" s="5" t="inlineStr">
        <is>
          <t xml:space="preserve">; </t>
        </is>
      </c>
      <c r="M257" s="5" t="inlineStr">
        <is>
          <t>100.0</t>
        </is>
      </c>
      <c r="N257" s="5" t="inlineStr">
        <is>
          <t>YES</t>
        </is>
      </c>
    </row>
    <row r="258">
      <c r="A258" s="6" t="n">
        <v>248</v>
      </c>
      <c r="B258" s="5" t="inlineStr">
        <is>
          <t>S3</t>
        </is>
      </c>
      <c r="C258" s="5" t="inlineStr">
        <is>
          <t>10: Growth-factor and protein delivery depots</t>
        </is>
      </c>
      <c r="D258" s="5" t="inlineStr">
        <is>
          <t>Sustained release of insulin-like growth factor-1 from Bombyx mori L. silk fibroin delivery for diabetic wound therapy</t>
        </is>
      </c>
      <c r="E258" s="5" t="inlineStr">
        <is>
          <t>10.3390/ijms22126267</t>
        </is>
      </c>
      <c r="F258" s="5" t="inlineStr">
        <is>
          <t>Sustained or staged delivery</t>
        </is>
      </c>
      <c r="G258" s="5" t="inlineStr">
        <is>
          <t>Antimicrobial or biofilm control</t>
        </is>
      </c>
      <c r="H258" s="6" t="inlineStr">
        <is>
          <t>1</t>
        </is>
      </c>
      <c r="K258" s="5" t="inlineStr">
        <is>
          <t xml:space="preserve">; </t>
        </is>
      </c>
      <c r="M258" s="5" t="inlineStr">
        <is>
          <t>100.0</t>
        </is>
      </c>
      <c r="N258" s="5" t="inlineStr">
        <is>
          <t>YES</t>
        </is>
      </c>
    </row>
    <row r="259">
      <c r="A259" s="6" t="n">
        <v>248</v>
      </c>
      <c r="B259" s="5" t="inlineStr">
        <is>
          <t>S3</t>
        </is>
      </c>
      <c r="C259" s="5" t="inlineStr">
        <is>
          <t>10: Growth-factor and protein delivery depots</t>
        </is>
      </c>
      <c r="D259" s="5" t="inlineStr">
        <is>
          <t>Sustained release of insulin-like growth factor-1 from Bombyx mori L. silk fibroin delivery for diabetic wound therapy</t>
        </is>
      </c>
      <c r="E259" s="5" t="inlineStr">
        <is>
          <t>10.3390/ijms22126267</t>
        </is>
      </c>
      <c r="F259" s="5" t="inlineStr">
        <is>
          <t>Sustained or staged delivery</t>
        </is>
      </c>
      <c r="G259" s="5" t="inlineStr">
        <is>
          <t>Angiogenesis</t>
        </is>
      </c>
      <c r="H259" s="6" t="inlineStr">
        <is>
          <t>1</t>
        </is>
      </c>
      <c r="K259" s="5" t="inlineStr">
        <is>
          <t xml:space="preserve">; </t>
        </is>
      </c>
      <c r="M259" s="5" t="inlineStr">
        <is>
          <t>100.0</t>
        </is>
      </c>
      <c r="N259" s="5" t="inlineStr">
        <is>
          <t>YES</t>
        </is>
      </c>
    </row>
    <row r="260">
      <c r="A260" s="6" t="n">
        <v>248</v>
      </c>
      <c r="B260" s="5" t="inlineStr">
        <is>
          <t>S3</t>
        </is>
      </c>
      <c r="C260" s="5" t="inlineStr">
        <is>
          <t>10: Growth-factor and protein delivery depots</t>
        </is>
      </c>
      <c r="D260" s="5" t="inlineStr">
        <is>
          <t>Sustained release of insulin-like growth factor-1 from Bombyx mori L. silk fibroin delivery for diabetic wound therapy</t>
        </is>
      </c>
      <c r="E260" s="5" t="inlineStr">
        <is>
          <t>10.3390/ijms22126267</t>
        </is>
      </c>
      <c r="F260" s="5" t="inlineStr">
        <is>
          <t>Sustained or staged delivery</t>
        </is>
      </c>
      <c r="G260" s="5" t="inlineStr">
        <is>
          <t>Collagen or matrix remodeling</t>
        </is>
      </c>
      <c r="H260" s="6" t="inlineStr">
        <is>
          <t>1</t>
        </is>
      </c>
      <c r="K260" s="5" t="inlineStr">
        <is>
          <t xml:space="preserve">; </t>
        </is>
      </c>
      <c r="M260" s="5" t="inlineStr">
        <is>
          <t>100.0</t>
        </is>
      </c>
      <c r="N260" s="5" t="inlineStr">
        <is>
          <t>YES</t>
        </is>
      </c>
    </row>
    <row r="261">
      <c r="A261" s="6" t="n">
        <v>248</v>
      </c>
      <c r="B261" s="5" t="inlineStr">
        <is>
          <t>S3</t>
        </is>
      </c>
      <c r="C261" s="5" t="inlineStr">
        <is>
          <t>10: Growth-factor and protein delivery depots</t>
        </is>
      </c>
      <c r="D261" s="5" t="inlineStr">
        <is>
          <t>Sustained release of insulin-like growth factor-1 from Bombyx mori L. silk fibroin delivery for diabetic wound therapy</t>
        </is>
      </c>
      <c r="E261" s="5" t="inlineStr">
        <is>
          <t>10.3390/ijms22126267</t>
        </is>
      </c>
      <c r="F261" s="5" t="inlineStr">
        <is>
          <t>Sustained or staged delivery</t>
        </is>
      </c>
      <c r="G261" s="5" t="inlineStr">
        <is>
          <t>Re-epithelialization</t>
        </is>
      </c>
      <c r="H261" s="6" t="inlineStr">
        <is>
          <t>1</t>
        </is>
      </c>
      <c r="K261" s="5" t="inlineStr">
        <is>
          <t xml:space="preserve">; </t>
        </is>
      </c>
      <c r="M261" s="5" t="inlineStr">
        <is>
          <t>100.0</t>
        </is>
      </c>
      <c r="N261" s="5" t="inlineStr">
        <is>
          <t>YES</t>
        </is>
      </c>
    </row>
    <row r="262">
      <c r="A262" s="6" t="n">
        <v>248</v>
      </c>
      <c r="B262" s="5" t="inlineStr">
        <is>
          <t>S3</t>
        </is>
      </c>
      <c r="C262" s="5" t="inlineStr">
        <is>
          <t>10: Growth-factor and protein delivery depots</t>
        </is>
      </c>
      <c r="D262" s="5" t="inlineStr">
        <is>
          <t>Sustained release of insulin-like growth factor-1 from Bombyx mori L. silk fibroin delivery for diabetic wound therapy</t>
        </is>
      </c>
      <c r="E262" s="5" t="inlineStr">
        <is>
          <t>10.3390/ijms22126267</t>
        </is>
      </c>
      <c r="F262" s="5" t="inlineStr">
        <is>
          <t>Sustained or staged delivery</t>
        </is>
      </c>
      <c r="G262" s="5" t="inlineStr">
        <is>
          <t>Wound closure</t>
        </is>
      </c>
      <c r="H262" s="6" t="inlineStr">
        <is>
          <t>1</t>
        </is>
      </c>
      <c r="K262" s="5" t="inlineStr">
        <is>
          <t xml:space="preserve">; </t>
        </is>
      </c>
      <c r="M262" s="5" t="inlineStr">
        <is>
          <t>100.0</t>
        </is>
      </c>
      <c r="N262" s="5" t="inlineStr">
        <is>
          <t>YES</t>
        </is>
      </c>
    </row>
    <row r="263">
      <c r="A263" s="6" t="n">
        <v>248</v>
      </c>
      <c r="B263" s="5" t="inlineStr">
        <is>
          <t>S3</t>
        </is>
      </c>
      <c r="C263" s="5" t="inlineStr">
        <is>
          <t>10: Growth-factor and protein delivery depots</t>
        </is>
      </c>
      <c r="D263" s="5" t="inlineStr">
        <is>
          <t>Sustained release of insulin-like growth factor-1 from Bombyx mori L. silk fibroin delivery for diabetic wound therapy</t>
        </is>
      </c>
      <c r="E263" s="5" t="inlineStr">
        <is>
          <t>10.3390/ijms22126267</t>
        </is>
      </c>
      <c r="F263" s="5" t="inlineStr">
        <is>
          <t>Sustained or staged delivery</t>
        </is>
      </c>
      <c r="G263" s="5" t="inlineStr">
        <is>
          <t>Safety or cytocompatibility</t>
        </is>
      </c>
      <c r="H263" s="6" t="inlineStr">
        <is>
          <t>1</t>
        </is>
      </c>
      <c r="K263" s="5" t="inlineStr">
        <is>
          <t xml:space="preserve">; </t>
        </is>
      </c>
      <c r="M263" s="5" t="inlineStr">
        <is>
          <t>100.0</t>
        </is>
      </c>
      <c r="N263" s="5" t="inlineStr">
        <is>
          <t>YES</t>
        </is>
      </c>
    </row>
    <row r="264">
      <c r="A264" s="6" t="n">
        <v>249</v>
      </c>
      <c r="B264" s="5" t="inlineStr">
        <is>
          <t>S3</t>
        </is>
      </c>
      <c r="C264" s="5" t="inlineStr">
        <is>
          <t>10: Growth-factor and protein delivery depots</t>
        </is>
      </c>
      <c r="D264" s="5" t="inlineStr">
        <is>
          <t>Controlled platelet-derived growth factor delivery by hyaluronic acid hydrogels with tunable crosslinking for accelerated chronic wound healing</t>
        </is>
      </c>
      <c r="E264" s="5" t="inlineStr">
        <is>
          <t>10.1016/j.ijbiomac.2025.140710</t>
        </is>
      </c>
      <c r="F264" s="5" t="inlineStr">
        <is>
          <t>Sustained or staged delivery</t>
        </is>
      </c>
      <c r="G264" s="5" t="inlineStr">
        <is>
          <t>Release kinetics measured</t>
        </is>
      </c>
      <c r="H264" s="6" t="inlineStr">
        <is>
          <t>1</t>
        </is>
      </c>
      <c r="K264" s="5" t="inlineStr">
        <is>
          <t xml:space="preserve">; </t>
        </is>
      </c>
      <c r="M264" s="5" t="inlineStr">
        <is>
          <t>100.0</t>
        </is>
      </c>
      <c r="N264" s="5" t="inlineStr">
        <is>
          <t>YES</t>
        </is>
      </c>
    </row>
    <row r="265">
      <c r="A265" s="6" t="n">
        <v>249</v>
      </c>
      <c r="B265" s="5" t="inlineStr">
        <is>
          <t>S3</t>
        </is>
      </c>
      <c r="C265" s="5" t="inlineStr">
        <is>
          <t>10: Growth-factor and protein delivery depots</t>
        </is>
      </c>
      <c r="D265" s="5" t="inlineStr">
        <is>
          <t>Controlled platelet-derived growth factor delivery by hyaluronic acid hydrogels with tunable crosslinking for accelerated chronic wound healing</t>
        </is>
      </c>
      <c r="E265" s="5" t="inlineStr">
        <is>
          <t>10.1016/j.ijbiomac.2025.140710</t>
        </is>
      </c>
      <c r="F265" s="5" t="inlineStr">
        <is>
          <t>Sustained or staged delivery</t>
        </is>
      </c>
      <c r="G265" s="5" t="inlineStr">
        <is>
          <t>Inflammation or macrophage modulation</t>
        </is>
      </c>
      <c r="H265" s="6" t="inlineStr">
        <is>
          <t>1</t>
        </is>
      </c>
      <c r="K265" s="5" t="inlineStr">
        <is>
          <t xml:space="preserve">; </t>
        </is>
      </c>
      <c r="M265" s="5" t="inlineStr">
        <is>
          <t>100.0</t>
        </is>
      </c>
      <c r="N265" s="5" t="inlineStr">
        <is>
          <t>YES</t>
        </is>
      </c>
    </row>
    <row r="266">
      <c r="A266" s="6" t="n">
        <v>249</v>
      </c>
      <c r="B266" s="5" t="inlineStr">
        <is>
          <t>S3</t>
        </is>
      </c>
      <c r="C266" s="5" t="inlineStr">
        <is>
          <t>10: Growth-factor and protein delivery depots</t>
        </is>
      </c>
      <c r="D266" s="5" t="inlineStr">
        <is>
          <t>Controlled platelet-derived growth factor delivery by hyaluronic acid hydrogels with tunable crosslinking for accelerated chronic wound healing</t>
        </is>
      </c>
      <c r="E266" s="5" t="inlineStr">
        <is>
          <t>10.1016/j.ijbiomac.2025.140710</t>
        </is>
      </c>
      <c r="F266" s="5" t="inlineStr">
        <is>
          <t>Sustained or staged delivery</t>
        </is>
      </c>
      <c r="G266" s="5" t="inlineStr">
        <is>
          <t>Angiogenesis</t>
        </is>
      </c>
      <c r="H266" s="6" t="inlineStr">
        <is>
          <t>1</t>
        </is>
      </c>
      <c r="K266" s="5" t="inlineStr">
        <is>
          <t xml:space="preserve">; </t>
        </is>
      </c>
      <c r="M266" s="5" t="inlineStr">
        <is>
          <t>100.0</t>
        </is>
      </c>
      <c r="N266" s="5" t="inlineStr">
        <is>
          <t>YES</t>
        </is>
      </c>
    </row>
    <row r="267">
      <c r="A267" s="6" t="n">
        <v>249</v>
      </c>
      <c r="B267" s="5" t="inlineStr">
        <is>
          <t>S3</t>
        </is>
      </c>
      <c r="C267" s="5" t="inlineStr">
        <is>
          <t>10: Growth-factor and protein delivery depots</t>
        </is>
      </c>
      <c r="D267" s="5" t="inlineStr">
        <is>
          <t>Controlled platelet-derived growth factor delivery by hyaluronic acid hydrogels with tunable crosslinking for accelerated chronic wound healing</t>
        </is>
      </c>
      <c r="E267" s="5" t="inlineStr">
        <is>
          <t>10.1016/j.ijbiomac.2025.140710</t>
        </is>
      </c>
      <c r="F267" s="5" t="inlineStr">
        <is>
          <t>Sustained or staged delivery</t>
        </is>
      </c>
      <c r="G267" s="5" t="inlineStr">
        <is>
          <t>Collagen or matrix remodeling</t>
        </is>
      </c>
      <c r="H267" s="6" t="inlineStr">
        <is>
          <t>1</t>
        </is>
      </c>
      <c r="K267" s="5" t="inlineStr">
        <is>
          <t xml:space="preserve">; </t>
        </is>
      </c>
      <c r="M267" s="5" t="inlineStr">
        <is>
          <t>100.0</t>
        </is>
      </c>
      <c r="N267" s="5" t="inlineStr">
        <is>
          <t>YES</t>
        </is>
      </c>
    </row>
    <row r="268">
      <c r="A268" s="6" t="n">
        <v>249</v>
      </c>
      <c r="B268" s="5" t="inlineStr">
        <is>
          <t>S3</t>
        </is>
      </c>
      <c r="C268" s="5" t="inlineStr">
        <is>
          <t>10: Growth-factor and protein delivery depots</t>
        </is>
      </c>
      <c r="D268" s="5" t="inlineStr">
        <is>
          <t>Controlled platelet-derived growth factor delivery by hyaluronic acid hydrogels with tunable crosslinking for accelerated chronic wound healing</t>
        </is>
      </c>
      <c r="E268" s="5" t="inlineStr">
        <is>
          <t>10.1016/j.ijbiomac.2025.140710</t>
        </is>
      </c>
      <c r="F268" s="5" t="inlineStr">
        <is>
          <t>Sustained or staged delivery</t>
        </is>
      </c>
      <c r="G268" s="5" t="inlineStr">
        <is>
          <t>Wound closure</t>
        </is>
      </c>
      <c r="H268" s="6" t="inlineStr">
        <is>
          <t>1</t>
        </is>
      </c>
      <c r="K268" s="5" t="inlineStr">
        <is>
          <t xml:space="preserve">; </t>
        </is>
      </c>
      <c r="M268" s="5" t="inlineStr">
        <is>
          <t>100.0</t>
        </is>
      </c>
      <c r="N268" s="5" t="inlineStr">
        <is>
          <t>YES</t>
        </is>
      </c>
    </row>
    <row r="269">
      <c r="A269" s="6" t="n">
        <v>249</v>
      </c>
      <c r="B269" s="5" t="inlineStr">
        <is>
          <t>S3</t>
        </is>
      </c>
      <c r="C269" s="5" t="inlineStr">
        <is>
          <t>10: Growth-factor and protein delivery depots</t>
        </is>
      </c>
      <c r="D269" s="5" t="inlineStr">
        <is>
          <t>Controlled platelet-derived growth factor delivery by hyaluronic acid hydrogels with tunable crosslinking for accelerated chronic wound healing</t>
        </is>
      </c>
      <c r="E269" s="5" t="inlineStr">
        <is>
          <t>10.1016/j.ijbiomac.2025.140710</t>
        </is>
      </c>
      <c r="F269" s="5" t="inlineStr">
        <is>
          <t>Sustained or staged delivery</t>
        </is>
      </c>
      <c r="G269" s="5" t="inlineStr">
        <is>
          <t>Safety or cytocompatibility</t>
        </is>
      </c>
      <c r="H269" s="6" t="inlineStr">
        <is>
          <t>1</t>
        </is>
      </c>
      <c r="K269" s="5" t="inlineStr">
        <is>
          <t xml:space="preserve">; </t>
        </is>
      </c>
      <c r="M269" s="5" t="inlineStr">
        <is>
          <t>100.0</t>
        </is>
      </c>
      <c r="N269" s="5" t="inlineStr">
        <is>
          <t>YES</t>
        </is>
      </c>
    </row>
    <row r="270">
      <c r="A270" s="6" t="n">
        <v>250</v>
      </c>
      <c r="B270" s="5" t="inlineStr">
        <is>
          <t>S3</t>
        </is>
      </c>
      <c r="C270" s="5" t="inlineStr">
        <is>
          <t>10: Growth-factor and protein delivery depots</t>
        </is>
      </c>
      <c r="D270" s="5" t="inlineStr">
        <is>
          <t>Platelet‐derived growth factor nanocapsules with tunable controlled release for chronic wound healing</t>
        </is>
      </c>
      <c r="E270" s="5" t="inlineStr">
        <is>
          <t>10.1002/smll.202310743</t>
        </is>
      </c>
      <c r="F270" s="5" t="inlineStr">
        <is>
          <t>Sustained or staged delivery</t>
        </is>
      </c>
      <c r="G270" s="5" t="inlineStr">
        <is>
          <t>Release kinetics measured</t>
        </is>
      </c>
      <c r="H270" s="6" t="inlineStr">
        <is>
          <t>1</t>
        </is>
      </c>
      <c r="K270" s="5" t="inlineStr">
        <is>
          <t xml:space="preserve">; </t>
        </is>
      </c>
      <c r="M270" s="5" t="inlineStr">
        <is>
          <t>100.0</t>
        </is>
      </c>
      <c r="N270" s="5" t="inlineStr">
        <is>
          <t>YES</t>
        </is>
      </c>
    </row>
    <row r="271">
      <c r="A271" s="6" t="n">
        <v>250</v>
      </c>
      <c r="B271" s="5" t="inlineStr">
        <is>
          <t>S3</t>
        </is>
      </c>
      <c r="C271" s="5" t="inlineStr">
        <is>
          <t>10: Growth-factor and protein delivery depots</t>
        </is>
      </c>
      <c r="D271" s="5" t="inlineStr">
        <is>
          <t>Platelet‐derived growth factor nanocapsules with tunable controlled release for chronic wound healing</t>
        </is>
      </c>
      <c r="E271" s="5" t="inlineStr">
        <is>
          <t>10.1002/smll.202310743</t>
        </is>
      </c>
      <c r="F271" s="5" t="inlineStr">
        <is>
          <t>Sustained or staged delivery</t>
        </is>
      </c>
      <c r="G271" s="5" t="inlineStr">
        <is>
          <t>Antimicrobial or biofilm control</t>
        </is>
      </c>
      <c r="H271" s="6" t="inlineStr">
        <is>
          <t>1</t>
        </is>
      </c>
      <c r="K271" s="5" t="inlineStr">
        <is>
          <t xml:space="preserve">; </t>
        </is>
      </c>
      <c r="M271" s="5" t="inlineStr">
        <is>
          <t>100.0</t>
        </is>
      </c>
      <c r="N271" s="5" t="inlineStr">
        <is>
          <t>YES</t>
        </is>
      </c>
    </row>
    <row r="272">
      <c r="A272" s="6" t="n">
        <v>250</v>
      </c>
      <c r="B272" s="5" t="inlineStr">
        <is>
          <t>S3</t>
        </is>
      </c>
      <c r="C272" s="5" t="inlineStr">
        <is>
          <t>10: Growth-factor and protein delivery depots</t>
        </is>
      </c>
      <c r="D272" s="5" t="inlineStr">
        <is>
          <t>Platelet‐derived growth factor nanocapsules with tunable controlled release for chronic wound healing</t>
        </is>
      </c>
      <c r="E272" s="5" t="inlineStr">
        <is>
          <t>10.1002/smll.202310743</t>
        </is>
      </c>
      <c r="F272" s="5" t="inlineStr">
        <is>
          <t>Sustained or staged delivery</t>
        </is>
      </c>
      <c r="G272" s="5" t="inlineStr">
        <is>
          <t>Inflammation or macrophage modulation</t>
        </is>
      </c>
      <c r="H272" s="6" t="inlineStr">
        <is>
          <t>1</t>
        </is>
      </c>
      <c r="K272" s="5" t="inlineStr">
        <is>
          <t xml:space="preserve">; </t>
        </is>
      </c>
      <c r="M272" s="5" t="inlineStr">
        <is>
          <t>100.0</t>
        </is>
      </c>
      <c r="N272" s="5" t="inlineStr">
        <is>
          <t>YES</t>
        </is>
      </c>
    </row>
    <row r="273">
      <c r="A273" s="6" t="n">
        <v>250</v>
      </c>
      <c r="B273" s="5" t="inlineStr">
        <is>
          <t>S3</t>
        </is>
      </c>
      <c r="C273" s="5" t="inlineStr">
        <is>
          <t>10: Growth-factor and protein delivery depots</t>
        </is>
      </c>
      <c r="D273" s="5" t="inlineStr">
        <is>
          <t>Platelet‐derived growth factor nanocapsules with tunable controlled release for chronic wound healing</t>
        </is>
      </c>
      <c r="E273" s="5" t="inlineStr">
        <is>
          <t>10.1002/smll.202310743</t>
        </is>
      </c>
      <c r="F273" s="5" t="inlineStr">
        <is>
          <t>Sustained or staged delivery</t>
        </is>
      </c>
      <c r="G273" s="5" t="inlineStr">
        <is>
          <t>Angiogenesis</t>
        </is>
      </c>
      <c r="H273" s="6" t="inlineStr">
        <is>
          <t>1</t>
        </is>
      </c>
      <c r="K273" s="5" t="inlineStr">
        <is>
          <t xml:space="preserve">; </t>
        </is>
      </c>
      <c r="M273" s="5" t="inlineStr">
        <is>
          <t>100.0</t>
        </is>
      </c>
      <c r="N273" s="5" t="inlineStr">
        <is>
          <t>YES</t>
        </is>
      </c>
    </row>
    <row r="274">
      <c r="A274" s="6" t="n">
        <v>250</v>
      </c>
      <c r="B274" s="5" t="inlineStr">
        <is>
          <t>S3</t>
        </is>
      </c>
      <c r="C274" s="5" t="inlineStr">
        <is>
          <t>10: Growth-factor and protein delivery depots</t>
        </is>
      </c>
      <c r="D274" s="5" t="inlineStr">
        <is>
          <t>Platelet‐derived growth factor nanocapsules with tunable controlled release for chronic wound healing</t>
        </is>
      </c>
      <c r="E274" s="5" t="inlineStr">
        <is>
          <t>10.1002/smll.202310743</t>
        </is>
      </c>
      <c r="F274" s="5" t="inlineStr">
        <is>
          <t>Sustained or staged delivery</t>
        </is>
      </c>
      <c r="G274" s="5" t="inlineStr">
        <is>
          <t>Collagen or matrix remodeling</t>
        </is>
      </c>
      <c r="H274" s="6" t="inlineStr">
        <is>
          <t>1</t>
        </is>
      </c>
      <c r="K274" s="5" t="inlineStr">
        <is>
          <t xml:space="preserve">; </t>
        </is>
      </c>
      <c r="M274" s="5" t="inlineStr">
        <is>
          <t>100.0</t>
        </is>
      </c>
      <c r="N274" s="5" t="inlineStr">
        <is>
          <t>YES</t>
        </is>
      </c>
    </row>
    <row r="275">
      <c r="A275" s="6" t="n">
        <v>250</v>
      </c>
      <c r="B275" s="5" t="inlineStr">
        <is>
          <t>S3</t>
        </is>
      </c>
      <c r="C275" s="5" t="inlineStr">
        <is>
          <t>10: Growth-factor and protein delivery depots</t>
        </is>
      </c>
      <c r="D275" s="5" t="inlineStr">
        <is>
          <t>Platelet‐derived growth factor nanocapsules with tunable controlled release for chronic wound healing</t>
        </is>
      </c>
      <c r="E275" s="5" t="inlineStr">
        <is>
          <t>10.1002/smll.202310743</t>
        </is>
      </c>
      <c r="F275" s="5" t="inlineStr">
        <is>
          <t>Sustained or staged delivery</t>
        </is>
      </c>
      <c r="G275" s="5" t="inlineStr">
        <is>
          <t>Re-epithelialization</t>
        </is>
      </c>
      <c r="H275" s="6" t="inlineStr">
        <is>
          <t>1</t>
        </is>
      </c>
      <c r="K275" s="5" t="inlineStr">
        <is>
          <t xml:space="preserve">; </t>
        </is>
      </c>
      <c r="M275" s="5" t="inlineStr">
        <is>
          <t>100.0</t>
        </is>
      </c>
      <c r="N275" s="5" t="inlineStr">
        <is>
          <t>YES</t>
        </is>
      </c>
    </row>
    <row r="276">
      <c r="A276" s="6" t="n">
        <v>250</v>
      </c>
      <c r="B276" s="5" t="inlineStr">
        <is>
          <t>S3</t>
        </is>
      </c>
      <c r="C276" s="5" t="inlineStr">
        <is>
          <t>10: Growth-factor and protein delivery depots</t>
        </is>
      </c>
      <c r="D276" s="5" t="inlineStr">
        <is>
          <t>Platelet‐derived growth factor nanocapsules with tunable controlled release for chronic wound healing</t>
        </is>
      </c>
      <c r="E276" s="5" t="inlineStr">
        <is>
          <t>10.1002/smll.202310743</t>
        </is>
      </c>
      <c r="F276" s="5" t="inlineStr">
        <is>
          <t>Sustained or staged delivery</t>
        </is>
      </c>
      <c r="G276" s="5" t="inlineStr">
        <is>
          <t>Wound closure</t>
        </is>
      </c>
      <c r="H276" s="6" t="inlineStr">
        <is>
          <t>1</t>
        </is>
      </c>
      <c r="K276" s="5" t="inlineStr">
        <is>
          <t xml:space="preserve">; </t>
        </is>
      </c>
      <c r="M276" s="5" t="inlineStr">
        <is>
          <t>100.0</t>
        </is>
      </c>
      <c r="N276" s="5" t="inlineStr">
        <is>
          <t>YES</t>
        </is>
      </c>
    </row>
    <row r="277">
      <c r="A277" s="6" t="n">
        <v>250</v>
      </c>
      <c r="B277" s="5" t="inlineStr">
        <is>
          <t>S3</t>
        </is>
      </c>
      <c r="C277" s="5" t="inlineStr">
        <is>
          <t>10: Growth-factor and protein delivery depots</t>
        </is>
      </c>
      <c r="D277" s="5" t="inlineStr">
        <is>
          <t>Platelet‐derived growth factor nanocapsules with tunable controlled release for chronic wound healing</t>
        </is>
      </c>
      <c r="E277" s="5" t="inlineStr">
        <is>
          <t>10.1002/smll.202310743</t>
        </is>
      </c>
      <c r="F277" s="5" t="inlineStr">
        <is>
          <t>Sustained or staged delivery</t>
        </is>
      </c>
      <c r="G277" s="5" t="inlineStr">
        <is>
          <t>Safety or cytocompatibility</t>
        </is>
      </c>
      <c r="H277" s="6" t="inlineStr">
        <is>
          <t>1</t>
        </is>
      </c>
      <c r="K277" s="5" t="inlineStr">
        <is>
          <t xml:space="preserve">; </t>
        </is>
      </c>
      <c r="M277" s="5" t="inlineStr">
        <is>
          <t>100.0</t>
        </is>
      </c>
      <c r="N277" s="5" t="inlineStr">
        <is>
          <t>YES</t>
        </is>
      </c>
    </row>
    <row r="278">
      <c r="A278" s="6" t="n">
        <v>252</v>
      </c>
      <c r="B278" s="5" t="inlineStr">
        <is>
          <t>S3</t>
        </is>
      </c>
      <c r="C278" s="5" t="inlineStr">
        <is>
          <t>10: Growth-factor and protein delivery depots</t>
        </is>
      </c>
      <c r="D278" s="5" t="inlineStr">
        <is>
          <t>Sequential release of multiple growth factors from injectable nanocomposite hyaluronic acid hydrogels for enhanced angiogenesis</t>
        </is>
      </c>
      <c r="E278" s="5" t="inlineStr">
        <is>
          <t>10.1016/j.cej.2025.168701</t>
        </is>
      </c>
      <c r="F278" s="5" t="inlineStr">
        <is>
          <t>Sustained or staged delivery</t>
        </is>
      </c>
      <c r="G278" s="5" t="inlineStr">
        <is>
          <t>Release kinetics measured</t>
        </is>
      </c>
      <c r="H278" s="6" t="inlineStr">
        <is>
          <t>1</t>
        </is>
      </c>
      <c r="K278" s="5" t="inlineStr">
        <is>
          <t xml:space="preserve">; </t>
        </is>
      </c>
      <c r="M278" s="5" t="inlineStr">
        <is>
          <t>100.0</t>
        </is>
      </c>
      <c r="N278" s="5" t="inlineStr">
        <is>
          <t>YES</t>
        </is>
      </c>
    </row>
    <row r="279">
      <c r="A279" s="6" t="n">
        <v>252</v>
      </c>
      <c r="B279" s="5" t="inlineStr">
        <is>
          <t>S3</t>
        </is>
      </c>
      <c r="C279" s="5" t="inlineStr">
        <is>
          <t>10: Growth-factor and protein delivery depots</t>
        </is>
      </c>
      <c r="D279" s="5" t="inlineStr">
        <is>
          <t>Sequential release of multiple growth factors from injectable nanocomposite hyaluronic acid hydrogels for enhanced angiogenesis</t>
        </is>
      </c>
      <c r="E279" s="5" t="inlineStr">
        <is>
          <t>10.1016/j.cej.2025.168701</t>
        </is>
      </c>
      <c r="F279" s="5" t="inlineStr">
        <is>
          <t>Sustained or staged delivery</t>
        </is>
      </c>
      <c r="G279" s="5" t="inlineStr">
        <is>
          <t>Antimicrobial or biofilm control</t>
        </is>
      </c>
      <c r="H279" s="6" t="inlineStr">
        <is>
          <t>1</t>
        </is>
      </c>
      <c r="K279" s="5" t="inlineStr">
        <is>
          <t xml:space="preserve">; </t>
        </is>
      </c>
      <c r="M279" s="5" t="inlineStr">
        <is>
          <t>100.0</t>
        </is>
      </c>
      <c r="N279" s="5" t="inlineStr">
        <is>
          <t>YES</t>
        </is>
      </c>
    </row>
    <row r="280">
      <c r="A280" s="6" t="n">
        <v>252</v>
      </c>
      <c r="B280" s="5" t="inlineStr">
        <is>
          <t>S3</t>
        </is>
      </c>
      <c r="C280" s="5" t="inlineStr">
        <is>
          <t>10: Growth-factor and protein delivery depots</t>
        </is>
      </c>
      <c r="D280" s="5" t="inlineStr">
        <is>
          <t>Sequential release of multiple growth factors from injectable nanocomposite hyaluronic acid hydrogels for enhanced angiogenesis</t>
        </is>
      </c>
      <c r="E280" s="5" t="inlineStr">
        <is>
          <t>10.1016/j.cej.2025.168701</t>
        </is>
      </c>
      <c r="F280" s="5" t="inlineStr">
        <is>
          <t>Sustained or staged delivery</t>
        </is>
      </c>
      <c r="G280" s="5" t="inlineStr">
        <is>
          <t>Angiogenesis</t>
        </is>
      </c>
      <c r="H280" s="6" t="inlineStr">
        <is>
          <t>1</t>
        </is>
      </c>
      <c r="K280" s="5" t="inlineStr">
        <is>
          <t xml:space="preserve">; </t>
        </is>
      </c>
      <c r="M280" s="5" t="inlineStr">
        <is>
          <t>100.0</t>
        </is>
      </c>
      <c r="N280" s="5" t="inlineStr">
        <is>
          <t>YES</t>
        </is>
      </c>
    </row>
    <row r="281">
      <c r="A281" s="6" t="n">
        <v>252</v>
      </c>
      <c r="B281" s="5" t="inlineStr">
        <is>
          <t>S3</t>
        </is>
      </c>
      <c r="C281" s="5" t="inlineStr">
        <is>
          <t>10: Growth-factor and protein delivery depots</t>
        </is>
      </c>
      <c r="D281" s="5" t="inlineStr">
        <is>
          <t>Sequential release of multiple growth factors from injectable nanocomposite hyaluronic acid hydrogels for enhanced angiogenesis</t>
        </is>
      </c>
      <c r="E281" s="5" t="inlineStr">
        <is>
          <t>10.1016/j.cej.2025.168701</t>
        </is>
      </c>
      <c r="F281" s="5" t="inlineStr">
        <is>
          <t>Sustained or staged delivery</t>
        </is>
      </c>
      <c r="G281" s="5" t="inlineStr">
        <is>
          <t>Collagen or matrix remodeling</t>
        </is>
      </c>
      <c r="H281" s="6" t="inlineStr">
        <is>
          <t>1</t>
        </is>
      </c>
      <c r="K281" s="5" t="inlineStr">
        <is>
          <t xml:space="preserve">; </t>
        </is>
      </c>
      <c r="M281" s="5" t="inlineStr">
        <is>
          <t>100.0</t>
        </is>
      </c>
      <c r="N281" s="5" t="inlineStr">
        <is>
          <t>YES</t>
        </is>
      </c>
    </row>
    <row r="282">
      <c r="A282" s="6" t="n">
        <v>252</v>
      </c>
      <c r="B282" s="5" t="inlineStr">
        <is>
          <t>S3</t>
        </is>
      </c>
      <c r="C282" s="5" t="inlineStr">
        <is>
          <t>10: Growth-factor and protein delivery depots</t>
        </is>
      </c>
      <c r="D282" s="5" t="inlineStr">
        <is>
          <t>Sequential release of multiple growth factors from injectable nanocomposite hyaluronic acid hydrogels for enhanced angiogenesis</t>
        </is>
      </c>
      <c r="E282" s="5" t="inlineStr">
        <is>
          <t>10.1016/j.cej.2025.168701</t>
        </is>
      </c>
      <c r="F282" s="5" t="inlineStr">
        <is>
          <t>Sustained or staged delivery</t>
        </is>
      </c>
      <c r="G282" s="5" t="inlineStr">
        <is>
          <t>Re-epithelialization</t>
        </is>
      </c>
      <c r="H282" s="6" t="inlineStr">
        <is>
          <t>1</t>
        </is>
      </c>
      <c r="K282" s="5" t="inlineStr">
        <is>
          <t xml:space="preserve">; </t>
        </is>
      </c>
      <c r="M282" s="5" t="inlineStr">
        <is>
          <t>100.0</t>
        </is>
      </c>
      <c r="N282" s="5" t="inlineStr">
        <is>
          <t>YES</t>
        </is>
      </c>
    </row>
    <row r="283">
      <c r="A283" s="6" t="n">
        <v>252</v>
      </c>
      <c r="B283" s="5" t="inlineStr">
        <is>
          <t>S3</t>
        </is>
      </c>
      <c r="C283" s="5" t="inlineStr">
        <is>
          <t>10: Growth-factor and protein delivery depots</t>
        </is>
      </c>
      <c r="D283" s="5" t="inlineStr">
        <is>
          <t>Sequential release of multiple growth factors from injectable nanocomposite hyaluronic acid hydrogels for enhanced angiogenesis</t>
        </is>
      </c>
      <c r="E283" s="5" t="inlineStr">
        <is>
          <t>10.1016/j.cej.2025.168701</t>
        </is>
      </c>
      <c r="F283" s="5" t="inlineStr">
        <is>
          <t>Sustained or staged delivery</t>
        </is>
      </c>
      <c r="G283" s="5" t="inlineStr">
        <is>
          <t>Wound closure</t>
        </is>
      </c>
      <c r="H283" s="6" t="inlineStr">
        <is>
          <t>1</t>
        </is>
      </c>
      <c r="K283" s="5" t="inlineStr">
        <is>
          <t xml:space="preserve">; </t>
        </is>
      </c>
      <c r="M283" s="5" t="inlineStr">
        <is>
          <t>100.0</t>
        </is>
      </c>
      <c r="N283" s="5" t="inlineStr">
        <is>
          <t>YES</t>
        </is>
      </c>
    </row>
    <row r="284">
      <c r="A284" s="6" t="n">
        <v>252</v>
      </c>
      <c r="B284" s="5" t="inlineStr">
        <is>
          <t>S3</t>
        </is>
      </c>
      <c r="C284" s="5" t="inlineStr">
        <is>
          <t>10: Growth-factor and protein delivery depots</t>
        </is>
      </c>
      <c r="D284" s="5" t="inlineStr">
        <is>
          <t>Sequential release of multiple growth factors from injectable nanocomposite hyaluronic acid hydrogels for enhanced angiogenesis</t>
        </is>
      </c>
      <c r="E284" s="5" t="inlineStr">
        <is>
          <t>10.1016/j.cej.2025.168701</t>
        </is>
      </c>
      <c r="F284" s="5" t="inlineStr">
        <is>
          <t>Sustained or staged delivery</t>
        </is>
      </c>
      <c r="G284" s="5" t="inlineStr">
        <is>
          <t>Safety or cytocompatibility</t>
        </is>
      </c>
      <c r="H284" s="6" t="inlineStr">
        <is>
          <t>1</t>
        </is>
      </c>
      <c r="K284" s="5" t="inlineStr">
        <is>
          <t xml:space="preserve">; </t>
        </is>
      </c>
      <c r="M284" s="5" t="inlineStr">
        <is>
          <t>100.0</t>
        </is>
      </c>
      <c r="N284" s="5" t="inlineStr">
        <is>
          <t>YES</t>
        </is>
      </c>
    </row>
    <row r="285">
      <c r="A285" s="6" t="n">
        <v>253</v>
      </c>
      <c r="B285" s="5" t="inlineStr">
        <is>
          <t>S3</t>
        </is>
      </c>
      <c r="C285" s="5" t="inlineStr">
        <is>
          <t>10: Growth-factor and protein delivery depots</t>
        </is>
      </c>
      <c r="D285" s="5" t="inlineStr">
        <is>
          <t>Fibrin hydrogel incorporated with microspheres containing vascular endothelial growth factor (VEGF) and basic fibroblast growth factor (bFGF) accelerated the healing of diabetic wounds in rats</t>
        </is>
      </c>
      <c r="E285" s="5" t="inlineStr">
        <is>
          <t>10.1016/j.tice.2025.103301</t>
        </is>
      </c>
      <c r="F285" s="5" t="inlineStr">
        <is>
          <t>Sustained or staged delivery</t>
        </is>
      </c>
      <c r="G285" s="5" t="inlineStr">
        <is>
          <t>Release kinetics measured</t>
        </is>
      </c>
      <c r="H285" s="6" t="inlineStr">
        <is>
          <t>1</t>
        </is>
      </c>
      <c r="K285" s="5" t="inlineStr">
        <is>
          <t xml:space="preserve">; </t>
        </is>
      </c>
      <c r="M285" s="5" t="inlineStr">
        <is>
          <t>100.0</t>
        </is>
      </c>
      <c r="N285" s="5" t="inlineStr">
        <is>
          <t>YES</t>
        </is>
      </c>
    </row>
    <row r="286">
      <c r="A286" s="6" t="n">
        <v>253</v>
      </c>
      <c r="B286" s="5" t="inlineStr">
        <is>
          <t>S3</t>
        </is>
      </c>
      <c r="C286" s="5" t="inlineStr">
        <is>
          <t>10: Growth-factor and protein delivery depots</t>
        </is>
      </c>
      <c r="D286" s="5" t="inlineStr">
        <is>
          <t>Fibrin hydrogel incorporated with microspheres containing vascular endothelial growth factor (VEGF) and basic fibroblast growth factor (bFGF) accelerated the healing of diabetic wounds in rats</t>
        </is>
      </c>
      <c r="E286" s="5" t="inlineStr">
        <is>
          <t>10.1016/j.tice.2025.103301</t>
        </is>
      </c>
      <c r="F286" s="5" t="inlineStr">
        <is>
          <t>Sustained or staged delivery</t>
        </is>
      </c>
      <c r="G286" s="5" t="inlineStr">
        <is>
          <t>Antimicrobial or biofilm control</t>
        </is>
      </c>
      <c r="H286" s="6" t="inlineStr">
        <is>
          <t>1</t>
        </is>
      </c>
      <c r="K286" s="5" t="inlineStr">
        <is>
          <t xml:space="preserve">; </t>
        </is>
      </c>
      <c r="M286" s="5" t="inlineStr">
        <is>
          <t>100.0</t>
        </is>
      </c>
      <c r="N286" s="5" t="inlineStr">
        <is>
          <t>YES</t>
        </is>
      </c>
    </row>
    <row r="287">
      <c r="A287" s="6" t="n">
        <v>253</v>
      </c>
      <c r="B287" s="5" t="inlineStr">
        <is>
          <t>S3</t>
        </is>
      </c>
      <c r="C287" s="5" t="inlineStr">
        <is>
          <t>10: Growth-factor and protein delivery depots</t>
        </is>
      </c>
      <c r="D287" s="5" t="inlineStr">
        <is>
          <t>Fibrin hydrogel incorporated with microspheres containing vascular endothelial growth factor (VEGF) and basic fibroblast growth factor (bFGF) accelerated the healing of diabetic wounds in rats</t>
        </is>
      </c>
      <c r="E287" s="5" t="inlineStr">
        <is>
          <t>10.1016/j.tice.2025.103301</t>
        </is>
      </c>
      <c r="F287" s="5" t="inlineStr">
        <is>
          <t>Sustained or staged delivery</t>
        </is>
      </c>
      <c r="G287" s="5" t="inlineStr">
        <is>
          <t>Inflammation or macrophage modulation</t>
        </is>
      </c>
      <c r="H287" s="6" t="inlineStr">
        <is>
          <t>1</t>
        </is>
      </c>
      <c r="K287" s="5" t="inlineStr">
        <is>
          <t xml:space="preserve">; </t>
        </is>
      </c>
      <c r="M287" s="5" t="inlineStr">
        <is>
          <t>100.0</t>
        </is>
      </c>
      <c r="N287" s="5" t="inlineStr">
        <is>
          <t>YES</t>
        </is>
      </c>
    </row>
    <row r="288">
      <c r="A288" s="6" t="n">
        <v>253</v>
      </c>
      <c r="B288" s="5" t="inlineStr">
        <is>
          <t>S3</t>
        </is>
      </c>
      <c r="C288" s="5" t="inlineStr">
        <is>
          <t>10: Growth-factor and protein delivery depots</t>
        </is>
      </c>
      <c r="D288" s="5" t="inlineStr">
        <is>
          <t>Fibrin hydrogel incorporated with microspheres containing vascular endothelial growth factor (VEGF) and basic fibroblast growth factor (bFGF) accelerated the healing of diabetic wounds in rats</t>
        </is>
      </c>
      <c r="E288" s="5" t="inlineStr">
        <is>
          <t>10.1016/j.tice.2025.103301</t>
        </is>
      </c>
      <c r="F288" s="5" t="inlineStr">
        <is>
          <t>Sustained or staged delivery</t>
        </is>
      </c>
      <c r="G288" s="5" t="inlineStr">
        <is>
          <t>Angiogenesis</t>
        </is>
      </c>
      <c r="H288" s="6" t="inlineStr">
        <is>
          <t>1</t>
        </is>
      </c>
      <c r="K288" s="5" t="inlineStr">
        <is>
          <t xml:space="preserve">; </t>
        </is>
      </c>
      <c r="M288" s="5" t="inlineStr">
        <is>
          <t>100.0</t>
        </is>
      </c>
      <c r="N288" s="5" t="inlineStr">
        <is>
          <t>YES</t>
        </is>
      </c>
    </row>
    <row r="289">
      <c r="A289" s="6" t="n">
        <v>253</v>
      </c>
      <c r="B289" s="5" t="inlineStr">
        <is>
          <t>S3</t>
        </is>
      </c>
      <c r="C289" s="5" t="inlineStr">
        <is>
          <t>10: Growth-factor and protein delivery depots</t>
        </is>
      </c>
      <c r="D289" s="5" t="inlineStr">
        <is>
          <t>Fibrin hydrogel incorporated with microspheres containing vascular endothelial growth factor (VEGF) and basic fibroblast growth factor (bFGF) accelerated the healing of diabetic wounds in rats</t>
        </is>
      </c>
      <c r="E289" s="5" t="inlineStr">
        <is>
          <t>10.1016/j.tice.2025.103301</t>
        </is>
      </c>
      <c r="F289" s="5" t="inlineStr">
        <is>
          <t>Sustained or staged delivery</t>
        </is>
      </c>
      <c r="G289" s="5" t="inlineStr">
        <is>
          <t>Collagen or matrix remodeling</t>
        </is>
      </c>
      <c r="H289" s="6" t="inlineStr">
        <is>
          <t>1</t>
        </is>
      </c>
      <c r="K289" s="5" t="inlineStr">
        <is>
          <t xml:space="preserve">; </t>
        </is>
      </c>
      <c r="M289" s="5" t="inlineStr">
        <is>
          <t>100.0</t>
        </is>
      </c>
      <c r="N289" s="5" t="inlineStr">
        <is>
          <t>YES</t>
        </is>
      </c>
    </row>
    <row r="290">
      <c r="A290" s="6" t="n">
        <v>253</v>
      </c>
      <c r="B290" s="5" t="inlineStr">
        <is>
          <t>S3</t>
        </is>
      </c>
      <c r="C290" s="5" t="inlineStr">
        <is>
          <t>10: Growth-factor and protein delivery depots</t>
        </is>
      </c>
      <c r="D290" s="5" t="inlineStr">
        <is>
          <t>Fibrin hydrogel incorporated with microspheres containing vascular endothelial growth factor (VEGF) and basic fibroblast growth factor (bFGF) accelerated the healing of diabetic wounds in rats</t>
        </is>
      </c>
      <c r="E290" s="5" t="inlineStr">
        <is>
          <t>10.1016/j.tice.2025.103301</t>
        </is>
      </c>
      <c r="F290" s="5" t="inlineStr">
        <is>
          <t>Sustained or staged delivery</t>
        </is>
      </c>
      <c r="G290" s="5" t="inlineStr">
        <is>
          <t>Wound closure</t>
        </is>
      </c>
      <c r="H290" s="6" t="inlineStr">
        <is>
          <t>1</t>
        </is>
      </c>
      <c r="K290" s="5" t="inlineStr">
        <is>
          <t xml:space="preserve">; </t>
        </is>
      </c>
      <c r="M290" s="5" t="inlineStr">
        <is>
          <t>100.0</t>
        </is>
      </c>
      <c r="N290" s="5" t="inlineStr">
        <is>
          <t>YES</t>
        </is>
      </c>
    </row>
    <row r="291">
      <c r="A291" s="6" t="n">
        <v>253</v>
      </c>
      <c r="B291" s="5" t="inlineStr">
        <is>
          <t>S3</t>
        </is>
      </c>
      <c r="C291" s="5" t="inlineStr">
        <is>
          <t>10: Growth-factor and protein delivery depots</t>
        </is>
      </c>
      <c r="D291" s="5" t="inlineStr">
        <is>
          <t>Fibrin hydrogel incorporated with microspheres containing vascular endothelial growth factor (VEGF) and basic fibroblast growth factor (bFGF) accelerated the healing of diabetic wounds in rats</t>
        </is>
      </c>
      <c r="E291" s="5" t="inlineStr">
        <is>
          <t>10.1016/j.tice.2025.103301</t>
        </is>
      </c>
      <c r="F291" s="5" t="inlineStr">
        <is>
          <t>Sustained or staged delivery</t>
        </is>
      </c>
      <c r="G291" s="5" t="inlineStr">
        <is>
          <t>Safety or cytocompatibility</t>
        </is>
      </c>
      <c r="H291" s="6" t="inlineStr">
        <is>
          <t>1</t>
        </is>
      </c>
      <c r="K291" s="5" t="inlineStr">
        <is>
          <t xml:space="preserve">; </t>
        </is>
      </c>
      <c r="M291" s="5" t="inlineStr">
        <is>
          <t>100.0</t>
        </is>
      </c>
      <c r="N291" s="5" t="inlineStr">
        <is>
          <t>YES</t>
        </is>
      </c>
    </row>
    <row r="292">
      <c r="A292" s="6" t="n">
        <v>254</v>
      </c>
      <c r="B292" s="5" t="inlineStr">
        <is>
          <t>S3</t>
        </is>
      </c>
      <c r="C292" s="5" t="inlineStr">
        <is>
          <t>10: Growth-factor and protein delivery depots</t>
        </is>
      </c>
      <c r="D292" s="5" t="inlineStr">
        <is>
          <t>Programmable hierarchical hydrogel dressing for sequential release of growth factor and DNase to accelerate diabetic wound healing</t>
        </is>
      </c>
      <c r="E292" s="5" t="inlineStr">
        <is>
          <t>10.1016/j.jconrel.2025.113825</t>
        </is>
      </c>
      <c r="F292" s="5" t="inlineStr">
        <is>
          <t>Sustained or staged delivery</t>
        </is>
      </c>
      <c r="G292" s="5" t="inlineStr">
        <is>
          <t>Release kinetics measured</t>
        </is>
      </c>
      <c r="H292" s="6" t="inlineStr">
        <is>
          <t>1</t>
        </is>
      </c>
      <c r="K292" s="5" t="inlineStr">
        <is>
          <t xml:space="preserve">; </t>
        </is>
      </c>
      <c r="M292" s="5" t="inlineStr">
        <is>
          <t>100.0</t>
        </is>
      </c>
      <c r="N292" s="5" t="inlineStr">
        <is>
          <t>YES</t>
        </is>
      </c>
    </row>
    <row r="293">
      <c r="A293" s="6" t="n">
        <v>254</v>
      </c>
      <c r="B293" s="5" t="inlineStr">
        <is>
          <t>S3</t>
        </is>
      </c>
      <c r="C293" s="5" t="inlineStr">
        <is>
          <t>10: Growth-factor and protein delivery depots</t>
        </is>
      </c>
      <c r="D293" s="5" t="inlineStr">
        <is>
          <t>Programmable hierarchical hydrogel dressing for sequential release of growth factor and DNase to accelerate diabetic wound healing</t>
        </is>
      </c>
      <c r="E293" s="5" t="inlineStr">
        <is>
          <t>10.1016/j.jconrel.2025.113825</t>
        </is>
      </c>
      <c r="F293" s="5" t="inlineStr">
        <is>
          <t>Sustained or staged delivery</t>
        </is>
      </c>
      <c r="G293" s="5" t="inlineStr">
        <is>
          <t>Antimicrobial or biofilm control</t>
        </is>
      </c>
      <c r="H293" s="6" t="inlineStr">
        <is>
          <t>1</t>
        </is>
      </c>
      <c r="K293" s="5" t="inlineStr">
        <is>
          <t xml:space="preserve">; </t>
        </is>
      </c>
      <c r="M293" s="5" t="inlineStr">
        <is>
          <t>100.0</t>
        </is>
      </c>
      <c r="N293" s="5" t="inlineStr">
        <is>
          <t>YES</t>
        </is>
      </c>
    </row>
    <row r="294">
      <c r="A294" s="6" t="n">
        <v>254</v>
      </c>
      <c r="B294" s="5" t="inlineStr">
        <is>
          <t>S3</t>
        </is>
      </c>
      <c r="C294" s="5" t="inlineStr">
        <is>
          <t>10: Growth-factor and protein delivery depots</t>
        </is>
      </c>
      <c r="D294" s="5" t="inlineStr">
        <is>
          <t>Programmable hierarchical hydrogel dressing for sequential release of growth factor and DNase to accelerate diabetic wound healing</t>
        </is>
      </c>
      <c r="E294" s="5" t="inlineStr">
        <is>
          <t>10.1016/j.jconrel.2025.113825</t>
        </is>
      </c>
      <c r="F294" s="5" t="inlineStr">
        <is>
          <t>Sustained or staged delivery</t>
        </is>
      </c>
      <c r="G294" s="5" t="inlineStr">
        <is>
          <t>Angiogenesis</t>
        </is>
      </c>
      <c r="H294" s="6" t="inlineStr">
        <is>
          <t>1</t>
        </is>
      </c>
      <c r="K294" s="5" t="inlineStr">
        <is>
          <t xml:space="preserve">; </t>
        </is>
      </c>
      <c r="M294" s="5" t="inlineStr">
        <is>
          <t>100.0</t>
        </is>
      </c>
      <c r="N294" s="5" t="inlineStr">
        <is>
          <t>YES</t>
        </is>
      </c>
    </row>
    <row r="295">
      <c r="A295" s="6" t="n">
        <v>254</v>
      </c>
      <c r="B295" s="5" t="inlineStr">
        <is>
          <t>S3</t>
        </is>
      </c>
      <c r="C295" s="5" t="inlineStr">
        <is>
          <t>10: Growth-factor and protein delivery depots</t>
        </is>
      </c>
      <c r="D295" s="5" t="inlineStr">
        <is>
          <t>Programmable hierarchical hydrogel dressing for sequential release of growth factor and DNase to accelerate diabetic wound healing</t>
        </is>
      </c>
      <c r="E295" s="5" t="inlineStr">
        <is>
          <t>10.1016/j.jconrel.2025.113825</t>
        </is>
      </c>
      <c r="F295" s="5" t="inlineStr">
        <is>
          <t>Sustained or staged delivery</t>
        </is>
      </c>
      <c r="G295" s="5" t="inlineStr">
        <is>
          <t>Collagen or matrix remodeling</t>
        </is>
      </c>
      <c r="H295" s="6" t="inlineStr">
        <is>
          <t>1</t>
        </is>
      </c>
      <c r="K295" s="5" t="inlineStr">
        <is>
          <t xml:space="preserve">; </t>
        </is>
      </c>
      <c r="M295" s="5" t="inlineStr">
        <is>
          <t>100.0</t>
        </is>
      </c>
      <c r="N295" s="5" t="inlineStr">
        <is>
          <t>YES</t>
        </is>
      </c>
    </row>
    <row r="296">
      <c r="A296" s="6" t="n">
        <v>254</v>
      </c>
      <c r="B296" s="5" t="inlineStr">
        <is>
          <t>S3</t>
        </is>
      </c>
      <c r="C296" s="5" t="inlineStr">
        <is>
          <t>10: Growth-factor and protein delivery depots</t>
        </is>
      </c>
      <c r="D296" s="5" t="inlineStr">
        <is>
          <t>Programmable hierarchical hydrogel dressing for sequential release of growth factor and DNase to accelerate diabetic wound healing</t>
        </is>
      </c>
      <c r="E296" s="5" t="inlineStr">
        <is>
          <t>10.1016/j.jconrel.2025.113825</t>
        </is>
      </c>
      <c r="F296" s="5" t="inlineStr">
        <is>
          <t>Sustained or staged delivery</t>
        </is>
      </c>
      <c r="G296" s="5" t="inlineStr">
        <is>
          <t>Re-epithelialization</t>
        </is>
      </c>
      <c r="H296" s="6" t="inlineStr">
        <is>
          <t>1</t>
        </is>
      </c>
      <c r="K296" s="5" t="inlineStr">
        <is>
          <t xml:space="preserve">; </t>
        </is>
      </c>
      <c r="M296" s="5" t="inlineStr">
        <is>
          <t>100.0</t>
        </is>
      </c>
      <c r="N296" s="5" t="inlineStr">
        <is>
          <t>YES</t>
        </is>
      </c>
    </row>
    <row r="297">
      <c r="A297" s="6" t="n">
        <v>254</v>
      </c>
      <c r="B297" s="5" t="inlineStr">
        <is>
          <t>S3</t>
        </is>
      </c>
      <c r="C297" s="5" t="inlineStr">
        <is>
          <t>10: Growth-factor and protein delivery depots</t>
        </is>
      </c>
      <c r="D297" s="5" t="inlineStr">
        <is>
          <t>Programmable hierarchical hydrogel dressing for sequential release of growth factor and DNase to accelerate diabetic wound healing</t>
        </is>
      </c>
      <c r="E297" s="5" t="inlineStr">
        <is>
          <t>10.1016/j.jconrel.2025.113825</t>
        </is>
      </c>
      <c r="F297" s="5" t="inlineStr">
        <is>
          <t>Sustained or staged delivery</t>
        </is>
      </c>
      <c r="G297" s="5" t="inlineStr">
        <is>
          <t>Wound closure</t>
        </is>
      </c>
      <c r="H297" s="6" t="inlineStr">
        <is>
          <t>1</t>
        </is>
      </c>
      <c r="K297" s="5" t="inlineStr">
        <is>
          <t xml:space="preserve">; </t>
        </is>
      </c>
      <c r="M297" s="5" t="inlineStr">
        <is>
          <t>100.0</t>
        </is>
      </c>
      <c r="N297" s="5" t="inlineStr">
        <is>
          <t>YES</t>
        </is>
      </c>
    </row>
    <row r="298">
      <c r="A298" s="6" t="n">
        <v>254</v>
      </c>
      <c r="B298" s="5" t="inlineStr">
        <is>
          <t>S3</t>
        </is>
      </c>
      <c r="C298" s="5" t="inlineStr">
        <is>
          <t>10: Growth-factor and protein delivery depots</t>
        </is>
      </c>
      <c r="D298" s="5" t="inlineStr">
        <is>
          <t>Programmable hierarchical hydrogel dressing for sequential release of growth factor and DNase to accelerate diabetic wound healing</t>
        </is>
      </c>
      <c r="E298" s="5" t="inlineStr">
        <is>
          <t>10.1016/j.jconrel.2025.113825</t>
        </is>
      </c>
      <c r="F298" s="5" t="inlineStr">
        <is>
          <t>Sustained or staged delivery</t>
        </is>
      </c>
      <c r="G298" s="5" t="inlineStr">
        <is>
          <t>Safety or cytocompatibility</t>
        </is>
      </c>
      <c r="H298" s="6" t="inlineStr">
        <is>
          <t>1</t>
        </is>
      </c>
      <c r="K298" s="5" t="inlineStr">
        <is>
          <t xml:space="preserve">; </t>
        </is>
      </c>
      <c r="M298" s="5" t="inlineStr">
        <is>
          <t>100.0</t>
        </is>
      </c>
      <c r="N298" s="5" t="inlineStr">
        <is>
          <t>YES</t>
        </is>
      </c>
    </row>
    <row r="299">
      <c r="A299" s="6" t="n">
        <v>255</v>
      </c>
      <c r="B299" s="5" t="inlineStr">
        <is>
          <t>S3</t>
        </is>
      </c>
      <c r="C299" s="5" t="inlineStr">
        <is>
          <t>12: Multicargo sequence-delivery formulations</t>
        </is>
      </c>
      <c r="D299" s="5" t="inlineStr">
        <is>
          <t>An intrinsically bioactive hydrogel with on-demand drug release behaviors for diabetic wound healing</t>
        </is>
      </c>
      <c r="E299" s="5" t="inlineStr">
        <is>
          <t>10.1016/j.bioactmat.2021.04.040</t>
        </is>
      </c>
      <c r="F299" s="5" t="inlineStr">
        <is>
          <t>Sustained or staged delivery</t>
        </is>
      </c>
      <c r="G299" s="5" t="inlineStr">
        <is>
          <t>Release kinetics measured</t>
        </is>
      </c>
      <c r="H299" s="6" t="inlineStr">
        <is>
          <t>1</t>
        </is>
      </c>
      <c r="K299" s="5" t="inlineStr">
        <is>
          <t xml:space="preserve">; </t>
        </is>
      </c>
      <c r="M299" s="5" t="inlineStr">
        <is>
          <t>100.0</t>
        </is>
      </c>
      <c r="N299" s="5" t="inlineStr">
        <is>
          <t>YES</t>
        </is>
      </c>
    </row>
    <row r="300">
      <c r="A300" s="6" t="n">
        <v>255</v>
      </c>
      <c r="B300" s="5" t="inlineStr">
        <is>
          <t>S3</t>
        </is>
      </c>
      <c r="C300" s="5" t="inlineStr">
        <is>
          <t>12: Multicargo sequence-delivery formulations</t>
        </is>
      </c>
      <c r="D300" s="5" t="inlineStr">
        <is>
          <t>An intrinsically bioactive hydrogel with on-demand drug release behaviors for diabetic wound healing</t>
        </is>
      </c>
      <c r="E300" s="5" t="inlineStr">
        <is>
          <t>10.1016/j.bioactmat.2021.04.040</t>
        </is>
      </c>
      <c r="F300" s="5" t="inlineStr">
        <is>
          <t>Sustained or staged delivery</t>
        </is>
      </c>
      <c r="G300" s="5" t="inlineStr">
        <is>
          <t>Antimicrobial or biofilm control</t>
        </is>
      </c>
      <c r="H300" s="6" t="inlineStr">
        <is>
          <t>1</t>
        </is>
      </c>
      <c r="K300" s="5" t="inlineStr">
        <is>
          <t xml:space="preserve">; </t>
        </is>
      </c>
      <c r="M300" s="5" t="inlineStr">
        <is>
          <t>100.0</t>
        </is>
      </c>
      <c r="N300" s="5" t="inlineStr">
        <is>
          <t>YES</t>
        </is>
      </c>
    </row>
    <row r="301">
      <c r="A301" s="6" t="n">
        <v>255</v>
      </c>
      <c r="B301" s="5" t="inlineStr">
        <is>
          <t>S3</t>
        </is>
      </c>
      <c r="C301" s="5" t="inlineStr">
        <is>
          <t>12: Multicargo sequence-delivery formulations</t>
        </is>
      </c>
      <c r="D301" s="5" t="inlineStr">
        <is>
          <t>An intrinsically bioactive hydrogel with on-demand drug release behaviors for diabetic wound healing</t>
        </is>
      </c>
      <c r="E301" s="5" t="inlineStr">
        <is>
          <t>10.1016/j.bioactmat.2021.04.040</t>
        </is>
      </c>
      <c r="F301" s="5" t="inlineStr">
        <is>
          <t>Sustained or staged delivery</t>
        </is>
      </c>
      <c r="G301" s="5" t="inlineStr">
        <is>
          <t>Inflammation or macrophage modulation</t>
        </is>
      </c>
      <c r="H301" s="6" t="inlineStr">
        <is>
          <t>1</t>
        </is>
      </c>
      <c r="K301" s="5" t="inlineStr">
        <is>
          <t xml:space="preserve">; </t>
        </is>
      </c>
      <c r="M301" s="5" t="inlineStr">
        <is>
          <t>100.0</t>
        </is>
      </c>
      <c r="N301" s="5" t="inlineStr">
        <is>
          <t>YES</t>
        </is>
      </c>
    </row>
    <row r="302">
      <c r="A302" s="6" t="n">
        <v>255</v>
      </c>
      <c r="B302" s="5" t="inlineStr">
        <is>
          <t>S3</t>
        </is>
      </c>
      <c r="C302" s="5" t="inlineStr">
        <is>
          <t>12: Multicargo sequence-delivery formulations</t>
        </is>
      </c>
      <c r="D302" s="5" t="inlineStr">
        <is>
          <t>An intrinsically bioactive hydrogel with on-demand drug release behaviors for diabetic wound healing</t>
        </is>
      </c>
      <c r="E302" s="5" t="inlineStr">
        <is>
          <t>10.1016/j.bioactmat.2021.04.040</t>
        </is>
      </c>
      <c r="F302" s="5" t="inlineStr">
        <is>
          <t>Sustained or staged delivery</t>
        </is>
      </c>
      <c r="G302" s="5" t="inlineStr">
        <is>
          <t>Angiogenesis</t>
        </is>
      </c>
      <c r="H302" s="6" t="inlineStr">
        <is>
          <t>1</t>
        </is>
      </c>
      <c r="K302" s="5" t="inlineStr">
        <is>
          <t xml:space="preserve">; </t>
        </is>
      </c>
      <c r="M302" s="5" t="inlineStr">
        <is>
          <t>100.0</t>
        </is>
      </c>
      <c r="N302" s="5" t="inlineStr">
        <is>
          <t>YES</t>
        </is>
      </c>
    </row>
    <row r="303">
      <c r="A303" s="6" t="n">
        <v>255</v>
      </c>
      <c r="B303" s="5" t="inlineStr">
        <is>
          <t>S3</t>
        </is>
      </c>
      <c r="C303" s="5" t="inlineStr">
        <is>
          <t>12: Multicargo sequence-delivery formulations</t>
        </is>
      </c>
      <c r="D303" s="5" t="inlineStr">
        <is>
          <t>An intrinsically bioactive hydrogel with on-demand drug release behaviors for diabetic wound healing</t>
        </is>
      </c>
      <c r="E303" s="5" t="inlineStr">
        <is>
          <t>10.1016/j.bioactmat.2021.04.040</t>
        </is>
      </c>
      <c r="F303" s="5" t="inlineStr">
        <is>
          <t>Sustained or staged delivery</t>
        </is>
      </c>
      <c r="G303" s="5" t="inlineStr">
        <is>
          <t>Collagen or matrix remodeling</t>
        </is>
      </c>
      <c r="H303" s="6" t="inlineStr">
        <is>
          <t>1</t>
        </is>
      </c>
      <c r="K303" s="5" t="inlineStr">
        <is>
          <t xml:space="preserve">; </t>
        </is>
      </c>
      <c r="M303" s="5" t="inlineStr">
        <is>
          <t>100.0</t>
        </is>
      </c>
      <c r="N303" s="5" t="inlineStr">
        <is>
          <t>YES</t>
        </is>
      </c>
    </row>
    <row r="304">
      <c r="A304" s="6" t="n">
        <v>255</v>
      </c>
      <c r="B304" s="5" t="inlineStr">
        <is>
          <t>S3</t>
        </is>
      </c>
      <c r="C304" s="5" t="inlineStr">
        <is>
          <t>12: Multicargo sequence-delivery formulations</t>
        </is>
      </c>
      <c r="D304" s="5" t="inlineStr">
        <is>
          <t>An intrinsically bioactive hydrogel with on-demand drug release behaviors for diabetic wound healing</t>
        </is>
      </c>
      <c r="E304" s="5" t="inlineStr">
        <is>
          <t>10.1016/j.bioactmat.2021.04.040</t>
        </is>
      </c>
      <c r="F304" s="5" t="inlineStr">
        <is>
          <t>Sustained or staged delivery</t>
        </is>
      </c>
      <c r="G304" s="5" t="inlineStr">
        <is>
          <t>Re-epithelialization</t>
        </is>
      </c>
      <c r="H304" s="6" t="inlineStr">
        <is>
          <t>1</t>
        </is>
      </c>
      <c r="K304" s="5" t="inlineStr">
        <is>
          <t xml:space="preserve">; </t>
        </is>
      </c>
      <c r="M304" s="5" t="inlineStr">
        <is>
          <t>100.0</t>
        </is>
      </c>
      <c r="N304" s="5" t="inlineStr">
        <is>
          <t>YES</t>
        </is>
      </c>
    </row>
    <row r="305">
      <c r="A305" s="6" t="n">
        <v>255</v>
      </c>
      <c r="B305" s="5" t="inlineStr">
        <is>
          <t>S3</t>
        </is>
      </c>
      <c r="C305" s="5" t="inlineStr">
        <is>
          <t>12: Multicargo sequence-delivery formulations</t>
        </is>
      </c>
      <c r="D305" s="5" t="inlineStr">
        <is>
          <t>An intrinsically bioactive hydrogel with on-demand drug release behaviors for diabetic wound healing</t>
        </is>
      </c>
      <c r="E305" s="5" t="inlineStr">
        <is>
          <t>10.1016/j.bioactmat.2021.04.040</t>
        </is>
      </c>
      <c r="F305" s="5" t="inlineStr">
        <is>
          <t>Sustained or staged delivery</t>
        </is>
      </c>
      <c r="G305" s="5" t="inlineStr">
        <is>
          <t>Wound closure</t>
        </is>
      </c>
      <c r="H305" s="6" t="inlineStr">
        <is>
          <t>1</t>
        </is>
      </c>
      <c r="K305" s="5" t="inlineStr">
        <is>
          <t xml:space="preserve">; </t>
        </is>
      </c>
      <c r="M305" s="5" t="inlineStr">
        <is>
          <t>100.0</t>
        </is>
      </c>
      <c r="N305" s="5" t="inlineStr">
        <is>
          <t>YES</t>
        </is>
      </c>
    </row>
    <row r="306">
      <c r="A306" s="6" t="n">
        <v>255</v>
      </c>
      <c r="B306" s="5" t="inlineStr">
        <is>
          <t>S3</t>
        </is>
      </c>
      <c r="C306" s="5" t="inlineStr">
        <is>
          <t>12: Multicargo sequence-delivery formulations</t>
        </is>
      </c>
      <c r="D306" s="5" t="inlineStr">
        <is>
          <t>An intrinsically bioactive hydrogel with on-demand drug release behaviors for diabetic wound healing</t>
        </is>
      </c>
      <c r="E306" s="5" t="inlineStr">
        <is>
          <t>10.1016/j.bioactmat.2021.04.040</t>
        </is>
      </c>
      <c r="F306" s="5" t="inlineStr">
        <is>
          <t>Sustained or staged delivery</t>
        </is>
      </c>
      <c r="G306" s="5" t="inlineStr">
        <is>
          <t>Safety or cytocompatibility</t>
        </is>
      </c>
      <c r="H306" s="6" t="inlineStr">
        <is>
          <t>1</t>
        </is>
      </c>
      <c r="K306" s="5" t="inlineStr">
        <is>
          <t xml:space="preserve">; </t>
        </is>
      </c>
      <c r="M306" s="5" t="inlineStr">
        <is>
          <t>100.0</t>
        </is>
      </c>
      <c r="N306" s="5" t="inlineStr">
        <is>
          <t>YES</t>
        </is>
      </c>
    </row>
    <row r="307">
      <c r="A307" s="6" t="n">
        <v>256</v>
      </c>
      <c r="B307" s="5" t="inlineStr">
        <is>
          <t>S3</t>
        </is>
      </c>
      <c r="C307" s="5" t="inlineStr">
        <is>
          <t>11: Exosome and extracellular-vesicle release systems</t>
        </is>
      </c>
      <c r="D307" s="5" t="inlineStr">
        <is>
          <t>All‐in‐one: multifunctional hydrogel accelerates oxidative diabetic wound healing through timed‐release of exosome and fibroblast growth factor</t>
        </is>
      </c>
      <c r="E307" s="5" t="inlineStr">
        <is>
          <t>10.1002/smll.202104229</t>
        </is>
      </c>
      <c r="F307" s="5" t="inlineStr">
        <is>
          <t>Sustained or staged delivery</t>
        </is>
      </c>
      <c r="G307" s="5" t="inlineStr">
        <is>
          <t>Release kinetics measured</t>
        </is>
      </c>
      <c r="H307" s="6" t="inlineStr">
        <is>
          <t>1</t>
        </is>
      </c>
      <c r="K307" s="5" t="inlineStr">
        <is>
          <t xml:space="preserve">; </t>
        </is>
      </c>
      <c r="M307" s="5" t="inlineStr">
        <is>
          <t>100.0</t>
        </is>
      </c>
      <c r="N307" s="5" t="inlineStr">
        <is>
          <t>YES</t>
        </is>
      </c>
    </row>
    <row r="308">
      <c r="A308" s="6" t="n">
        <v>256</v>
      </c>
      <c r="B308" s="5" t="inlineStr">
        <is>
          <t>S3</t>
        </is>
      </c>
      <c r="C308" s="5" t="inlineStr">
        <is>
          <t>11: Exosome and extracellular-vesicle release systems</t>
        </is>
      </c>
      <c r="D308" s="5" t="inlineStr">
        <is>
          <t>All‐in‐one: multifunctional hydrogel accelerates oxidative diabetic wound healing through timed‐release of exosome and fibroblast growth factor</t>
        </is>
      </c>
      <c r="E308" s="5" t="inlineStr">
        <is>
          <t>10.1002/smll.202104229</t>
        </is>
      </c>
      <c r="F308" s="5" t="inlineStr">
        <is>
          <t>Sustained or staged delivery</t>
        </is>
      </c>
      <c r="G308" s="5" t="inlineStr">
        <is>
          <t>Antimicrobial or biofilm control</t>
        </is>
      </c>
      <c r="H308" s="6" t="inlineStr">
        <is>
          <t>1</t>
        </is>
      </c>
      <c r="K308" s="5" t="inlineStr">
        <is>
          <t xml:space="preserve">; </t>
        </is>
      </c>
      <c r="M308" s="5" t="inlineStr">
        <is>
          <t>100.0</t>
        </is>
      </c>
      <c r="N308" s="5" t="inlineStr">
        <is>
          <t>YES</t>
        </is>
      </c>
    </row>
    <row r="309">
      <c r="A309" s="6" t="n">
        <v>256</v>
      </c>
      <c r="B309" s="5" t="inlineStr">
        <is>
          <t>S3</t>
        </is>
      </c>
      <c r="C309" s="5" t="inlineStr">
        <is>
          <t>11: Exosome and extracellular-vesicle release systems</t>
        </is>
      </c>
      <c r="D309" s="5" t="inlineStr">
        <is>
          <t>All‐in‐one: multifunctional hydrogel accelerates oxidative diabetic wound healing through timed‐release of exosome and fibroblast growth factor</t>
        </is>
      </c>
      <c r="E309" s="5" t="inlineStr">
        <is>
          <t>10.1002/smll.202104229</t>
        </is>
      </c>
      <c r="F309" s="5" t="inlineStr">
        <is>
          <t>Sustained or staged delivery</t>
        </is>
      </c>
      <c r="G309" s="5" t="inlineStr">
        <is>
          <t>Inflammation or macrophage modulation</t>
        </is>
      </c>
      <c r="H309" s="6" t="inlineStr">
        <is>
          <t>1</t>
        </is>
      </c>
      <c r="K309" s="5" t="inlineStr">
        <is>
          <t xml:space="preserve">; </t>
        </is>
      </c>
      <c r="M309" s="5" t="inlineStr">
        <is>
          <t>100.0</t>
        </is>
      </c>
      <c r="N309" s="5" t="inlineStr">
        <is>
          <t>YES</t>
        </is>
      </c>
    </row>
    <row r="310">
      <c r="A310" s="6" t="n">
        <v>256</v>
      </c>
      <c r="B310" s="5" t="inlineStr">
        <is>
          <t>S3</t>
        </is>
      </c>
      <c r="C310" s="5" t="inlineStr">
        <is>
          <t>11: Exosome and extracellular-vesicle release systems</t>
        </is>
      </c>
      <c r="D310" s="5" t="inlineStr">
        <is>
          <t>All‐in‐one: multifunctional hydrogel accelerates oxidative diabetic wound healing through timed‐release of exosome and fibroblast growth factor</t>
        </is>
      </c>
      <c r="E310" s="5" t="inlineStr">
        <is>
          <t>10.1002/smll.202104229</t>
        </is>
      </c>
      <c r="F310" s="5" t="inlineStr">
        <is>
          <t>Sustained or staged delivery</t>
        </is>
      </c>
      <c r="G310" s="5" t="inlineStr">
        <is>
          <t>Angiogenesis</t>
        </is>
      </c>
      <c r="H310" s="6" t="inlineStr">
        <is>
          <t>1</t>
        </is>
      </c>
      <c r="K310" s="5" t="inlineStr">
        <is>
          <t xml:space="preserve">; </t>
        </is>
      </c>
      <c r="M310" s="5" t="inlineStr">
        <is>
          <t>100.0</t>
        </is>
      </c>
      <c r="N310" s="5" t="inlineStr">
        <is>
          <t>YES</t>
        </is>
      </c>
    </row>
    <row r="311">
      <c r="A311" s="6" t="n">
        <v>256</v>
      </c>
      <c r="B311" s="5" t="inlineStr">
        <is>
          <t>S3</t>
        </is>
      </c>
      <c r="C311" s="5" t="inlineStr">
        <is>
          <t>11: Exosome and extracellular-vesicle release systems</t>
        </is>
      </c>
      <c r="D311" s="5" t="inlineStr">
        <is>
          <t>All‐in‐one: multifunctional hydrogel accelerates oxidative diabetic wound healing through timed‐release of exosome and fibroblast growth factor</t>
        </is>
      </c>
      <c r="E311" s="5" t="inlineStr">
        <is>
          <t>10.1002/smll.202104229</t>
        </is>
      </c>
      <c r="F311" s="5" t="inlineStr">
        <is>
          <t>Sustained or staged delivery</t>
        </is>
      </c>
      <c r="G311" s="5" t="inlineStr">
        <is>
          <t>Collagen or matrix remodeling</t>
        </is>
      </c>
      <c r="H311" s="6" t="inlineStr">
        <is>
          <t>1</t>
        </is>
      </c>
      <c r="K311" s="5" t="inlineStr">
        <is>
          <t xml:space="preserve">; </t>
        </is>
      </c>
      <c r="M311" s="5" t="inlineStr">
        <is>
          <t>100.0</t>
        </is>
      </c>
      <c r="N311" s="5" t="inlineStr">
        <is>
          <t>YES</t>
        </is>
      </c>
    </row>
    <row r="312">
      <c r="A312" s="6" t="n">
        <v>256</v>
      </c>
      <c r="B312" s="5" t="inlineStr">
        <is>
          <t>S3</t>
        </is>
      </c>
      <c r="C312" s="5" t="inlineStr">
        <is>
          <t>11: Exosome and extracellular-vesicle release systems</t>
        </is>
      </c>
      <c r="D312" s="5" t="inlineStr">
        <is>
          <t>All‐in‐one: multifunctional hydrogel accelerates oxidative diabetic wound healing through timed‐release of exosome and fibroblast growth factor</t>
        </is>
      </c>
      <c r="E312" s="5" t="inlineStr">
        <is>
          <t>10.1002/smll.202104229</t>
        </is>
      </c>
      <c r="F312" s="5" t="inlineStr">
        <is>
          <t>Sustained or staged delivery</t>
        </is>
      </c>
      <c r="G312" s="5" t="inlineStr">
        <is>
          <t>Re-epithelialization</t>
        </is>
      </c>
      <c r="H312" s="6" t="inlineStr">
        <is>
          <t>1</t>
        </is>
      </c>
      <c r="K312" s="5" t="inlineStr">
        <is>
          <t xml:space="preserve">; </t>
        </is>
      </c>
      <c r="M312" s="5" t="inlineStr">
        <is>
          <t>100.0</t>
        </is>
      </c>
      <c r="N312" s="5" t="inlineStr">
        <is>
          <t>YES</t>
        </is>
      </c>
    </row>
    <row r="313">
      <c r="A313" s="6" t="n">
        <v>256</v>
      </c>
      <c r="B313" s="5" t="inlineStr">
        <is>
          <t>S3</t>
        </is>
      </c>
      <c r="C313" s="5" t="inlineStr">
        <is>
          <t>11: Exosome and extracellular-vesicle release systems</t>
        </is>
      </c>
      <c r="D313" s="5" t="inlineStr">
        <is>
          <t>All‐in‐one: multifunctional hydrogel accelerates oxidative diabetic wound healing through timed‐release of exosome and fibroblast growth factor</t>
        </is>
      </c>
      <c r="E313" s="5" t="inlineStr">
        <is>
          <t>10.1002/smll.202104229</t>
        </is>
      </c>
      <c r="F313" s="5" t="inlineStr">
        <is>
          <t>Sustained or staged delivery</t>
        </is>
      </c>
      <c r="G313" s="5" t="inlineStr">
        <is>
          <t>Wound closure</t>
        </is>
      </c>
      <c r="H313" s="6" t="inlineStr">
        <is>
          <t>1</t>
        </is>
      </c>
      <c r="K313" s="5" t="inlineStr">
        <is>
          <t xml:space="preserve">; </t>
        </is>
      </c>
      <c r="M313" s="5" t="inlineStr">
        <is>
          <t>100.0</t>
        </is>
      </c>
      <c r="N313" s="5" t="inlineStr">
        <is>
          <t>YES</t>
        </is>
      </c>
    </row>
    <row r="314">
      <c r="A314" s="6" t="n">
        <v>256</v>
      </c>
      <c r="B314" s="5" t="inlineStr">
        <is>
          <t>S3</t>
        </is>
      </c>
      <c r="C314" s="5" t="inlineStr">
        <is>
          <t>11: Exosome and extracellular-vesicle release systems</t>
        </is>
      </c>
      <c r="D314" s="5" t="inlineStr">
        <is>
          <t>All‐in‐one: multifunctional hydrogel accelerates oxidative diabetic wound healing through timed‐release of exosome and fibroblast growth factor</t>
        </is>
      </c>
      <c r="E314" s="5" t="inlineStr">
        <is>
          <t>10.1002/smll.202104229</t>
        </is>
      </c>
      <c r="F314" s="5" t="inlineStr">
        <is>
          <t>Sustained or staged delivery</t>
        </is>
      </c>
      <c r="G314" s="5" t="inlineStr">
        <is>
          <t>Safety or cytocompatibility</t>
        </is>
      </c>
      <c r="H314" s="6" t="inlineStr">
        <is>
          <t>1</t>
        </is>
      </c>
      <c r="K314" s="5" t="inlineStr">
        <is>
          <t xml:space="preserve">; </t>
        </is>
      </c>
      <c r="M314" s="5" t="inlineStr">
        <is>
          <t>100.0</t>
        </is>
      </c>
      <c r="N314" s="5" t="inlineStr">
        <is>
          <t>YES</t>
        </is>
      </c>
    </row>
    <row r="315">
      <c r="A315" s="6" t="n">
        <v>257</v>
      </c>
      <c r="B315" s="5" t="inlineStr">
        <is>
          <t>S3</t>
        </is>
      </c>
      <c r="C315" s="5" t="inlineStr">
        <is>
          <t>11: Exosome and extracellular-vesicle release systems</t>
        </is>
      </c>
      <c r="D315" s="5" t="inlineStr">
        <is>
          <t>Duo-nano exosome encapsulating hydrogel boosts wound healing across xenogenic and allogenic models</t>
        </is>
      </c>
      <c r="E315" s="5" t="inlineStr">
        <is>
          <t>10.1016/j.biomaterials.2025.123975</t>
        </is>
      </c>
      <c r="F315" s="5" t="inlineStr">
        <is>
          <t>Sustained or staged delivery</t>
        </is>
      </c>
      <c r="G315" s="5" t="inlineStr">
        <is>
          <t>Release kinetics measured</t>
        </is>
      </c>
      <c r="H315" s="6" t="inlineStr">
        <is>
          <t>1</t>
        </is>
      </c>
      <c r="K315" s="5" t="inlineStr">
        <is>
          <t xml:space="preserve">; </t>
        </is>
      </c>
      <c r="M315" s="5" t="inlineStr">
        <is>
          <t>100.0</t>
        </is>
      </c>
      <c r="N315" s="5" t="inlineStr">
        <is>
          <t>YES</t>
        </is>
      </c>
    </row>
    <row r="316">
      <c r="A316" s="6" t="n">
        <v>257</v>
      </c>
      <c r="B316" s="5" t="inlineStr">
        <is>
          <t>S3</t>
        </is>
      </c>
      <c r="C316" s="5" t="inlineStr">
        <is>
          <t>11: Exosome and extracellular-vesicle release systems</t>
        </is>
      </c>
      <c r="D316" s="5" t="inlineStr">
        <is>
          <t>Duo-nano exosome encapsulating hydrogel boosts wound healing across xenogenic and allogenic models</t>
        </is>
      </c>
      <c r="E316" s="5" t="inlineStr">
        <is>
          <t>10.1016/j.biomaterials.2025.123975</t>
        </is>
      </c>
      <c r="F316" s="5" t="inlineStr">
        <is>
          <t>Sustained or staged delivery</t>
        </is>
      </c>
      <c r="G316" s="5" t="inlineStr">
        <is>
          <t>Antimicrobial or biofilm control</t>
        </is>
      </c>
      <c r="H316" s="6" t="inlineStr">
        <is>
          <t>1</t>
        </is>
      </c>
      <c r="K316" s="5" t="inlineStr">
        <is>
          <t xml:space="preserve">; </t>
        </is>
      </c>
      <c r="M316" s="5" t="inlineStr">
        <is>
          <t>100.0</t>
        </is>
      </c>
      <c r="N316" s="5" t="inlineStr">
        <is>
          <t>YES</t>
        </is>
      </c>
    </row>
    <row r="317">
      <c r="A317" s="6" t="n">
        <v>257</v>
      </c>
      <c r="B317" s="5" t="inlineStr">
        <is>
          <t>S3</t>
        </is>
      </c>
      <c r="C317" s="5" t="inlineStr">
        <is>
          <t>11: Exosome and extracellular-vesicle release systems</t>
        </is>
      </c>
      <c r="D317" s="5" t="inlineStr">
        <is>
          <t>Duo-nano exosome encapsulating hydrogel boosts wound healing across xenogenic and allogenic models</t>
        </is>
      </c>
      <c r="E317" s="5" t="inlineStr">
        <is>
          <t>10.1016/j.biomaterials.2025.123975</t>
        </is>
      </c>
      <c r="F317" s="5" t="inlineStr">
        <is>
          <t>Sustained or staged delivery</t>
        </is>
      </c>
      <c r="G317" s="5" t="inlineStr">
        <is>
          <t>Angiogenesis</t>
        </is>
      </c>
      <c r="H317" s="6" t="inlineStr">
        <is>
          <t>1</t>
        </is>
      </c>
      <c r="K317" s="5" t="inlineStr">
        <is>
          <t xml:space="preserve">; </t>
        </is>
      </c>
      <c r="M317" s="5" t="inlineStr">
        <is>
          <t>100.0</t>
        </is>
      </c>
      <c r="N317" s="5" t="inlineStr">
        <is>
          <t>YES</t>
        </is>
      </c>
    </row>
    <row r="318">
      <c r="A318" s="6" t="n">
        <v>257</v>
      </c>
      <c r="B318" s="5" t="inlineStr">
        <is>
          <t>S3</t>
        </is>
      </c>
      <c r="C318" s="5" t="inlineStr">
        <is>
          <t>11: Exosome and extracellular-vesicle release systems</t>
        </is>
      </c>
      <c r="D318" s="5" t="inlineStr">
        <is>
          <t>Duo-nano exosome encapsulating hydrogel boosts wound healing across xenogenic and allogenic models</t>
        </is>
      </c>
      <c r="E318" s="5" t="inlineStr">
        <is>
          <t>10.1016/j.biomaterials.2025.123975</t>
        </is>
      </c>
      <c r="F318" s="5" t="inlineStr">
        <is>
          <t>Sustained or staged delivery</t>
        </is>
      </c>
      <c r="G318" s="5" t="inlineStr">
        <is>
          <t>Collagen or matrix remodeling</t>
        </is>
      </c>
      <c r="H318" s="6" t="inlineStr">
        <is>
          <t>1</t>
        </is>
      </c>
      <c r="K318" s="5" t="inlineStr">
        <is>
          <t xml:space="preserve">; </t>
        </is>
      </c>
      <c r="M318" s="5" t="inlineStr">
        <is>
          <t>100.0</t>
        </is>
      </c>
      <c r="N318" s="5" t="inlineStr">
        <is>
          <t>YES</t>
        </is>
      </c>
    </row>
    <row r="319">
      <c r="A319" s="6" t="n">
        <v>257</v>
      </c>
      <c r="B319" s="5" t="inlineStr">
        <is>
          <t>S3</t>
        </is>
      </c>
      <c r="C319" s="5" t="inlineStr">
        <is>
          <t>11: Exosome and extracellular-vesicle release systems</t>
        </is>
      </c>
      <c r="D319" s="5" t="inlineStr">
        <is>
          <t>Duo-nano exosome encapsulating hydrogel boosts wound healing across xenogenic and allogenic models</t>
        </is>
      </c>
      <c r="E319" s="5" t="inlineStr">
        <is>
          <t>10.1016/j.biomaterials.2025.123975</t>
        </is>
      </c>
      <c r="F319" s="5" t="inlineStr">
        <is>
          <t>Sustained or staged delivery</t>
        </is>
      </c>
      <c r="G319" s="5" t="inlineStr">
        <is>
          <t>Re-epithelialization</t>
        </is>
      </c>
      <c r="H319" s="6" t="inlineStr">
        <is>
          <t>1</t>
        </is>
      </c>
      <c r="K319" s="5" t="inlineStr">
        <is>
          <t xml:space="preserve">; </t>
        </is>
      </c>
      <c r="M319" s="5" t="inlineStr">
        <is>
          <t>100.0</t>
        </is>
      </c>
      <c r="N319" s="5" t="inlineStr">
        <is>
          <t>YES</t>
        </is>
      </c>
    </row>
    <row r="320">
      <c r="A320" s="6" t="n">
        <v>257</v>
      </c>
      <c r="B320" s="5" t="inlineStr">
        <is>
          <t>S3</t>
        </is>
      </c>
      <c r="C320" s="5" t="inlineStr">
        <is>
          <t>11: Exosome and extracellular-vesicle release systems</t>
        </is>
      </c>
      <c r="D320" s="5" t="inlineStr">
        <is>
          <t>Duo-nano exosome encapsulating hydrogel boosts wound healing across xenogenic and allogenic models</t>
        </is>
      </c>
      <c r="E320" s="5" t="inlineStr">
        <is>
          <t>10.1016/j.biomaterials.2025.123975</t>
        </is>
      </c>
      <c r="F320" s="5" t="inlineStr">
        <is>
          <t>Sustained or staged delivery</t>
        </is>
      </c>
      <c r="G320" s="5" t="inlineStr">
        <is>
          <t>Wound closure</t>
        </is>
      </c>
      <c r="H320" s="6" t="inlineStr">
        <is>
          <t>1</t>
        </is>
      </c>
      <c r="K320" s="5" t="inlineStr">
        <is>
          <t xml:space="preserve">; </t>
        </is>
      </c>
      <c r="M320" s="5" t="inlineStr">
        <is>
          <t>100.0</t>
        </is>
      </c>
      <c r="N320" s="5" t="inlineStr">
        <is>
          <t>YES</t>
        </is>
      </c>
    </row>
    <row r="321">
      <c r="A321" s="6" t="n">
        <v>257</v>
      </c>
      <c r="B321" s="5" t="inlineStr">
        <is>
          <t>S3</t>
        </is>
      </c>
      <c r="C321" s="5" t="inlineStr">
        <is>
          <t>11: Exosome and extracellular-vesicle release systems</t>
        </is>
      </c>
      <c r="D321" s="5" t="inlineStr">
        <is>
          <t>Duo-nano exosome encapsulating hydrogel boosts wound healing across xenogenic and allogenic models</t>
        </is>
      </c>
      <c r="E321" s="5" t="inlineStr">
        <is>
          <t>10.1016/j.biomaterials.2025.123975</t>
        </is>
      </c>
      <c r="F321" s="5" t="inlineStr">
        <is>
          <t>Sustained or staged delivery</t>
        </is>
      </c>
      <c r="G321" s="5" t="inlineStr">
        <is>
          <t>Safety or cytocompatibility</t>
        </is>
      </c>
      <c r="H321" s="6" t="inlineStr">
        <is>
          <t>1</t>
        </is>
      </c>
      <c r="K321" s="5" t="inlineStr">
        <is>
          <t xml:space="preserve">; </t>
        </is>
      </c>
      <c r="M321" s="5" t="inlineStr">
        <is>
          <t>100.0</t>
        </is>
      </c>
      <c r="N321" s="5" t="inlineStr">
        <is>
          <t>YES</t>
        </is>
      </c>
    </row>
    <row r="322">
      <c r="A322" s="6" t="n">
        <v>258</v>
      </c>
      <c r="B322" s="5" t="inlineStr">
        <is>
          <t>S3</t>
        </is>
      </c>
      <c r="C322" s="5" t="inlineStr">
        <is>
          <t>11: Exosome and extracellular-vesicle release systems</t>
        </is>
      </c>
      <c r="D322" s="5" t="inlineStr">
        <is>
          <t>Recombinant human collagen hydrogels with different stem cell-derived exosomes encapsulation for wound treatment</t>
        </is>
      </c>
      <c r="E322" s="5" t="inlineStr">
        <is>
          <t>10.1186/s12951-025-03319-9</t>
        </is>
      </c>
      <c r="F322" s="5" t="inlineStr">
        <is>
          <t>Sustained or staged delivery</t>
        </is>
      </c>
      <c r="G322" s="5" t="inlineStr">
        <is>
          <t>Release kinetics measured</t>
        </is>
      </c>
      <c r="H322" s="6" t="inlineStr">
        <is>
          <t>1</t>
        </is>
      </c>
      <c r="K322" s="5" t="inlineStr">
        <is>
          <t xml:space="preserve">; </t>
        </is>
      </c>
      <c r="M322" s="5" t="inlineStr">
        <is>
          <t>100.0</t>
        </is>
      </c>
      <c r="N322" s="5" t="inlineStr">
        <is>
          <t>YES</t>
        </is>
      </c>
    </row>
    <row r="323">
      <c r="A323" s="6" t="n">
        <v>258</v>
      </c>
      <c r="B323" s="5" t="inlineStr">
        <is>
          <t>S3</t>
        </is>
      </c>
      <c r="C323" s="5" t="inlineStr">
        <is>
          <t>11: Exosome and extracellular-vesicle release systems</t>
        </is>
      </c>
      <c r="D323" s="5" t="inlineStr">
        <is>
          <t>Recombinant human collagen hydrogels with different stem cell-derived exosomes encapsulation for wound treatment</t>
        </is>
      </c>
      <c r="E323" s="5" t="inlineStr">
        <is>
          <t>10.1186/s12951-025-03319-9</t>
        </is>
      </c>
      <c r="F323" s="5" t="inlineStr">
        <is>
          <t>Sustained or staged delivery</t>
        </is>
      </c>
      <c r="G323" s="5" t="inlineStr">
        <is>
          <t>Inflammation or macrophage modulation</t>
        </is>
      </c>
      <c r="H323" s="6" t="inlineStr">
        <is>
          <t>1</t>
        </is>
      </c>
      <c r="K323" s="5" t="inlineStr">
        <is>
          <t xml:space="preserve">; </t>
        </is>
      </c>
      <c r="M323" s="5" t="inlineStr">
        <is>
          <t>100.0</t>
        </is>
      </c>
      <c r="N323" s="5" t="inlineStr">
        <is>
          <t>YES</t>
        </is>
      </c>
    </row>
    <row r="324">
      <c r="A324" s="6" t="n">
        <v>258</v>
      </c>
      <c r="B324" s="5" t="inlineStr">
        <is>
          <t>S3</t>
        </is>
      </c>
      <c r="C324" s="5" t="inlineStr">
        <is>
          <t>11: Exosome and extracellular-vesicle release systems</t>
        </is>
      </c>
      <c r="D324" s="5" t="inlineStr">
        <is>
          <t>Recombinant human collagen hydrogels with different stem cell-derived exosomes encapsulation for wound treatment</t>
        </is>
      </c>
      <c r="E324" s="5" t="inlineStr">
        <is>
          <t>10.1186/s12951-025-03319-9</t>
        </is>
      </c>
      <c r="F324" s="5" t="inlineStr">
        <is>
          <t>Sustained or staged delivery</t>
        </is>
      </c>
      <c r="G324" s="5" t="inlineStr">
        <is>
          <t>Angiogenesis</t>
        </is>
      </c>
      <c r="H324" s="6" t="inlineStr">
        <is>
          <t>1</t>
        </is>
      </c>
      <c r="K324" s="5" t="inlineStr">
        <is>
          <t xml:space="preserve">; </t>
        </is>
      </c>
      <c r="M324" s="5" t="inlineStr">
        <is>
          <t>100.0</t>
        </is>
      </c>
      <c r="N324" s="5" t="inlineStr">
        <is>
          <t>YES</t>
        </is>
      </c>
    </row>
    <row r="325">
      <c r="A325" s="6" t="n">
        <v>258</v>
      </c>
      <c r="B325" s="5" t="inlineStr">
        <is>
          <t>S3</t>
        </is>
      </c>
      <c r="C325" s="5" t="inlineStr">
        <is>
          <t>11: Exosome and extracellular-vesicle release systems</t>
        </is>
      </c>
      <c r="D325" s="5" t="inlineStr">
        <is>
          <t>Recombinant human collagen hydrogels with different stem cell-derived exosomes encapsulation for wound treatment</t>
        </is>
      </c>
      <c r="E325" s="5" t="inlineStr">
        <is>
          <t>10.1186/s12951-025-03319-9</t>
        </is>
      </c>
      <c r="F325" s="5" t="inlineStr">
        <is>
          <t>Sustained or staged delivery</t>
        </is>
      </c>
      <c r="G325" s="5" t="inlineStr">
        <is>
          <t>Collagen or matrix remodeling</t>
        </is>
      </c>
      <c r="H325" s="6" t="inlineStr">
        <is>
          <t>1</t>
        </is>
      </c>
      <c r="K325" s="5" t="inlineStr">
        <is>
          <t xml:space="preserve">; </t>
        </is>
      </c>
      <c r="M325" s="5" t="inlineStr">
        <is>
          <t>100.0</t>
        </is>
      </c>
      <c r="N325" s="5" t="inlineStr">
        <is>
          <t>YES</t>
        </is>
      </c>
    </row>
    <row r="326">
      <c r="A326" s="6" t="n">
        <v>258</v>
      </c>
      <c r="B326" s="5" t="inlineStr">
        <is>
          <t>S3</t>
        </is>
      </c>
      <c r="C326" s="5" t="inlineStr">
        <is>
          <t>11: Exosome and extracellular-vesicle release systems</t>
        </is>
      </c>
      <c r="D326" s="5" t="inlineStr">
        <is>
          <t>Recombinant human collagen hydrogels with different stem cell-derived exosomes encapsulation for wound treatment</t>
        </is>
      </c>
      <c r="E326" s="5" t="inlineStr">
        <is>
          <t>10.1186/s12951-025-03319-9</t>
        </is>
      </c>
      <c r="F326" s="5" t="inlineStr">
        <is>
          <t>Sustained or staged delivery</t>
        </is>
      </c>
      <c r="G326" s="5" t="inlineStr">
        <is>
          <t>Wound closure</t>
        </is>
      </c>
      <c r="H326" s="6" t="inlineStr">
        <is>
          <t>1</t>
        </is>
      </c>
      <c r="K326" s="5" t="inlineStr">
        <is>
          <t xml:space="preserve">; </t>
        </is>
      </c>
      <c r="M326" s="5" t="inlineStr">
        <is>
          <t>100.0</t>
        </is>
      </c>
      <c r="N326" s="5" t="inlineStr">
        <is>
          <t>YES</t>
        </is>
      </c>
    </row>
    <row r="327">
      <c r="A327" s="6" t="n">
        <v>258</v>
      </c>
      <c r="B327" s="5" t="inlineStr">
        <is>
          <t>S3</t>
        </is>
      </c>
      <c r="C327" s="5" t="inlineStr">
        <is>
          <t>11: Exosome and extracellular-vesicle release systems</t>
        </is>
      </c>
      <c r="D327" s="5" t="inlineStr">
        <is>
          <t>Recombinant human collagen hydrogels with different stem cell-derived exosomes encapsulation for wound treatment</t>
        </is>
      </c>
      <c r="E327" s="5" t="inlineStr">
        <is>
          <t>10.1186/s12951-025-03319-9</t>
        </is>
      </c>
      <c r="F327" s="5" t="inlineStr">
        <is>
          <t>Sustained or staged delivery</t>
        </is>
      </c>
      <c r="G327" s="5" t="inlineStr">
        <is>
          <t>Safety or cytocompatibility</t>
        </is>
      </c>
      <c r="H327" s="6" t="inlineStr">
        <is>
          <t>1</t>
        </is>
      </c>
      <c r="K327" s="5" t="inlineStr">
        <is>
          <t xml:space="preserve">; </t>
        </is>
      </c>
      <c r="M327" s="5" t="inlineStr">
        <is>
          <t>100.0</t>
        </is>
      </c>
      <c r="N327" s="5" t="inlineStr">
        <is>
          <t>YES</t>
        </is>
      </c>
    </row>
    <row r="328">
      <c r="A328" s="6" t="n">
        <v>259</v>
      </c>
      <c r="B328" s="5" t="inlineStr">
        <is>
          <t>S3</t>
        </is>
      </c>
      <c r="C328" s="5" t="inlineStr">
        <is>
          <t>11: Exosome and extracellular-vesicle release systems</t>
        </is>
      </c>
      <c r="D328" s="5" t="inlineStr">
        <is>
          <t>Sustained exosome‐guided macrophage polarization using hydrolytically degradable PEG hydrogels for cutaneous wound healing: identification of key proteins and MiRNAs, and sustained release formulation</t>
        </is>
      </c>
      <c r="E328" s="5" t="inlineStr">
        <is>
          <t>10.1002/smll.202200060</t>
        </is>
      </c>
      <c r="F328" s="5" t="inlineStr">
        <is>
          <t>Sustained or staged delivery</t>
        </is>
      </c>
      <c r="G328" s="5" t="inlineStr">
        <is>
          <t>Release kinetics measured</t>
        </is>
      </c>
      <c r="H328" s="6" t="inlineStr">
        <is>
          <t>1</t>
        </is>
      </c>
      <c r="K328" s="5" t="inlineStr">
        <is>
          <t xml:space="preserve">; </t>
        </is>
      </c>
      <c r="M328" s="5" t="inlineStr">
        <is>
          <t>100.0</t>
        </is>
      </c>
      <c r="N328" s="5" t="inlineStr">
        <is>
          <t>YES</t>
        </is>
      </c>
    </row>
    <row r="329">
      <c r="A329" s="6" t="n">
        <v>259</v>
      </c>
      <c r="B329" s="5" t="inlineStr">
        <is>
          <t>S3</t>
        </is>
      </c>
      <c r="C329" s="5" t="inlineStr">
        <is>
          <t>11: Exosome and extracellular-vesicle release systems</t>
        </is>
      </c>
      <c r="D329" s="5" t="inlineStr">
        <is>
          <t>Sustained exosome‐guided macrophage polarization using hydrolytically degradable PEG hydrogels for cutaneous wound healing: identification of key proteins and MiRNAs, and sustained release formulation</t>
        </is>
      </c>
      <c r="E329" s="5" t="inlineStr">
        <is>
          <t>10.1002/smll.202200060</t>
        </is>
      </c>
      <c r="F329" s="5" t="inlineStr">
        <is>
          <t>Sustained or staged delivery</t>
        </is>
      </c>
      <c r="G329" s="5" t="inlineStr">
        <is>
          <t>Antimicrobial or biofilm control</t>
        </is>
      </c>
      <c r="H329" s="6" t="inlineStr">
        <is>
          <t>1</t>
        </is>
      </c>
      <c r="K329" s="5" t="inlineStr">
        <is>
          <t xml:space="preserve">; </t>
        </is>
      </c>
      <c r="M329" s="5" t="inlineStr">
        <is>
          <t>100.0</t>
        </is>
      </c>
      <c r="N329" s="5" t="inlineStr">
        <is>
          <t>YES</t>
        </is>
      </c>
    </row>
    <row r="330">
      <c r="A330" s="6" t="n">
        <v>259</v>
      </c>
      <c r="B330" s="5" t="inlineStr">
        <is>
          <t>S3</t>
        </is>
      </c>
      <c r="C330" s="5" t="inlineStr">
        <is>
          <t>11: Exosome and extracellular-vesicle release systems</t>
        </is>
      </c>
      <c r="D330" s="5" t="inlineStr">
        <is>
          <t>Sustained exosome‐guided macrophage polarization using hydrolytically degradable PEG hydrogels for cutaneous wound healing: identification of key proteins and MiRNAs, and sustained release formulation</t>
        </is>
      </c>
      <c r="E330" s="5" t="inlineStr">
        <is>
          <t>10.1002/smll.202200060</t>
        </is>
      </c>
      <c r="F330" s="5" t="inlineStr">
        <is>
          <t>Sustained or staged delivery</t>
        </is>
      </c>
      <c r="G330" s="5" t="inlineStr">
        <is>
          <t>Inflammation or macrophage modulation</t>
        </is>
      </c>
      <c r="H330" s="6" t="inlineStr">
        <is>
          <t>1</t>
        </is>
      </c>
      <c r="K330" s="5" t="inlineStr">
        <is>
          <t xml:space="preserve">; </t>
        </is>
      </c>
      <c r="M330" s="5" t="inlineStr">
        <is>
          <t>100.0</t>
        </is>
      </c>
      <c r="N330" s="5" t="inlineStr">
        <is>
          <t>YES</t>
        </is>
      </c>
    </row>
    <row r="331">
      <c r="A331" s="6" t="n">
        <v>259</v>
      </c>
      <c r="B331" s="5" t="inlineStr">
        <is>
          <t>S3</t>
        </is>
      </c>
      <c r="C331" s="5" t="inlineStr">
        <is>
          <t>11: Exosome and extracellular-vesicle release systems</t>
        </is>
      </c>
      <c r="D331" s="5" t="inlineStr">
        <is>
          <t>Sustained exosome‐guided macrophage polarization using hydrolytically degradable PEG hydrogels for cutaneous wound healing: identification of key proteins and MiRNAs, and sustained release formulation</t>
        </is>
      </c>
      <c r="E331" s="5" t="inlineStr">
        <is>
          <t>10.1002/smll.202200060</t>
        </is>
      </c>
      <c r="F331" s="5" t="inlineStr">
        <is>
          <t>Sustained or staged delivery</t>
        </is>
      </c>
      <c r="G331" s="5" t="inlineStr">
        <is>
          <t>Collagen or matrix remodeling</t>
        </is>
      </c>
      <c r="H331" s="6" t="inlineStr">
        <is>
          <t>1</t>
        </is>
      </c>
      <c r="K331" s="5" t="inlineStr">
        <is>
          <t xml:space="preserve">; </t>
        </is>
      </c>
      <c r="M331" s="5" t="inlineStr">
        <is>
          <t>100.0</t>
        </is>
      </c>
      <c r="N331" s="5" t="inlineStr">
        <is>
          <t>YES</t>
        </is>
      </c>
    </row>
    <row r="332">
      <c r="A332" s="6" t="n">
        <v>259</v>
      </c>
      <c r="B332" s="5" t="inlineStr">
        <is>
          <t>S3</t>
        </is>
      </c>
      <c r="C332" s="5" t="inlineStr">
        <is>
          <t>11: Exosome and extracellular-vesicle release systems</t>
        </is>
      </c>
      <c r="D332" s="5" t="inlineStr">
        <is>
          <t>Sustained exosome‐guided macrophage polarization using hydrolytically degradable PEG hydrogels for cutaneous wound healing: identification of key proteins and MiRNAs, and sustained release formulation</t>
        </is>
      </c>
      <c r="E332" s="5" t="inlineStr">
        <is>
          <t>10.1002/smll.202200060</t>
        </is>
      </c>
      <c r="F332" s="5" t="inlineStr">
        <is>
          <t>Sustained or staged delivery</t>
        </is>
      </c>
      <c r="G332" s="5" t="inlineStr">
        <is>
          <t>Wound closure</t>
        </is>
      </c>
      <c r="H332" s="6" t="inlineStr">
        <is>
          <t>1</t>
        </is>
      </c>
      <c r="K332" s="5" t="inlineStr">
        <is>
          <t xml:space="preserve">; </t>
        </is>
      </c>
      <c r="M332" s="5" t="inlineStr">
        <is>
          <t>100.0</t>
        </is>
      </c>
      <c r="N332" s="5" t="inlineStr">
        <is>
          <t>YES</t>
        </is>
      </c>
    </row>
    <row r="333">
      <c r="A333" s="6" t="n">
        <v>259</v>
      </c>
      <c r="B333" s="5" t="inlineStr">
        <is>
          <t>S3</t>
        </is>
      </c>
      <c r="C333" s="5" t="inlineStr">
        <is>
          <t>11: Exosome and extracellular-vesicle release systems</t>
        </is>
      </c>
      <c r="D333" s="5" t="inlineStr">
        <is>
          <t>Sustained exosome‐guided macrophage polarization using hydrolytically degradable PEG hydrogels for cutaneous wound healing: identification of key proteins and MiRNAs, and sustained release formulation</t>
        </is>
      </c>
      <c r="E333" s="5" t="inlineStr">
        <is>
          <t>10.1002/smll.202200060</t>
        </is>
      </c>
      <c r="F333" s="5" t="inlineStr">
        <is>
          <t>Sustained or staged delivery</t>
        </is>
      </c>
      <c r="G333" s="5" t="inlineStr">
        <is>
          <t>Safety or cytocompatibility</t>
        </is>
      </c>
      <c r="H333" s="6" t="inlineStr">
        <is>
          <t>1</t>
        </is>
      </c>
      <c r="K333" s="5" t="inlineStr">
        <is>
          <t xml:space="preserve">; </t>
        </is>
      </c>
      <c r="M333" s="5" t="inlineStr">
        <is>
          <t>100.0</t>
        </is>
      </c>
      <c r="N333" s="5" t="inlineStr">
        <is>
          <t>YES</t>
        </is>
      </c>
    </row>
    <row r="334">
      <c r="A334" s="6" t="n">
        <v>261</v>
      </c>
      <c r="B334" s="5" t="inlineStr">
        <is>
          <t>S3</t>
        </is>
      </c>
      <c r="C334" s="5" t="inlineStr">
        <is>
          <t>12: Multicargo sequence-delivery formulations</t>
        </is>
      </c>
      <c r="D334" s="5" t="inlineStr">
        <is>
          <t>A composite hydrogel with co-delivery of antimicrobial peptides and platelet-rich plasma to enhance healing of infected wounds in diabetes</t>
        </is>
      </c>
      <c r="E334" s="5" t="inlineStr">
        <is>
          <t>10.1016/j.actbio.2021.01.046</t>
        </is>
      </c>
      <c r="F334" s="5" t="inlineStr">
        <is>
          <t>Sustained or staged delivery</t>
        </is>
      </c>
      <c r="G334" s="5" t="inlineStr">
        <is>
          <t>Release kinetics measured</t>
        </is>
      </c>
      <c r="H334" s="6" t="inlineStr">
        <is>
          <t>1</t>
        </is>
      </c>
      <c r="K334" s="5" t="inlineStr">
        <is>
          <t xml:space="preserve">; </t>
        </is>
      </c>
      <c r="M334" s="5" t="inlineStr">
        <is>
          <t>100.0</t>
        </is>
      </c>
      <c r="N334" s="5" t="inlineStr">
        <is>
          <t>YES</t>
        </is>
      </c>
    </row>
    <row r="335">
      <c r="A335" s="6" t="n">
        <v>261</v>
      </c>
      <c r="B335" s="5" t="inlineStr">
        <is>
          <t>S3</t>
        </is>
      </c>
      <c r="C335" s="5" t="inlineStr">
        <is>
          <t>12: Multicargo sequence-delivery formulations</t>
        </is>
      </c>
      <c r="D335" s="5" t="inlineStr">
        <is>
          <t>A composite hydrogel with co-delivery of antimicrobial peptides and platelet-rich plasma to enhance healing of infected wounds in diabetes</t>
        </is>
      </c>
      <c r="E335" s="5" t="inlineStr">
        <is>
          <t>10.1016/j.actbio.2021.01.046</t>
        </is>
      </c>
      <c r="F335" s="5" t="inlineStr">
        <is>
          <t>Sustained or staged delivery</t>
        </is>
      </c>
      <c r="G335" s="5" t="inlineStr">
        <is>
          <t>Antimicrobial or biofilm control</t>
        </is>
      </c>
      <c r="H335" s="6" t="inlineStr">
        <is>
          <t>1</t>
        </is>
      </c>
      <c r="K335" s="5" t="inlineStr">
        <is>
          <t xml:space="preserve">; </t>
        </is>
      </c>
      <c r="M335" s="5" t="inlineStr">
        <is>
          <t>100.0</t>
        </is>
      </c>
      <c r="N335" s="5" t="inlineStr">
        <is>
          <t>YES</t>
        </is>
      </c>
    </row>
    <row r="336">
      <c r="A336" s="6" t="n">
        <v>261</v>
      </c>
      <c r="B336" s="5" t="inlineStr">
        <is>
          <t>S3</t>
        </is>
      </c>
      <c r="C336" s="5" t="inlineStr">
        <is>
          <t>12: Multicargo sequence-delivery formulations</t>
        </is>
      </c>
      <c r="D336" s="5" t="inlineStr">
        <is>
          <t>A composite hydrogel with co-delivery of antimicrobial peptides and platelet-rich plasma to enhance healing of infected wounds in diabetes</t>
        </is>
      </c>
      <c r="E336" s="5" t="inlineStr">
        <is>
          <t>10.1016/j.actbio.2021.01.046</t>
        </is>
      </c>
      <c r="F336" s="5" t="inlineStr">
        <is>
          <t>Sustained or staged delivery</t>
        </is>
      </c>
      <c r="G336" s="5" t="inlineStr">
        <is>
          <t>Inflammation or macrophage modulation</t>
        </is>
      </c>
      <c r="H336" s="6" t="inlineStr">
        <is>
          <t>1</t>
        </is>
      </c>
      <c r="K336" s="5" t="inlineStr">
        <is>
          <t xml:space="preserve">; </t>
        </is>
      </c>
      <c r="M336" s="5" t="inlineStr">
        <is>
          <t>100.0</t>
        </is>
      </c>
      <c r="N336" s="5" t="inlineStr">
        <is>
          <t>YES</t>
        </is>
      </c>
    </row>
    <row r="337">
      <c r="A337" s="6" t="n">
        <v>261</v>
      </c>
      <c r="B337" s="5" t="inlineStr">
        <is>
          <t>S3</t>
        </is>
      </c>
      <c r="C337" s="5" t="inlineStr">
        <is>
          <t>12: Multicargo sequence-delivery formulations</t>
        </is>
      </c>
      <c r="D337" s="5" t="inlineStr">
        <is>
          <t>A composite hydrogel with co-delivery of antimicrobial peptides and platelet-rich plasma to enhance healing of infected wounds in diabetes</t>
        </is>
      </c>
      <c r="E337" s="5" t="inlineStr">
        <is>
          <t>10.1016/j.actbio.2021.01.046</t>
        </is>
      </c>
      <c r="F337" s="5" t="inlineStr">
        <is>
          <t>Sustained or staged delivery</t>
        </is>
      </c>
      <c r="G337" s="5" t="inlineStr">
        <is>
          <t>Angiogenesis</t>
        </is>
      </c>
      <c r="H337" s="6" t="inlineStr">
        <is>
          <t>1</t>
        </is>
      </c>
      <c r="K337" s="5" t="inlineStr">
        <is>
          <t xml:space="preserve">; </t>
        </is>
      </c>
      <c r="M337" s="5" t="inlineStr">
        <is>
          <t>100.0</t>
        </is>
      </c>
      <c r="N337" s="5" t="inlineStr">
        <is>
          <t>YES</t>
        </is>
      </c>
    </row>
    <row r="338">
      <c r="A338" s="6" t="n">
        <v>261</v>
      </c>
      <c r="B338" s="5" t="inlineStr">
        <is>
          <t>S3</t>
        </is>
      </c>
      <c r="C338" s="5" t="inlineStr">
        <is>
          <t>12: Multicargo sequence-delivery formulations</t>
        </is>
      </c>
      <c r="D338" s="5" t="inlineStr">
        <is>
          <t>A composite hydrogel with co-delivery of antimicrobial peptides and platelet-rich plasma to enhance healing of infected wounds in diabetes</t>
        </is>
      </c>
      <c r="E338" s="5" t="inlineStr">
        <is>
          <t>10.1016/j.actbio.2021.01.046</t>
        </is>
      </c>
      <c r="F338" s="5" t="inlineStr">
        <is>
          <t>Sustained or staged delivery</t>
        </is>
      </c>
      <c r="G338" s="5" t="inlineStr">
        <is>
          <t>Collagen or matrix remodeling</t>
        </is>
      </c>
      <c r="H338" s="6" t="inlineStr">
        <is>
          <t>1</t>
        </is>
      </c>
      <c r="K338" s="5" t="inlineStr">
        <is>
          <t xml:space="preserve">; </t>
        </is>
      </c>
      <c r="M338" s="5" t="inlineStr">
        <is>
          <t>100.0</t>
        </is>
      </c>
      <c r="N338" s="5" t="inlineStr">
        <is>
          <t>YES</t>
        </is>
      </c>
    </row>
    <row r="339">
      <c r="A339" s="6" t="n">
        <v>261</v>
      </c>
      <c r="B339" s="5" t="inlineStr">
        <is>
          <t>S3</t>
        </is>
      </c>
      <c r="C339" s="5" t="inlineStr">
        <is>
          <t>12: Multicargo sequence-delivery formulations</t>
        </is>
      </c>
      <c r="D339" s="5" t="inlineStr">
        <is>
          <t>A composite hydrogel with co-delivery of antimicrobial peptides and platelet-rich plasma to enhance healing of infected wounds in diabetes</t>
        </is>
      </c>
      <c r="E339" s="5" t="inlineStr">
        <is>
          <t>10.1016/j.actbio.2021.01.046</t>
        </is>
      </c>
      <c r="F339" s="5" t="inlineStr">
        <is>
          <t>Sustained or staged delivery</t>
        </is>
      </c>
      <c r="G339" s="5" t="inlineStr">
        <is>
          <t>Re-epithelialization</t>
        </is>
      </c>
      <c r="H339" s="6" t="inlineStr">
        <is>
          <t>1</t>
        </is>
      </c>
      <c r="K339" s="5" t="inlineStr">
        <is>
          <t xml:space="preserve">; </t>
        </is>
      </c>
      <c r="M339" s="5" t="inlineStr">
        <is>
          <t>100.0</t>
        </is>
      </c>
      <c r="N339" s="5" t="inlineStr">
        <is>
          <t>YES</t>
        </is>
      </c>
    </row>
    <row r="340">
      <c r="A340" s="6" t="n">
        <v>261</v>
      </c>
      <c r="B340" s="5" t="inlineStr">
        <is>
          <t>S3</t>
        </is>
      </c>
      <c r="C340" s="5" t="inlineStr">
        <is>
          <t>12: Multicargo sequence-delivery formulations</t>
        </is>
      </c>
      <c r="D340" s="5" t="inlineStr">
        <is>
          <t>A composite hydrogel with co-delivery of antimicrobial peptides and platelet-rich plasma to enhance healing of infected wounds in diabetes</t>
        </is>
      </c>
      <c r="E340" s="5" t="inlineStr">
        <is>
          <t>10.1016/j.actbio.2021.01.046</t>
        </is>
      </c>
      <c r="F340" s="5" t="inlineStr">
        <is>
          <t>Sustained or staged delivery</t>
        </is>
      </c>
      <c r="G340" s="5" t="inlineStr">
        <is>
          <t>Wound closure</t>
        </is>
      </c>
      <c r="H340" s="6" t="inlineStr">
        <is>
          <t>1</t>
        </is>
      </c>
      <c r="K340" s="5" t="inlineStr">
        <is>
          <t xml:space="preserve">; </t>
        </is>
      </c>
      <c r="M340" s="5" t="inlineStr">
        <is>
          <t>100.0</t>
        </is>
      </c>
      <c r="N340" s="5" t="inlineStr">
        <is>
          <t>YES</t>
        </is>
      </c>
    </row>
    <row r="341">
      <c r="A341" s="6" t="n">
        <v>261</v>
      </c>
      <c r="B341" s="5" t="inlineStr">
        <is>
          <t>S3</t>
        </is>
      </c>
      <c r="C341" s="5" t="inlineStr">
        <is>
          <t>12: Multicargo sequence-delivery formulations</t>
        </is>
      </c>
      <c r="D341" s="5" t="inlineStr">
        <is>
          <t>A composite hydrogel with co-delivery of antimicrobial peptides and platelet-rich plasma to enhance healing of infected wounds in diabetes</t>
        </is>
      </c>
      <c r="E341" s="5" t="inlineStr">
        <is>
          <t>10.1016/j.actbio.2021.01.046</t>
        </is>
      </c>
      <c r="F341" s="5" t="inlineStr">
        <is>
          <t>Sustained or staged delivery</t>
        </is>
      </c>
      <c r="G341" s="5" t="inlineStr">
        <is>
          <t>Safety or cytocompatibility</t>
        </is>
      </c>
      <c r="H341" s="6" t="inlineStr">
        <is>
          <t>1</t>
        </is>
      </c>
      <c r="K341" s="5" t="inlineStr">
        <is>
          <t xml:space="preserve">; </t>
        </is>
      </c>
      <c r="M341" s="5" t="inlineStr">
        <is>
          <t>100.0</t>
        </is>
      </c>
      <c r="N341" s="5" t="inlineStr">
        <is>
          <t>YES</t>
        </is>
      </c>
    </row>
    <row r="342">
      <c r="A342" s="6" t="n">
        <v>238</v>
      </c>
      <c r="B342" s="5" t="inlineStr">
        <is>
          <t>S3</t>
        </is>
      </c>
      <c r="C342" s="5" t="inlineStr">
        <is>
          <t>8: Antimicrobial and antibiofilm hydrogel depots</t>
        </is>
      </c>
      <c r="D342" s="5" t="inlineStr">
        <is>
          <t>Sustained release of alginate hydrogel containing antimicrobial peptide Chol-37 (F34-R) in vitro and its effect on wound healing in murine model of Pseudomonas aeruginosa infection</t>
        </is>
      </c>
      <c r="E342" s="5" t="inlineStr">
        <is>
          <t>10.4142/jvs.22319</t>
        </is>
      </c>
      <c r="F342" s="5" t="inlineStr">
        <is>
          <t>sustained or staged delivery</t>
        </is>
      </c>
      <c r="G342" s="5" t="inlineStr">
        <is>
          <t>Release kinetics measured</t>
        </is>
      </c>
      <c r="H342" s="6" t="inlineStr">
        <is>
          <t>1</t>
        </is>
      </c>
      <c r="K342" s="5" t="inlineStr">
        <is>
          <t xml:space="preserve">; </t>
        </is>
      </c>
      <c r="M342" s="5" t="inlineStr">
        <is>
          <t>100.0</t>
        </is>
      </c>
      <c r="N342" s="5" t="inlineStr">
        <is>
          <t>YES</t>
        </is>
      </c>
    </row>
    <row r="343">
      <c r="A343" s="6" t="n">
        <v>238</v>
      </c>
      <c r="B343" s="5" t="inlineStr">
        <is>
          <t>S3</t>
        </is>
      </c>
      <c r="C343" s="5" t="inlineStr">
        <is>
          <t>8: Antimicrobial and antibiofilm hydrogel depots</t>
        </is>
      </c>
      <c r="D343" s="5" t="inlineStr">
        <is>
          <t>Sustained release of alginate hydrogel containing antimicrobial peptide Chol-37 (F34-R) in vitro and its effect on wound healing in murine model of Pseudomonas aeruginosa infection</t>
        </is>
      </c>
      <c r="E343" s="5" t="inlineStr">
        <is>
          <t>10.4142/jvs.22319</t>
        </is>
      </c>
      <c r="F343" s="5" t="inlineStr">
        <is>
          <t>sustained or staged delivery</t>
        </is>
      </c>
      <c r="G343" s="5" t="inlineStr">
        <is>
          <t>Antimicrobial or biofilm control</t>
        </is>
      </c>
      <c r="H343" s="6" t="inlineStr">
        <is>
          <t>1</t>
        </is>
      </c>
      <c r="K343" s="5" t="inlineStr">
        <is>
          <t xml:space="preserve">; </t>
        </is>
      </c>
      <c r="M343" s="5" t="inlineStr">
        <is>
          <t>100.0</t>
        </is>
      </c>
      <c r="N343" s="5" t="inlineStr">
        <is>
          <t>YES</t>
        </is>
      </c>
    </row>
    <row r="344">
      <c r="A344" s="6" t="n">
        <v>238</v>
      </c>
      <c r="B344" s="5" t="inlineStr">
        <is>
          <t>S3</t>
        </is>
      </c>
      <c r="C344" s="5" t="inlineStr">
        <is>
          <t>8: Antimicrobial and antibiofilm hydrogel depots</t>
        </is>
      </c>
      <c r="D344" s="5" t="inlineStr">
        <is>
          <t>Sustained release of alginate hydrogel containing antimicrobial peptide Chol-37 (F34-R) in vitro and its effect on wound healing in murine model of Pseudomonas aeruginosa infection</t>
        </is>
      </c>
      <c r="E344" s="5" t="inlineStr">
        <is>
          <t>10.4142/jvs.22319</t>
        </is>
      </c>
      <c r="F344" s="5" t="inlineStr">
        <is>
          <t>sustained or staged delivery</t>
        </is>
      </c>
      <c r="G344" s="5" t="inlineStr">
        <is>
          <t>Inflammation or macrophage modulation</t>
        </is>
      </c>
      <c r="H344" s="6" t="inlineStr">
        <is>
          <t>1</t>
        </is>
      </c>
      <c r="K344" s="5" t="inlineStr">
        <is>
          <t xml:space="preserve">; </t>
        </is>
      </c>
      <c r="M344" s="5" t="inlineStr">
        <is>
          <t>100.0</t>
        </is>
      </c>
      <c r="N344" s="5" t="inlineStr">
        <is>
          <t>YES</t>
        </is>
      </c>
    </row>
    <row r="345">
      <c r="A345" s="6" t="n">
        <v>238</v>
      </c>
      <c r="B345" s="5" t="inlineStr">
        <is>
          <t>S3</t>
        </is>
      </c>
      <c r="C345" s="5" t="inlineStr">
        <is>
          <t>8: Antimicrobial and antibiofilm hydrogel depots</t>
        </is>
      </c>
      <c r="D345" s="5" t="inlineStr">
        <is>
          <t>Sustained release of alginate hydrogel containing antimicrobial peptide Chol-37 (F34-R) in vitro and its effect on wound healing in murine model of Pseudomonas aeruginosa infection</t>
        </is>
      </c>
      <c r="E345" s="5" t="inlineStr">
        <is>
          <t>10.4142/jvs.22319</t>
        </is>
      </c>
      <c r="F345" s="5" t="inlineStr">
        <is>
          <t>sustained or staged delivery</t>
        </is>
      </c>
      <c r="G345" s="5" t="inlineStr">
        <is>
          <t>Angiogenesis</t>
        </is>
      </c>
      <c r="H345" s="6" t="inlineStr">
        <is>
          <t>0</t>
        </is>
      </c>
      <c r="K345" s="5" t="inlineStr">
        <is>
          <t xml:space="preserve">; </t>
        </is>
      </c>
      <c r="M345" s="5" t="inlineStr">
        <is>
          <t>100.0</t>
        </is>
      </c>
      <c r="N345" s="5" t="inlineStr">
        <is>
          <t>YES</t>
        </is>
      </c>
    </row>
    <row r="346">
      <c r="A346" s="6" t="n">
        <v>238</v>
      </c>
      <c r="B346" s="5" t="inlineStr">
        <is>
          <t>S3</t>
        </is>
      </c>
      <c r="C346" s="5" t="inlineStr">
        <is>
          <t>8: Antimicrobial and antibiofilm hydrogel depots</t>
        </is>
      </c>
      <c r="D346" s="5" t="inlineStr">
        <is>
          <t>Sustained release of alginate hydrogel containing antimicrobial peptide Chol-37 (F34-R) in vitro and its effect on wound healing in murine model of Pseudomonas aeruginosa infection</t>
        </is>
      </c>
      <c r="E346" s="5" t="inlineStr">
        <is>
          <t>10.4142/jvs.22319</t>
        </is>
      </c>
      <c r="F346" s="5" t="inlineStr">
        <is>
          <t>sustained or staged delivery</t>
        </is>
      </c>
      <c r="G346" s="5" t="inlineStr">
        <is>
          <t>Collagen or matrix remodeling</t>
        </is>
      </c>
      <c r="H346" s="6" t="inlineStr">
        <is>
          <t>1</t>
        </is>
      </c>
      <c r="K346" s="5" t="inlineStr">
        <is>
          <t xml:space="preserve">; </t>
        </is>
      </c>
      <c r="M346" s="5" t="inlineStr">
        <is>
          <t>100.0</t>
        </is>
      </c>
      <c r="N346" s="5" t="inlineStr">
        <is>
          <t>YES</t>
        </is>
      </c>
    </row>
    <row r="347">
      <c r="A347" s="6" t="n">
        <v>238</v>
      </c>
      <c r="B347" s="5" t="inlineStr">
        <is>
          <t>S3</t>
        </is>
      </c>
      <c r="C347" s="5" t="inlineStr">
        <is>
          <t>8: Antimicrobial and antibiofilm hydrogel depots</t>
        </is>
      </c>
      <c r="D347" s="5" t="inlineStr">
        <is>
          <t>Sustained release of alginate hydrogel containing antimicrobial peptide Chol-37 (F34-R) in vitro and its effect on wound healing in murine model of Pseudomonas aeruginosa infection</t>
        </is>
      </c>
      <c r="E347" s="5" t="inlineStr">
        <is>
          <t>10.4142/jvs.22319</t>
        </is>
      </c>
      <c r="F347" s="5" t="inlineStr">
        <is>
          <t>sustained or staged delivery</t>
        </is>
      </c>
      <c r="G347" s="5" t="inlineStr">
        <is>
          <t>Re-epithelialization</t>
        </is>
      </c>
      <c r="H347" s="6" t="inlineStr">
        <is>
          <t>1</t>
        </is>
      </c>
      <c r="K347" s="5" t="inlineStr">
        <is>
          <t xml:space="preserve">; </t>
        </is>
      </c>
      <c r="M347" s="5" t="inlineStr">
        <is>
          <t>100.0</t>
        </is>
      </c>
      <c r="N347" s="5" t="inlineStr">
        <is>
          <t>YES</t>
        </is>
      </c>
    </row>
    <row r="348">
      <c r="A348" s="6" t="n">
        <v>238</v>
      </c>
      <c r="B348" s="5" t="inlineStr">
        <is>
          <t>S3</t>
        </is>
      </c>
      <c r="C348" s="5" t="inlineStr">
        <is>
          <t>8: Antimicrobial and antibiofilm hydrogel depots</t>
        </is>
      </c>
      <c r="D348" s="5" t="inlineStr">
        <is>
          <t>Sustained release of alginate hydrogel containing antimicrobial peptide Chol-37 (F34-R) in vitro and its effect on wound healing in murine model of Pseudomonas aeruginosa infection</t>
        </is>
      </c>
      <c r="E348" s="5" t="inlineStr">
        <is>
          <t>10.4142/jvs.22319</t>
        </is>
      </c>
      <c r="F348" s="5" t="inlineStr">
        <is>
          <t>sustained or staged delivery</t>
        </is>
      </c>
      <c r="G348" s="5" t="inlineStr">
        <is>
          <t>Wound closure</t>
        </is>
      </c>
      <c r="H348" s="6" t="inlineStr">
        <is>
          <t>1</t>
        </is>
      </c>
      <c r="K348" s="5" t="inlineStr">
        <is>
          <t xml:space="preserve">; </t>
        </is>
      </c>
      <c r="M348" s="5" t="inlineStr">
        <is>
          <t>100.0</t>
        </is>
      </c>
      <c r="N348" s="5" t="inlineStr">
        <is>
          <t>YES</t>
        </is>
      </c>
    </row>
    <row r="349">
      <c r="A349" s="6" t="n">
        <v>238</v>
      </c>
      <c r="B349" s="5" t="inlineStr">
        <is>
          <t>S3</t>
        </is>
      </c>
      <c r="C349" s="5" t="inlineStr">
        <is>
          <t>8: Antimicrobial and antibiofilm hydrogel depots</t>
        </is>
      </c>
      <c r="D349" s="5" t="inlineStr">
        <is>
          <t>Sustained release of alginate hydrogel containing antimicrobial peptide Chol-37 (F34-R) in vitro and its effect on wound healing in murine model of Pseudomonas aeruginosa infection</t>
        </is>
      </c>
      <c r="E349" s="5" t="inlineStr">
        <is>
          <t>10.4142/jvs.22319</t>
        </is>
      </c>
      <c r="F349" s="5" t="inlineStr">
        <is>
          <t>sustained or staged delivery</t>
        </is>
      </c>
      <c r="G349" s="5" t="inlineStr">
        <is>
          <t>Safety or cytocompatibility</t>
        </is>
      </c>
      <c r="H349" s="6" t="inlineStr">
        <is>
          <t>0</t>
        </is>
      </c>
      <c r="K349" s="5" t="inlineStr">
        <is>
          <t xml:space="preserve">; </t>
        </is>
      </c>
      <c r="M349" s="5" t="inlineStr">
        <is>
          <t>100.0</t>
        </is>
      </c>
      <c r="N349" s="5" t="inlineStr">
        <is>
          <t>YES</t>
        </is>
      </c>
    </row>
    <row r="350">
      <c r="A350" s="6" t="n">
        <v>243</v>
      </c>
      <c r="B350" s="5" t="inlineStr">
        <is>
          <t>S3</t>
        </is>
      </c>
      <c r="C350" s="5" t="inlineStr">
        <is>
          <t>8: Antimicrobial and antibiofilm hydrogel depots</t>
        </is>
      </c>
      <c r="D350" s="5" t="inlineStr">
        <is>
          <t>Eradication of Mature Bacterial Biofilms with Concurrent Improvement in Chronic Wound Healing Using Silver Nanoparticle Hydrogel Treatment</t>
        </is>
      </c>
      <c r="E350" s="5" t="inlineStr">
        <is>
          <t>10.3390/biomedicines9091182</t>
        </is>
      </c>
      <c r="F350" s="5" t="inlineStr">
        <is>
          <t>sustained or staged delivery</t>
        </is>
      </c>
      <c r="G350" s="5" t="inlineStr">
        <is>
          <t>Release kinetics measured</t>
        </is>
      </c>
      <c r="H350" s="6" t="inlineStr">
        <is>
          <t>1</t>
        </is>
      </c>
      <c r="K350" s="5" t="inlineStr">
        <is>
          <t xml:space="preserve">; </t>
        </is>
      </c>
      <c r="M350" s="5" t="inlineStr">
        <is>
          <t>100.0</t>
        </is>
      </c>
      <c r="N350" s="5" t="inlineStr">
        <is>
          <t>YES</t>
        </is>
      </c>
    </row>
    <row r="351">
      <c r="A351" s="6" t="n">
        <v>243</v>
      </c>
      <c r="B351" s="5" t="inlineStr">
        <is>
          <t>S3</t>
        </is>
      </c>
      <c r="C351" s="5" t="inlineStr">
        <is>
          <t>8: Antimicrobial and antibiofilm hydrogel depots</t>
        </is>
      </c>
      <c r="D351" s="5" t="inlineStr">
        <is>
          <t>Eradication of Mature Bacterial Biofilms with Concurrent Improvement in Chronic Wound Healing Using Silver Nanoparticle Hydrogel Treatment</t>
        </is>
      </c>
      <c r="E351" s="5" t="inlineStr">
        <is>
          <t>10.3390/biomedicines9091182</t>
        </is>
      </c>
      <c r="F351" s="5" t="inlineStr">
        <is>
          <t>sustained or staged delivery</t>
        </is>
      </c>
      <c r="G351" s="5" t="inlineStr">
        <is>
          <t>Antimicrobial or biofilm control</t>
        </is>
      </c>
      <c r="H351" s="6" t="inlineStr">
        <is>
          <t>1</t>
        </is>
      </c>
      <c r="K351" s="5" t="inlineStr">
        <is>
          <t xml:space="preserve">; </t>
        </is>
      </c>
      <c r="M351" s="5" t="inlineStr">
        <is>
          <t>100.0</t>
        </is>
      </c>
      <c r="N351" s="5" t="inlineStr">
        <is>
          <t>YES</t>
        </is>
      </c>
    </row>
    <row r="352">
      <c r="A352" s="6" t="n">
        <v>243</v>
      </c>
      <c r="B352" s="5" t="inlineStr">
        <is>
          <t>S3</t>
        </is>
      </c>
      <c r="C352" s="5" t="inlineStr">
        <is>
          <t>8: Antimicrobial and antibiofilm hydrogel depots</t>
        </is>
      </c>
      <c r="D352" s="5" t="inlineStr">
        <is>
          <t>Eradication of Mature Bacterial Biofilms with Concurrent Improvement in Chronic Wound Healing Using Silver Nanoparticle Hydrogel Treatment</t>
        </is>
      </c>
      <c r="E352" s="5" t="inlineStr">
        <is>
          <t>10.3390/biomedicines9091182</t>
        </is>
      </c>
      <c r="F352" s="5" t="inlineStr">
        <is>
          <t>sustained or staged delivery</t>
        </is>
      </c>
      <c r="G352" s="5" t="inlineStr">
        <is>
          <t>Inflammation or macrophage modulation</t>
        </is>
      </c>
      <c r="H352" s="6" t="inlineStr">
        <is>
          <t>0</t>
        </is>
      </c>
      <c r="K352" s="5" t="inlineStr">
        <is>
          <t xml:space="preserve">; </t>
        </is>
      </c>
      <c r="M352" s="5" t="inlineStr">
        <is>
          <t>100.0</t>
        </is>
      </c>
      <c r="N352" s="5" t="inlineStr">
        <is>
          <t>YES</t>
        </is>
      </c>
    </row>
    <row r="353">
      <c r="A353" s="6" t="n">
        <v>243</v>
      </c>
      <c r="B353" s="5" t="inlineStr">
        <is>
          <t>S3</t>
        </is>
      </c>
      <c r="C353" s="5" t="inlineStr">
        <is>
          <t>8: Antimicrobial and antibiofilm hydrogel depots</t>
        </is>
      </c>
      <c r="D353" s="5" t="inlineStr">
        <is>
          <t>Eradication of Mature Bacterial Biofilms with Concurrent Improvement in Chronic Wound Healing Using Silver Nanoparticle Hydrogel Treatment</t>
        </is>
      </c>
      <c r="E353" s="5" t="inlineStr">
        <is>
          <t>10.3390/biomedicines9091182</t>
        </is>
      </c>
      <c r="F353" s="5" t="inlineStr">
        <is>
          <t>sustained or staged delivery</t>
        </is>
      </c>
      <c r="G353" s="5" t="inlineStr">
        <is>
          <t>Angiogenesis</t>
        </is>
      </c>
      <c r="H353" s="6" t="inlineStr">
        <is>
          <t>0</t>
        </is>
      </c>
      <c r="K353" s="5" t="inlineStr">
        <is>
          <t xml:space="preserve">; </t>
        </is>
      </c>
      <c r="M353" s="5" t="inlineStr">
        <is>
          <t>100.0</t>
        </is>
      </c>
      <c r="N353" s="5" t="inlineStr">
        <is>
          <t>YES</t>
        </is>
      </c>
    </row>
    <row r="354">
      <c r="A354" s="6" t="n">
        <v>243</v>
      </c>
      <c r="B354" s="5" t="inlineStr">
        <is>
          <t>S3</t>
        </is>
      </c>
      <c r="C354" s="5" t="inlineStr">
        <is>
          <t>8: Antimicrobial and antibiofilm hydrogel depots</t>
        </is>
      </c>
      <c r="D354" s="5" t="inlineStr">
        <is>
          <t>Eradication of Mature Bacterial Biofilms with Concurrent Improvement in Chronic Wound Healing Using Silver Nanoparticle Hydrogel Treatment</t>
        </is>
      </c>
      <c r="E354" s="5" t="inlineStr">
        <is>
          <t>10.3390/biomedicines9091182</t>
        </is>
      </c>
      <c r="F354" s="5" t="inlineStr">
        <is>
          <t>sustained or staged delivery</t>
        </is>
      </c>
      <c r="G354" s="5" t="inlineStr">
        <is>
          <t>Collagen or matrix remodeling</t>
        </is>
      </c>
      <c r="H354" s="6" t="inlineStr">
        <is>
          <t>1</t>
        </is>
      </c>
      <c r="K354" s="5" t="inlineStr">
        <is>
          <t xml:space="preserve">; </t>
        </is>
      </c>
      <c r="M354" s="5" t="inlineStr">
        <is>
          <t>100.0</t>
        </is>
      </c>
      <c r="N354" s="5" t="inlineStr">
        <is>
          <t>YES</t>
        </is>
      </c>
    </row>
    <row r="355">
      <c r="A355" s="6" t="n">
        <v>243</v>
      </c>
      <c r="B355" s="5" t="inlineStr">
        <is>
          <t>S3</t>
        </is>
      </c>
      <c r="C355" s="5" t="inlineStr">
        <is>
          <t>8: Antimicrobial and antibiofilm hydrogel depots</t>
        </is>
      </c>
      <c r="D355" s="5" t="inlineStr">
        <is>
          <t>Eradication of Mature Bacterial Biofilms with Concurrent Improvement in Chronic Wound Healing Using Silver Nanoparticle Hydrogel Treatment</t>
        </is>
      </c>
      <c r="E355" s="5" t="inlineStr">
        <is>
          <t>10.3390/biomedicines9091182</t>
        </is>
      </c>
      <c r="F355" s="5" t="inlineStr">
        <is>
          <t>sustained or staged delivery</t>
        </is>
      </c>
      <c r="G355" s="5" t="inlineStr">
        <is>
          <t>Re-epithelialization</t>
        </is>
      </c>
      <c r="H355" s="6" t="inlineStr">
        <is>
          <t>1</t>
        </is>
      </c>
      <c r="K355" s="5" t="inlineStr">
        <is>
          <t xml:space="preserve">; </t>
        </is>
      </c>
      <c r="M355" s="5" t="inlineStr">
        <is>
          <t>100.0</t>
        </is>
      </c>
      <c r="N355" s="5" t="inlineStr">
        <is>
          <t>YES</t>
        </is>
      </c>
    </row>
    <row r="356">
      <c r="A356" s="6" t="n">
        <v>243</v>
      </c>
      <c r="B356" s="5" t="inlineStr">
        <is>
          <t>S3</t>
        </is>
      </c>
      <c r="C356" s="5" t="inlineStr">
        <is>
          <t>8: Antimicrobial and antibiofilm hydrogel depots</t>
        </is>
      </c>
      <c r="D356" s="5" t="inlineStr">
        <is>
          <t>Eradication of Mature Bacterial Biofilms with Concurrent Improvement in Chronic Wound Healing Using Silver Nanoparticle Hydrogel Treatment</t>
        </is>
      </c>
      <c r="E356" s="5" t="inlineStr">
        <is>
          <t>10.3390/biomedicines9091182</t>
        </is>
      </c>
      <c r="F356" s="5" t="inlineStr">
        <is>
          <t>sustained or staged delivery</t>
        </is>
      </c>
      <c r="G356" s="5" t="inlineStr">
        <is>
          <t>Wound closure</t>
        </is>
      </c>
      <c r="H356" s="6" t="inlineStr">
        <is>
          <t>1</t>
        </is>
      </c>
      <c r="K356" s="5" t="inlineStr">
        <is>
          <t xml:space="preserve">; </t>
        </is>
      </c>
      <c r="M356" s="5" t="inlineStr">
        <is>
          <t>100.0</t>
        </is>
      </c>
      <c r="N356" s="5" t="inlineStr">
        <is>
          <t>YES</t>
        </is>
      </c>
    </row>
    <row r="357">
      <c r="A357" s="6" t="n">
        <v>243</v>
      </c>
      <c r="B357" s="5" t="inlineStr">
        <is>
          <t>S3</t>
        </is>
      </c>
      <c r="C357" s="5" t="inlineStr">
        <is>
          <t>8: Antimicrobial and antibiofilm hydrogel depots</t>
        </is>
      </c>
      <c r="D357" s="5" t="inlineStr">
        <is>
          <t>Eradication of Mature Bacterial Biofilms with Concurrent Improvement in Chronic Wound Healing Using Silver Nanoparticle Hydrogel Treatment</t>
        </is>
      </c>
      <c r="E357" s="5" t="inlineStr">
        <is>
          <t>10.3390/biomedicines9091182</t>
        </is>
      </c>
      <c r="F357" s="5" t="inlineStr">
        <is>
          <t>sustained or staged delivery</t>
        </is>
      </c>
      <c r="G357" s="5" t="inlineStr">
        <is>
          <t>Safety or cytocompatibility</t>
        </is>
      </c>
      <c r="H357" s="6" t="inlineStr">
        <is>
          <t>1</t>
        </is>
      </c>
      <c r="K357" s="5" t="inlineStr">
        <is>
          <t xml:space="preserve">; </t>
        </is>
      </c>
      <c r="M357" s="5" t="inlineStr">
        <is>
          <t>100.0</t>
        </is>
      </c>
      <c r="N357" s="5" t="inlineStr">
        <is>
          <t>YES</t>
        </is>
      </c>
    </row>
  </sheetData>
  <autoFilter ref="A1:N357"/>
  <pageMargins left="0.7" right="0.7" top="0.75" bottom="0.75" header="0.3" footer="0.3"/>
</worksheet>
</file>

<file path=xl/worksheets/sheet17.xml><?xml version="1.0" encoding="utf-8"?>
<worksheet xmlns="http://schemas.openxmlformats.org/spreadsheetml/2006/main">
  <sheetPr>
    <tabColor rgb="FF23678D"/>
    <outlinePr summaryBelow="1" summaryRight="1"/>
    <pageSetUpPr/>
  </sheetPr>
  <dimension ref="A1:J8"/>
  <sheetViews>
    <sheetView showGridLines="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56.7109375" customWidth="1" min="1" max="1"/>
    <col width="19.7109375" customWidth="1" min="2" max="10"/>
  </cols>
  <sheetData>
    <row r="1" ht="75" customHeight="1">
      <c r="A1" s="2" t="inlineStr">
        <is>
          <t>Group</t>
        </is>
      </c>
      <c r="B1" s="2" t="inlineStr">
        <is>
          <t>Release kinetics measured</t>
        </is>
      </c>
      <c r="C1" s="2" t="inlineStr">
        <is>
          <t>Antimicrobial or biofilm control</t>
        </is>
      </c>
      <c r="D1" s="2" t="inlineStr">
        <is>
          <t>Inflammation or macrophage modulation</t>
        </is>
      </c>
      <c r="E1" s="2" t="inlineStr">
        <is>
          <t>Angiogenesis</t>
        </is>
      </c>
      <c r="F1" s="2" t="inlineStr">
        <is>
          <t>Collagen or matrix remodeling</t>
        </is>
      </c>
      <c r="G1" s="2" t="inlineStr">
        <is>
          <t>Re-epithelialization</t>
        </is>
      </c>
      <c r="H1" s="2" t="inlineStr">
        <is>
          <t>Wound closure</t>
        </is>
      </c>
      <c r="I1" s="2" t="inlineStr">
        <is>
          <t>Safety or cytocompatibility</t>
        </is>
      </c>
      <c r="J1" s="2" t="inlineStr">
        <is>
          <t>Unique studies in group</t>
        </is>
      </c>
    </row>
    <row r="2">
      <c r="A2" s="5" t="inlineStr">
        <is>
          <t>pH-responsive</t>
        </is>
      </c>
      <c r="B2" s="7" t="n">
        <f>COUNTIFS('Code_S06'!$F$2:$F$357,SUBSTITUTE($A2,CHAR(10)," "),'Code_S06'!$G$2:$G$357,SUBSTITUTE(B$1,CHAR(10)," "),'Code_S06'!$H$2:$H$357,1)</f>
        <v>5</v>
      </c>
      <c r="C2" s="7" t="n">
        <f>COUNTIFS('Code_S06'!$F$2:$F$357,SUBSTITUTE($A2,CHAR(10)," "),'Code_S06'!$G$2:$G$357,SUBSTITUTE(C$1,CHAR(10)," "),'Code_S06'!$H$2:$H$357,1)</f>
        <v>5</v>
      </c>
      <c r="D2" s="7" t="n">
        <f>COUNTIFS('Code_S06'!$F$2:$F$357,SUBSTITUTE($A2,CHAR(10)," "),'Code_S06'!$G$2:$G$357,SUBSTITUTE(D$1,CHAR(10)," "),'Code_S06'!$H$2:$H$357,1)</f>
        <v>5</v>
      </c>
      <c r="E2" s="7" t="n">
        <f>COUNTIFS('Code_S06'!$F$2:$F$357,SUBSTITUTE($A2,CHAR(10)," "),'Code_S06'!$G$2:$G$357,SUBSTITUTE(E$1,CHAR(10)," "),'Code_S06'!$H$2:$H$357,1)</f>
        <v>4</v>
      </c>
      <c r="F2" s="7" t="n">
        <f>COUNTIFS('Code_S06'!$F$2:$F$357,SUBSTITUTE($A2,CHAR(10)," "),'Code_S06'!$G$2:$G$357,SUBSTITUTE(F$1,CHAR(10)," "),'Code_S06'!$H$2:$H$357,1)</f>
        <v>5</v>
      </c>
      <c r="G2" s="7" t="n">
        <f>COUNTIFS('Code_S06'!$F$2:$F$357,SUBSTITUTE($A2,CHAR(10)," "),'Code_S06'!$G$2:$G$357,SUBSTITUTE(G$1,CHAR(10)," "),'Code_S06'!$H$2:$H$357,1)</f>
        <v>5</v>
      </c>
      <c r="H2" s="7" t="n">
        <f>COUNTIFS('Code_S06'!$F$2:$F$357,SUBSTITUTE($A2,CHAR(10)," "),'Code_S06'!$G$2:$G$357,SUBSTITUTE(H$1,CHAR(10)," "),'Code_S06'!$H$2:$H$357,1)</f>
        <v>5</v>
      </c>
      <c r="I2" s="7" t="n">
        <f>COUNTIFS('Code_S06'!$F$2:$F$357,SUBSTITUTE($A2,CHAR(10)," "),'Code_S06'!$G$2:$G$357,SUBSTITUTE(I$1,CHAR(10)," "),'Code_S06'!$H$2:$H$357,1)</f>
        <v>5</v>
      </c>
      <c r="J2" s="7" t="n">
        <f>COUNTIFS('08_Study_Cohorts'!$A$2:$A$365,"S6",'08_Study_Cohorts'!$C$2:$C$365,SUBSTITUTE($A2,CHAR(10)," "))</f>
        <v>5</v>
      </c>
    </row>
    <row r="3">
      <c r="A3" s="5" t="inlineStr">
        <is>
          <t>ROS/redox-responsive</t>
        </is>
      </c>
      <c r="B3" s="7" t="n">
        <f>COUNTIFS('Code_S06'!$F$2:$F$357,SUBSTITUTE($A3,CHAR(10)," "),'Code_S06'!$G$2:$G$357,SUBSTITUTE(B$1,CHAR(10)," "),'Code_S06'!$H$2:$H$357,1)</f>
        <v>7</v>
      </c>
      <c r="C3" s="7" t="n">
        <f>COUNTIFS('Code_S06'!$F$2:$F$357,SUBSTITUTE($A3,CHAR(10)," "),'Code_S06'!$G$2:$G$357,SUBSTITUTE(C$1,CHAR(10)," "),'Code_S06'!$H$2:$H$357,1)</f>
        <v>6</v>
      </c>
      <c r="D3" s="7" t="n">
        <f>COUNTIFS('Code_S06'!$F$2:$F$357,SUBSTITUTE($A3,CHAR(10)," "),'Code_S06'!$G$2:$G$357,SUBSTITUTE(D$1,CHAR(10)," "),'Code_S06'!$H$2:$H$357,1)</f>
        <v>7</v>
      </c>
      <c r="E3" s="7" t="n">
        <f>COUNTIFS('Code_S06'!$F$2:$F$357,SUBSTITUTE($A3,CHAR(10)," "),'Code_S06'!$G$2:$G$357,SUBSTITUTE(E$1,CHAR(10)," "),'Code_S06'!$H$2:$H$357,1)</f>
        <v>6</v>
      </c>
      <c r="F3" s="7" t="n">
        <f>COUNTIFS('Code_S06'!$F$2:$F$357,SUBSTITUTE($A3,CHAR(10)," "),'Code_S06'!$G$2:$G$357,SUBSTITUTE(F$1,CHAR(10)," "),'Code_S06'!$H$2:$H$357,1)</f>
        <v>7</v>
      </c>
      <c r="G3" s="7" t="n">
        <f>COUNTIFS('Code_S06'!$F$2:$F$357,SUBSTITUTE($A3,CHAR(10)," "),'Code_S06'!$G$2:$G$357,SUBSTITUTE(G$1,CHAR(10)," "),'Code_S06'!$H$2:$H$357,1)</f>
        <v>5</v>
      </c>
      <c r="H3" s="7" t="n">
        <f>COUNTIFS('Code_S06'!$F$2:$F$357,SUBSTITUTE($A3,CHAR(10)," "),'Code_S06'!$G$2:$G$357,SUBSTITUTE(H$1,CHAR(10)," "),'Code_S06'!$H$2:$H$357,1)</f>
        <v>7</v>
      </c>
      <c r="I3" s="7" t="n">
        <f>COUNTIFS('Code_S06'!$F$2:$F$357,SUBSTITUTE($A3,CHAR(10)," "),'Code_S06'!$G$2:$G$357,SUBSTITUTE(I$1,CHAR(10)," "),'Code_S06'!$H$2:$H$357,1)</f>
        <v>6</v>
      </c>
      <c r="J3" s="7" t="n">
        <f>COUNTIFS('08_Study_Cohorts'!$A$2:$A$365,"S6",'08_Study_Cohorts'!$C$2:$C$365,SUBSTITUTE($A3,CHAR(10)," "))</f>
        <v>7</v>
      </c>
    </row>
    <row r="4">
      <c r="A4" s="5" t="inlineStr">
        <is>
          <t>Glucose-responsive</t>
        </is>
      </c>
      <c r="B4" s="7" t="n">
        <f>COUNTIFS('Code_S06'!$F$2:$F$357,SUBSTITUTE($A4,CHAR(10)," "),'Code_S06'!$G$2:$G$357,SUBSTITUTE(B$1,CHAR(10)," "),'Code_S06'!$H$2:$H$357,1)</f>
        <v>1</v>
      </c>
      <c r="C4" s="7" t="n">
        <f>COUNTIFS('Code_S06'!$F$2:$F$357,SUBSTITUTE($A4,CHAR(10)," "),'Code_S06'!$G$2:$G$357,SUBSTITUTE(C$1,CHAR(10)," "),'Code_S06'!$H$2:$H$357,1)</f>
        <v>0</v>
      </c>
      <c r="D4" s="7" t="n">
        <f>COUNTIFS('Code_S06'!$F$2:$F$357,SUBSTITUTE($A4,CHAR(10)," "),'Code_S06'!$G$2:$G$357,SUBSTITUTE(D$1,CHAR(10)," "),'Code_S06'!$H$2:$H$357,1)</f>
        <v>1</v>
      </c>
      <c r="E4" s="7" t="n">
        <f>COUNTIFS('Code_S06'!$F$2:$F$357,SUBSTITUTE($A4,CHAR(10)," "),'Code_S06'!$G$2:$G$357,SUBSTITUTE(E$1,CHAR(10)," "),'Code_S06'!$H$2:$H$357,1)</f>
        <v>1</v>
      </c>
      <c r="F4" s="7" t="n">
        <f>COUNTIFS('Code_S06'!$F$2:$F$357,SUBSTITUTE($A4,CHAR(10)," "),'Code_S06'!$G$2:$G$357,SUBSTITUTE(F$1,CHAR(10)," "),'Code_S06'!$H$2:$H$357,1)</f>
        <v>1</v>
      </c>
      <c r="G4" s="7" t="n">
        <f>COUNTIFS('Code_S06'!$F$2:$F$357,SUBSTITUTE($A4,CHAR(10)," "),'Code_S06'!$G$2:$G$357,SUBSTITUTE(G$1,CHAR(10)," "),'Code_S06'!$H$2:$H$357,1)</f>
        <v>1</v>
      </c>
      <c r="H4" s="7" t="n">
        <f>COUNTIFS('Code_S06'!$F$2:$F$357,SUBSTITUTE($A4,CHAR(10)," "),'Code_S06'!$G$2:$G$357,SUBSTITUTE(H$1,CHAR(10)," "),'Code_S06'!$H$2:$H$357,1)</f>
        <v>1</v>
      </c>
      <c r="I4" s="7" t="n">
        <f>COUNTIFS('Code_S06'!$F$2:$F$357,SUBSTITUTE($A4,CHAR(10)," "),'Code_S06'!$G$2:$G$357,SUBSTITUTE(I$1,CHAR(10)," "),'Code_S06'!$H$2:$H$357,1)</f>
        <v>1</v>
      </c>
      <c r="J4" s="7" t="n">
        <f>COUNTIFS('08_Study_Cohorts'!$A$2:$A$365,"S6",'08_Study_Cohorts'!$C$2:$C$365,SUBSTITUTE($A4,CHAR(10)," "))</f>
        <v>1</v>
      </c>
    </row>
    <row r="5">
      <c r="A5" s="5" t="inlineStr">
        <is>
          <t>Enzyme-responsive</t>
        </is>
      </c>
      <c r="B5" s="7" t="n">
        <f>COUNTIFS('Code_S06'!$F$2:$F$357,SUBSTITUTE($A5,CHAR(10)," "),'Code_S06'!$G$2:$G$357,SUBSTITUTE(B$1,CHAR(10)," "),'Code_S06'!$H$2:$H$357,1)</f>
        <v>3</v>
      </c>
      <c r="C5" s="7" t="n">
        <f>COUNTIFS('Code_S06'!$F$2:$F$357,SUBSTITUTE($A5,CHAR(10)," "),'Code_S06'!$G$2:$G$357,SUBSTITUTE(C$1,CHAR(10)," "),'Code_S06'!$H$2:$H$357,1)</f>
        <v>3</v>
      </c>
      <c r="D5" s="7" t="n">
        <f>COUNTIFS('Code_S06'!$F$2:$F$357,SUBSTITUTE($A5,CHAR(10)," "),'Code_S06'!$G$2:$G$357,SUBSTITUTE(D$1,CHAR(10)," "),'Code_S06'!$H$2:$H$357,1)</f>
        <v>2</v>
      </c>
      <c r="E5" s="7" t="n">
        <f>COUNTIFS('Code_S06'!$F$2:$F$357,SUBSTITUTE($A5,CHAR(10)," "),'Code_S06'!$G$2:$G$357,SUBSTITUTE(E$1,CHAR(10)," "),'Code_S06'!$H$2:$H$357,1)</f>
        <v>1</v>
      </c>
      <c r="F5" s="7" t="n">
        <f>COUNTIFS('Code_S06'!$F$2:$F$357,SUBSTITUTE($A5,CHAR(10)," "),'Code_S06'!$G$2:$G$357,SUBSTITUTE(F$1,CHAR(10)," "),'Code_S06'!$H$2:$H$357,1)</f>
        <v>3</v>
      </c>
      <c r="G5" s="7" t="n">
        <f>COUNTIFS('Code_S06'!$F$2:$F$357,SUBSTITUTE($A5,CHAR(10)," "),'Code_S06'!$G$2:$G$357,SUBSTITUTE(G$1,CHAR(10)," "),'Code_S06'!$H$2:$H$357,1)</f>
        <v>3</v>
      </c>
      <c r="H5" s="7" t="n">
        <f>COUNTIFS('Code_S06'!$F$2:$F$357,SUBSTITUTE($A5,CHAR(10)," "),'Code_S06'!$G$2:$G$357,SUBSTITUTE(H$1,CHAR(10)," "),'Code_S06'!$H$2:$H$357,1)</f>
        <v>2</v>
      </c>
      <c r="I5" s="7" t="n">
        <f>COUNTIFS('Code_S06'!$F$2:$F$357,SUBSTITUTE($A5,CHAR(10)," "),'Code_S06'!$G$2:$G$357,SUBSTITUTE(I$1,CHAR(10)," "),'Code_S06'!$H$2:$H$357,1)</f>
        <v>3</v>
      </c>
      <c r="J5" s="7" t="n">
        <f>COUNTIFS('08_Study_Cohorts'!$A$2:$A$365,"S6",'08_Study_Cohorts'!$C$2:$C$365,SUBSTITUTE($A5,CHAR(10)," "))</f>
        <v>3</v>
      </c>
    </row>
    <row r="6">
      <c r="A6" s="5" t="inlineStr">
        <is>
          <t>Thermo/NIR or externally actuated</t>
        </is>
      </c>
      <c r="B6" s="7" t="n">
        <f>COUNTIFS('Code_S06'!$F$2:$F$357,SUBSTITUTE($A6,CHAR(10)," "),'Code_S06'!$G$2:$G$357,SUBSTITUTE(B$1,CHAR(10)," "),'Code_S06'!$H$2:$H$357,1)</f>
        <v>7</v>
      </c>
      <c r="C6" s="7" t="n">
        <f>COUNTIFS('Code_S06'!$F$2:$F$357,SUBSTITUTE($A6,CHAR(10)," "),'Code_S06'!$G$2:$G$357,SUBSTITUTE(C$1,CHAR(10)," "),'Code_S06'!$H$2:$H$357,1)</f>
        <v>7</v>
      </c>
      <c r="D6" s="7" t="n">
        <f>COUNTIFS('Code_S06'!$F$2:$F$357,SUBSTITUTE($A6,CHAR(10)," "),'Code_S06'!$G$2:$G$357,SUBSTITUTE(D$1,CHAR(10)," "),'Code_S06'!$H$2:$H$357,1)</f>
        <v>6</v>
      </c>
      <c r="E6" s="7" t="n">
        <f>COUNTIFS('Code_S06'!$F$2:$F$357,SUBSTITUTE($A6,CHAR(10)," "),'Code_S06'!$G$2:$G$357,SUBSTITUTE(E$1,CHAR(10)," "),'Code_S06'!$H$2:$H$357,1)</f>
        <v>3</v>
      </c>
      <c r="F6" s="7" t="n">
        <f>COUNTIFS('Code_S06'!$F$2:$F$357,SUBSTITUTE($A6,CHAR(10)," "),'Code_S06'!$G$2:$G$357,SUBSTITUTE(F$1,CHAR(10)," "),'Code_S06'!$H$2:$H$357,1)</f>
        <v>6</v>
      </c>
      <c r="G6" s="7" t="n">
        <f>COUNTIFS('Code_S06'!$F$2:$F$357,SUBSTITUTE($A6,CHAR(10)," "),'Code_S06'!$G$2:$G$357,SUBSTITUTE(G$1,CHAR(10)," "),'Code_S06'!$H$2:$H$357,1)</f>
        <v>5</v>
      </c>
      <c r="H6" s="7" t="n">
        <f>COUNTIFS('Code_S06'!$F$2:$F$357,SUBSTITUTE($A6,CHAR(10)," "),'Code_S06'!$G$2:$G$357,SUBSTITUTE(H$1,CHAR(10)," "),'Code_S06'!$H$2:$H$357,1)</f>
        <v>7</v>
      </c>
      <c r="I6" s="7" t="n">
        <f>COUNTIFS('Code_S06'!$F$2:$F$357,SUBSTITUTE($A6,CHAR(10)," "),'Code_S06'!$G$2:$G$357,SUBSTITUTE(I$1,CHAR(10)," "),'Code_S06'!$H$2:$H$357,1)</f>
        <v>7</v>
      </c>
      <c r="J6" s="7" t="n">
        <f>COUNTIFS('08_Study_Cohorts'!$A$2:$A$365,"S6",'08_Study_Cohorts'!$C$2:$C$365,SUBSTITUTE($A6,CHAR(10)," "))</f>
        <v>7</v>
      </c>
    </row>
    <row r="7">
      <c r="A7" s="5" t="inlineStr">
        <is>
          <t>Immune-programming</t>
        </is>
      </c>
      <c r="B7" s="7" t="n">
        <f>COUNTIFS('Code_S06'!$F$2:$F$357,SUBSTITUTE($A7,CHAR(10)," "),'Code_S06'!$G$2:$G$357,SUBSTITUTE(B$1,CHAR(10)," "),'Code_S06'!$H$2:$H$357,1)</f>
        <v>11</v>
      </c>
      <c r="C7" s="7" t="n">
        <f>COUNTIFS('Code_S06'!$F$2:$F$357,SUBSTITUTE($A7,CHAR(10)," "),'Code_S06'!$G$2:$G$357,SUBSTITUTE(C$1,CHAR(10)," "),'Code_S06'!$H$2:$H$357,1)</f>
        <v>10</v>
      </c>
      <c r="D7" s="7" t="n">
        <f>COUNTIFS('Code_S06'!$F$2:$F$357,SUBSTITUTE($A7,CHAR(10)," "),'Code_S06'!$G$2:$G$357,SUBSTITUTE(D$1,CHAR(10)," "),'Code_S06'!$H$2:$H$357,1)</f>
        <v>11</v>
      </c>
      <c r="E7" s="7" t="n">
        <f>COUNTIFS('Code_S06'!$F$2:$F$357,SUBSTITUTE($A7,CHAR(10)," "),'Code_S06'!$G$2:$G$357,SUBSTITUTE(E$1,CHAR(10)," "),'Code_S06'!$H$2:$H$357,1)</f>
        <v>10</v>
      </c>
      <c r="F7" s="7" t="n">
        <f>COUNTIFS('Code_S06'!$F$2:$F$357,SUBSTITUTE($A7,CHAR(10)," "),'Code_S06'!$G$2:$G$357,SUBSTITUTE(F$1,CHAR(10)," "),'Code_S06'!$H$2:$H$357,1)</f>
        <v>10</v>
      </c>
      <c r="G7" s="7" t="n">
        <f>COUNTIFS('Code_S06'!$F$2:$F$357,SUBSTITUTE($A7,CHAR(10)," "),'Code_S06'!$G$2:$G$357,SUBSTITUTE(G$1,CHAR(10)," "),'Code_S06'!$H$2:$H$357,1)</f>
        <v>8</v>
      </c>
      <c r="H7" s="7" t="n">
        <f>COUNTIFS('Code_S06'!$F$2:$F$357,SUBSTITUTE($A7,CHAR(10)," "),'Code_S06'!$G$2:$G$357,SUBSTITUTE(H$1,CHAR(10)," "),'Code_S06'!$H$2:$H$357,1)</f>
        <v>11</v>
      </c>
      <c r="I7" s="7" t="n">
        <f>COUNTIFS('Code_S06'!$F$2:$F$357,SUBSTITUTE($A7,CHAR(10)," "),'Code_S06'!$G$2:$G$357,SUBSTITUTE(I$1,CHAR(10)," "),'Code_S06'!$H$2:$H$357,1)</f>
        <v>11</v>
      </c>
      <c r="J7" s="7" t="n">
        <f>COUNTIFS('08_Study_Cohorts'!$A$2:$A$365,"S6",'08_Study_Cohorts'!$C$2:$C$365,SUBSTITUTE($A7,CHAR(10)," "))</f>
        <v>11</v>
      </c>
    </row>
    <row r="8">
      <c r="A8" s="5" t="inlineStr">
        <is>
          <t>Sustained or staged delivery</t>
        </is>
      </c>
      <c r="B8" s="7" t="n">
        <f>COUNTIFS('Code_S06'!$F$2:$F$357,SUBSTITUTE($A8,CHAR(10)," "),'Code_S06'!$G$2:$G$357,SUBSTITUTE(B$1,CHAR(10)," "),'Code_S06'!$H$2:$H$357,1)</f>
        <v>15</v>
      </c>
      <c r="C8" s="7" t="n">
        <f>COUNTIFS('Code_S06'!$F$2:$F$357,SUBSTITUTE($A8,CHAR(10)," "),'Code_S06'!$G$2:$G$357,SUBSTITUTE(C$1,CHAR(10)," "),'Code_S06'!$H$2:$H$357,1)</f>
        <v>13</v>
      </c>
      <c r="D8" s="7" t="n">
        <f>COUNTIFS('Code_S06'!$F$2:$F$357,SUBSTITUTE($A8,CHAR(10)," "),'Code_S06'!$G$2:$G$357,SUBSTITUTE(D$1,CHAR(10)," "),'Code_S06'!$H$2:$H$357,1)</f>
        <v>10</v>
      </c>
      <c r="E8" s="7" t="n">
        <f>COUNTIFS('Code_S06'!$F$2:$F$357,SUBSTITUTE($A8,CHAR(10)," "),'Code_S06'!$G$2:$G$357,SUBSTITUTE(E$1,CHAR(10)," "),'Code_S06'!$H$2:$H$357,1)</f>
        <v>12</v>
      </c>
      <c r="F8" s="7" t="n">
        <f>COUNTIFS('Code_S06'!$F$2:$F$357,SUBSTITUTE($A8,CHAR(10)," "),'Code_S06'!$G$2:$G$357,SUBSTITUTE(F$1,CHAR(10)," "),'Code_S06'!$H$2:$H$357,1)</f>
        <v>15</v>
      </c>
      <c r="G8" s="7" t="n">
        <f>COUNTIFS('Code_S06'!$F$2:$F$357,SUBSTITUTE($A8,CHAR(10)," "),'Code_S06'!$G$2:$G$357,SUBSTITUTE(G$1,CHAR(10)," "),'Code_S06'!$H$2:$H$357,1)</f>
        <v>11</v>
      </c>
      <c r="H8" s="7" t="n">
        <f>COUNTIFS('Code_S06'!$F$2:$F$357,SUBSTITUTE($A8,CHAR(10)," "),'Code_S06'!$G$2:$G$357,SUBSTITUTE(H$1,CHAR(10)," "),'Code_S06'!$H$2:$H$357,1)</f>
        <v>15</v>
      </c>
      <c r="I8" s="7" t="n">
        <f>COUNTIFS('Code_S06'!$F$2:$F$357,SUBSTITUTE($A8,CHAR(10)," "),'Code_S06'!$G$2:$G$357,SUBSTITUTE(I$1,CHAR(10)," "),'Code_S06'!$H$2:$H$357,1)</f>
        <v>14</v>
      </c>
      <c r="J8" s="7" t="n">
        <f>COUNTIFS('08_Study_Cohorts'!$A$2:$A$365,"S6",'08_Study_Cohorts'!$C$2:$C$365,SUBSTITUTE($A8,CHAR(10)," "))</f>
        <v>15</v>
      </c>
    </row>
  </sheetData>
  <pageMargins left="0.7" right="0.7" top="0.75" bottom="0.75" header="0.3" footer="0.3"/>
</worksheet>
</file>

<file path=xl/worksheets/sheet18.xml><?xml version="1.0" encoding="utf-8"?>
<worksheet xmlns="http://schemas.openxmlformats.org/spreadsheetml/2006/main">
  <sheetPr>
    <tabColor rgb="FF2B8C83"/>
    <outlinePr summaryBelow="1" summaryRight="1"/>
    <pageSetUpPr/>
  </sheetPr>
  <dimension ref="A1:N370"/>
  <sheetViews>
    <sheetView showGridLines="0" workbookViewId="0">
      <pane xSplit="3" ySplit="1" topLeftCell="D2" activePane="bottomRight" state="frozen"/>
      <selection pane="topRight" activeCell="D1" sqref="D1"/>
      <selection pane="bottomLeft" activeCell="A2" sqref="A2"/>
      <selection pane="bottomRight" activeCell="A1" sqref="A1"/>
    </sheetView>
  </sheetViews>
  <sheetFormatPr baseColWidth="8" defaultRowHeight="15"/>
  <cols>
    <col width="14.7109375" customWidth="1" min="1" max="1"/>
    <col width="15.7109375" customWidth="1" min="2" max="2"/>
    <col width="50.7109375" customWidth="1" min="3" max="3"/>
    <col width="65.7109375" customWidth="1" min="4" max="4"/>
    <col width="25.7109375" customWidth="1" min="5" max="5"/>
    <col width="60.7109375" customWidth="1" min="6" max="6"/>
    <col width="43.7109375" customWidth="1" min="7" max="7"/>
    <col width="15.7109375" customWidth="1" min="8" max="8"/>
    <col width="17.7109375" customWidth="1" min="9" max="10"/>
    <col width="58.7109375" customWidth="1" min="11" max="11"/>
    <col width="57.7109375" customWidth="1" min="12" max="12"/>
    <col width="22.7109375" customWidth="1" min="13" max="13"/>
    <col width="20.7109375" customWidth="1" min="14" max="14"/>
  </cols>
  <sheetData>
    <row r="1" ht="51" customHeight="1">
      <c r="A1" s="2" t="inlineStr">
        <is>
          <t>Main_ref</t>
        </is>
      </c>
      <c r="B1" s="2" t="inlineStr">
        <is>
          <t>SI_source_table</t>
        </is>
      </c>
      <c r="C1" s="2" t="inlineStr">
        <is>
          <t>SI_table_row</t>
        </is>
      </c>
      <c r="D1" s="2" t="inlineStr">
        <is>
          <t>Main_article_title</t>
        </is>
      </c>
      <c r="E1" s="2" t="inlineStr">
        <is>
          <t>DOI_in_main_register</t>
        </is>
      </c>
      <c r="F1" s="2" t="inlineStr">
        <is>
          <t>Group</t>
        </is>
      </c>
      <c r="G1" s="2" t="inlineStr">
        <is>
          <t>Domain</t>
        </is>
      </c>
      <c r="H1" s="2" t="inlineStr">
        <is>
          <t>Code_0_1</t>
        </is>
      </c>
      <c r="I1" s="2" t="inlineStr">
        <is>
          <t>Proposed_structural_score</t>
        </is>
      </c>
      <c r="J1" s="2" t="inlineStr">
        <is>
          <t>Proposed_disease_score</t>
        </is>
      </c>
      <c r="K1" s="2" t="inlineStr">
        <is>
          <t>Provenance_note</t>
        </is>
      </c>
      <c r="L1" s="2" t="inlineStr">
        <is>
          <t>Source_URL</t>
        </is>
      </c>
      <c r="M1" s="2" t="inlineStr">
        <is>
          <t>Bibliography_title_match_pct</t>
        </is>
      </c>
      <c r="N1" s="2" t="inlineStr">
        <is>
          <t>Citation_present_in_main</t>
        </is>
      </c>
    </row>
    <row r="2">
      <c r="A2" s="6" t="n">
        <v>200</v>
      </c>
      <c r="B2" s="5" t="inlineStr">
        <is>
          <t>S3</t>
        </is>
      </c>
      <c r="C2" s="5" t="inlineStr">
        <is>
          <t>3: Redox-, glucose-, and mixed-stimulus adaptive hydrogels</t>
        </is>
      </c>
      <c r="D2" s="5" t="inlineStr">
        <is>
          <t>Construction of oxidized dextran-based pH/ROS responsive hydrogel with live bacterial microcapsules for accelerating diabetic wound healing via reducing inflammatory factors</t>
        </is>
      </c>
      <c r="E2" s="5" t="inlineStr">
        <is>
          <t>10.1016/j.ijbiomac.2026.151405</t>
        </is>
      </c>
      <c r="F2" s="5" t="inlineStr">
        <is>
          <t>Mixed-stimulus adaptive hydrogels</t>
        </is>
      </c>
      <c r="G2" s="5" t="inlineStr">
        <is>
          <t>Material properties</t>
        </is>
      </c>
      <c r="H2" s="6" t="inlineStr">
        <is>
          <t>1</t>
        </is>
      </c>
      <c r="K2" s="5" t="inlineStr">
        <is>
          <t xml:space="preserve">; </t>
        </is>
      </c>
      <c r="M2" s="5" t="inlineStr">
        <is>
          <t>100.0</t>
        </is>
      </c>
      <c r="N2" s="5" t="inlineStr">
        <is>
          <t>YES</t>
        </is>
      </c>
    </row>
    <row r="3">
      <c r="A3" s="6" t="n">
        <v>200</v>
      </c>
      <c r="B3" s="5" t="inlineStr">
        <is>
          <t>S3</t>
        </is>
      </c>
      <c r="C3" s="5" t="inlineStr">
        <is>
          <t>3: Redox-, glucose-, and mixed-stimulus adaptive hydrogels</t>
        </is>
      </c>
      <c r="D3" s="5" t="inlineStr">
        <is>
          <t>Construction of oxidized dextran-based pH/ROS responsive hydrogel with live bacterial microcapsules for accelerating diabetic wound healing via reducing inflammatory factors</t>
        </is>
      </c>
      <c r="E3" s="5" t="inlineStr">
        <is>
          <t>10.1016/j.ijbiomac.2026.151405</t>
        </is>
      </c>
      <c r="F3" s="5" t="inlineStr">
        <is>
          <t>Mixed-stimulus adaptive hydrogels</t>
        </is>
      </c>
      <c r="G3" s="5" t="inlineStr">
        <is>
          <t>Release or activation kinetics</t>
        </is>
      </c>
      <c r="H3" s="6" t="inlineStr">
        <is>
          <t>1</t>
        </is>
      </c>
      <c r="K3" s="5" t="inlineStr">
        <is>
          <t xml:space="preserve">; </t>
        </is>
      </c>
      <c r="M3" s="5" t="inlineStr">
        <is>
          <t>100.0</t>
        </is>
      </c>
      <c r="N3" s="5" t="inlineStr">
        <is>
          <t>YES</t>
        </is>
      </c>
    </row>
    <row r="4">
      <c r="A4" s="6" t="n">
        <v>200</v>
      </c>
      <c r="B4" s="5" t="inlineStr">
        <is>
          <t>S3</t>
        </is>
      </c>
      <c r="C4" s="5" t="inlineStr">
        <is>
          <t>3: Redox-, glucose-, and mixed-stimulus adaptive hydrogels</t>
        </is>
      </c>
      <c r="D4" s="5" t="inlineStr">
        <is>
          <t>Construction of oxidized dextran-based pH/ROS responsive hydrogel with live bacterial microcapsules for accelerating diabetic wound healing via reducing inflammatory factors</t>
        </is>
      </c>
      <c r="E4" s="5" t="inlineStr">
        <is>
          <t>10.1016/j.ijbiomac.2026.151405</t>
        </is>
      </c>
      <c r="F4" s="5" t="inlineStr">
        <is>
          <t>Mixed-stimulus adaptive hydrogels</t>
        </is>
      </c>
      <c r="G4" s="5" t="inlineStr">
        <is>
          <t>Antimicrobial or biofilm</t>
        </is>
      </c>
      <c r="H4" s="6" t="inlineStr">
        <is>
          <t>1</t>
        </is>
      </c>
      <c r="K4" s="5" t="inlineStr">
        <is>
          <t xml:space="preserve">; </t>
        </is>
      </c>
      <c r="M4" s="5" t="inlineStr">
        <is>
          <t>100.0</t>
        </is>
      </c>
      <c r="N4" s="5" t="inlineStr">
        <is>
          <t>YES</t>
        </is>
      </c>
    </row>
    <row r="5">
      <c r="A5" s="6" t="n">
        <v>200</v>
      </c>
      <c r="B5" s="5" t="inlineStr">
        <is>
          <t>S3</t>
        </is>
      </c>
      <c r="C5" s="5" t="inlineStr">
        <is>
          <t>3: Redox-, glucose-, and mixed-stimulus adaptive hydrogels</t>
        </is>
      </c>
      <c r="D5" s="5" t="inlineStr">
        <is>
          <t>Construction of oxidized dextran-based pH/ROS responsive hydrogel with live bacterial microcapsules for accelerating diabetic wound healing via reducing inflammatory factors</t>
        </is>
      </c>
      <c r="E5" s="5" t="inlineStr">
        <is>
          <t>10.1016/j.ijbiomac.2026.151405</t>
        </is>
      </c>
      <c r="F5" s="5" t="inlineStr">
        <is>
          <t>Mixed-stimulus adaptive hydrogels</t>
        </is>
      </c>
      <c r="G5" s="5" t="inlineStr">
        <is>
          <t>ROS, oxidative, or metabolic</t>
        </is>
      </c>
      <c r="H5" s="6" t="inlineStr">
        <is>
          <t>1</t>
        </is>
      </c>
      <c r="K5" s="5" t="inlineStr">
        <is>
          <t xml:space="preserve">; </t>
        </is>
      </c>
      <c r="M5" s="5" t="inlineStr">
        <is>
          <t>100.0</t>
        </is>
      </c>
      <c r="N5" s="5" t="inlineStr">
        <is>
          <t>YES</t>
        </is>
      </c>
    </row>
    <row r="6">
      <c r="A6" s="6" t="n">
        <v>200</v>
      </c>
      <c r="B6" s="5" t="inlineStr">
        <is>
          <t>S3</t>
        </is>
      </c>
      <c r="C6" s="5" t="inlineStr">
        <is>
          <t>3: Redox-, glucose-, and mixed-stimulus adaptive hydrogels</t>
        </is>
      </c>
      <c r="D6" s="5" t="inlineStr">
        <is>
          <t>Construction of oxidized dextran-based pH/ROS responsive hydrogel with live bacterial microcapsules for accelerating diabetic wound healing via reducing inflammatory factors</t>
        </is>
      </c>
      <c r="E6" s="5" t="inlineStr">
        <is>
          <t>10.1016/j.ijbiomac.2026.151405</t>
        </is>
      </c>
      <c r="F6" s="5" t="inlineStr">
        <is>
          <t>Mixed-stimulus adaptive hydrogels</t>
        </is>
      </c>
      <c r="G6" s="5" t="inlineStr">
        <is>
          <t>Immune, cytokine, or macrophage</t>
        </is>
      </c>
      <c r="H6" s="6" t="inlineStr">
        <is>
          <t>1</t>
        </is>
      </c>
      <c r="K6" s="5" t="inlineStr">
        <is>
          <t xml:space="preserve">; </t>
        </is>
      </c>
      <c r="M6" s="5" t="inlineStr">
        <is>
          <t>100.0</t>
        </is>
      </c>
      <c r="N6" s="5" t="inlineStr">
        <is>
          <t>YES</t>
        </is>
      </c>
    </row>
    <row r="7">
      <c r="A7" s="6" t="n">
        <v>200</v>
      </c>
      <c r="B7" s="5" t="inlineStr">
        <is>
          <t>S3</t>
        </is>
      </c>
      <c r="C7" s="5" t="inlineStr">
        <is>
          <t>3: Redox-, glucose-, and mixed-stimulus adaptive hydrogels</t>
        </is>
      </c>
      <c r="D7" s="5" t="inlineStr">
        <is>
          <t>Construction of oxidized dextran-based pH/ROS responsive hydrogel with live bacterial microcapsules for accelerating diabetic wound healing via reducing inflammatory factors</t>
        </is>
      </c>
      <c r="E7" s="5" t="inlineStr">
        <is>
          <t>10.1016/j.ijbiomac.2026.151405</t>
        </is>
      </c>
      <c r="F7" s="5" t="inlineStr">
        <is>
          <t>Mixed-stimulus adaptive hydrogels</t>
        </is>
      </c>
      <c r="G7" s="5" t="inlineStr">
        <is>
          <t>Angiogenic or vascular</t>
        </is>
      </c>
      <c r="H7" s="6" t="inlineStr">
        <is>
          <t>1</t>
        </is>
      </c>
      <c r="K7" s="5" t="inlineStr">
        <is>
          <t xml:space="preserve">; </t>
        </is>
      </c>
      <c r="M7" s="5" t="inlineStr">
        <is>
          <t>100.0</t>
        </is>
      </c>
      <c r="N7" s="5" t="inlineStr">
        <is>
          <t>YES</t>
        </is>
      </c>
    </row>
    <row r="8">
      <c r="A8" s="6" t="n">
        <v>200</v>
      </c>
      <c r="B8" s="5" t="inlineStr">
        <is>
          <t>S3</t>
        </is>
      </c>
      <c r="C8" s="5" t="inlineStr">
        <is>
          <t>3: Redox-, glucose-, and mixed-stimulus adaptive hydrogels</t>
        </is>
      </c>
      <c r="D8" s="5" t="inlineStr">
        <is>
          <t>Construction of oxidized dextran-based pH/ROS responsive hydrogel with live bacterial microcapsules for accelerating diabetic wound healing via reducing inflammatory factors</t>
        </is>
      </c>
      <c r="E8" s="5" t="inlineStr">
        <is>
          <t>10.1016/j.ijbiomac.2026.151405</t>
        </is>
      </c>
      <c r="F8" s="5" t="inlineStr">
        <is>
          <t>Mixed-stimulus adaptive hydrogels</t>
        </is>
      </c>
      <c r="G8" s="5" t="inlineStr">
        <is>
          <t>Histology, collagen, or matrix repair</t>
        </is>
      </c>
      <c r="H8" s="6" t="inlineStr">
        <is>
          <t>1</t>
        </is>
      </c>
      <c r="K8" s="5" t="inlineStr">
        <is>
          <t xml:space="preserve">; </t>
        </is>
      </c>
      <c r="M8" s="5" t="inlineStr">
        <is>
          <t>100.0</t>
        </is>
      </c>
      <c r="N8" s="5" t="inlineStr">
        <is>
          <t>YES</t>
        </is>
      </c>
    </row>
    <row r="9">
      <c r="A9" s="6" t="n">
        <v>200</v>
      </c>
      <c r="B9" s="5" t="inlineStr">
        <is>
          <t>S3</t>
        </is>
      </c>
      <c r="C9" s="5" t="inlineStr">
        <is>
          <t>3: Redox-, glucose-, and mixed-stimulus adaptive hydrogels</t>
        </is>
      </c>
      <c r="D9" s="5" t="inlineStr">
        <is>
          <t>Construction of oxidized dextran-based pH/ROS responsive hydrogel with live bacterial microcapsules for accelerating diabetic wound healing via reducing inflammatory factors</t>
        </is>
      </c>
      <c r="E9" s="5" t="inlineStr">
        <is>
          <t>10.1016/j.ijbiomac.2026.151405</t>
        </is>
      </c>
      <c r="F9" s="5" t="inlineStr">
        <is>
          <t>Mixed-stimulus adaptive hydrogels</t>
        </is>
      </c>
      <c r="G9" s="5" t="inlineStr">
        <is>
          <t>Wound-area trajectory</t>
        </is>
      </c>
      <c r="H9" s="6" t="inlineStr">
        <is>
          <t>1</t>
        </is>
      </c>
      <c r="K9" s="5" t="inlineStr">
        <is>
          <t xml:space="preserve">; </t>
        </is>
      </c>
      <c r="M9" s="5" t="inlineStr">
        <is>
          <t>100.0</t>
        </is>
      </c>
      <c r="N9" s="5" t="inlineStr">
        <is>
          <t>YES</t>
        </is>
      </c>
    </row>
    <row r="10">
      <c r="A10" s="6" t="n">
        <v>200</v>
      </c>
      <c r="B10" s="5" t="inlineStr">
        <is>
          <t>S3</t>
        </is>
      </c>
      <c r="C10" s="5" t="inlineStr">
        <is>
          <t>3: Redox-, glucose-, and mixed-stimulus adaptive hydrogels</t>
        </is>
      </c>
      <c r="D10" s="5" t="inlineStr">
        <is>
          <t>Construction of oxidized dextran-based pH/ROS responsive hydrogel with live bacterial microcapsules for accelerating diabetic wound healing via reducing inflammatory factors</t>
        </is>
      </c>
      <c r="E10" s="5" t="inlineStr">
        <is>
          <t>10.1016/j.ijbiomac.2026.151405</t>
        </is>
      </c>
      <c r="F10" s="5" t="inlineStr">
        <is>
          <t>Mixed-stimulus adaptive hydrogels</t>
        </is>
      </c>
      <c r="G10" s="5" t="inlineStr">
        <is>
          <t>Safety or cytocompatibility</t>
        </is>
      </c>
      <c r="H10" s="6" t="inlineStr">
        <is>
          <t>1</t>
        </is>
      </c>
      <c r="K10" s="5" t="inlineStr">
        <is>
          <t xml:space="preserve">; </t>
        </is>
      </c>
      <c r="M10" s="5" t="inlineStr">
        <is>
          <t>100.0</t>
        </is>
      </c>
      <c r="N10" s="5" t="inlineStr">
        <is>
          <t>YES</t>
        </is>
      </c>
    </row>
    <row r="11">
      <c r="A11" s="6" t="n">
        <v>201</v>
      </c>
      <c r="B11" s="5" t="inlineStr">
        <is>
          <t>S3</t>
        </is>
      </c>
      <c r="C11" s="5" t="inlineStr">
        <is>
          <t>3: Redox-, glucose-, and mixed-stimulus adaptive hydrogels</t>
        </is>
      </c>
      <c r="D11" s="5" t="inlineStr">
        <is>
          <t>pH/ROS responsive hydrogel loaded with bimetallic phenolic nanoparticles: A multifaceted therapeutic strategy for accelerating diabetic wound repair</t>
        </is>
      </c>
      <c r="E11" s="5" t="inlineStr">
        <is>
          <t>10.1016/j.cej.2025.170173</t>
        </is>
      </c>
      <c r="F11" s="5" t="inlineStr">
        <is>
          <t>Mixed-stimulus adaptive hydrogels</t>
        </is>
      </c>
      <c r="G11" s="5" t="inlineStr">
        <is>
          <t>Material properties</t>
        </is>
      </c>
      <c r="H11" s="6" t="inlineStr">
        <is>
          <t>1</t>
        </is>
      </c>
      <c r="K11" s="5" t="inlineStr">
        <is>
          <t xml:space="preserve">; </t>
        </is>
      </c>
      <c r="M11" s="5" t="inlineStr">
        <is>
          <t>100.0</t>
        </is>
      </c>
      <c r="N11" s="5" t="inlineStr">
        <is>
          <t>YES</t>
        </is>
      </c>
    </row>
    <row r="12">
      <c r="A12" s="6" t="n">
        <v>201</v>
      </c>
      <c r="B12" s="5" t="inlineStr">
        <is>
          <t>S3</t>
        </is>
      </c>
      <c r="C12" s="5" t="inlineStr">
        <is>
          <t>3: Redox-, glucose-, and mixed-stimulus adaptive hydrogels</t>
        </is>
      </c>
      <c r="D12" s="5" t="inlineStr">
        <is>
          <t>pH/ROS responsive hydrogel loaded with bimetallic phenolic nanoparticles: A multifaceted therapeutic strategy for accelerating diabetic wound repair</t>
        </is>
      </c>
      <c r="E12" s="5" t="inlineStr">
        <is>
          <t>10.1016/j.cej.2025.170173</t>
        </is>
      </c>
      <c r="F12" s="5" t="inlineStr">
        <is>
          <t>Mixed-stimulus adaptive hydrogels</t>
        </is>
      </c>
      <c r="G12" s="5" t="inlineStr">
        <is>
          <t>Release or activation kinetics</t>
        </is>
      </c>
      <c r="H12" s="6" t="inlineStr">
        <is>
          <t>1</t>
        </is>
      </c>
      <c r="K12" s="5" t="inlineStr">
        <is>
          <t xml:space="preserve">; </t>
        </is>
      </c>
      <c r="M12" s="5" t="inlineStr">
        <is>
          <t>100.0</t>
        </is>
      </c>
      <c r="N12" s="5" t="inlineStr">
        <is>
          <t>YES</t>
        </is>
      </c>
    </row>
    <row r="13">
      <c r="A13" s="6" t="n">
        <v>201</v>
      </c>
      <c r="B13" s="5" t="inlineStr">
        <is>
          <t>S3</t>
        </is>
      </c>
      <c r="C13" s="5" t="inlineStr">
        <is>
          <t>3: Redox-, glucose-, and mixed-stimulus adaptive hydrogels</t>
        </is>
      </c>
      <c r="D13" s="5" t="inlineStr">
        <is>
          <t>pH/ROS responsive hydrogel loaded with bimetallic phenolic nanoparticles: A multifaceted therapeutic strategy for accelerating diabetic wound repair</t>
        </is>
      </c>
      <c r="E13" s="5" t="inlineStr">
        <is>
          <t>10.1016/j.cej.2025.170173</t>
        </is>
      </c>
      <c r="F13" s="5" t="inlineStr">
        <is>
          <t>Mixed-stimulus adaptive hydrogels</t>
        </is>
      </c>
      <c r="G13" s="5" t="inlineStr">
        <is>
          <t>Antimicrobial or biofilm</t>
        </is>
      </c>
      <c r="H13" s="6" t="inlineStr">
        <is>
          <t>1</t>
        </is>
      </c>
      <c r="K13" s="5" t="inlineStr">
        <is>
          <t xml:space="preserve">; </t>
        </is>
      </c>
      <c r="M13" s="5" t="inlineStr">
        <is>
          <t>100.0</t>
        </is>
      </c>
      <c r="N13" s="5" t="inlineStr">
        <is>
          <t>YES</t>
        </is>
      </c>
    </row>
    <row r="14">
      <c r="A14" s="6" t="n">
        <v>201</v>
      </c>
      <c r="B14" s="5" t="inlineStr">
        <is>
          <t>S3</t>
        </is>
      </c>
      <c r="C14" s="5" t="inlineStr">
        <is>
          <t>3: Redox-, glucose-, and mixed-stimulus adaptive hydrogels</t>
        </is>
      </c>
      <c r="D14" s="5" t="inlineStr">
        <is>
          <t>pH/ROS responsive hydrogel loaded with bimetallic phenolic nanoparticles: A multifaceted therapeutic strategy for accelerating diabetic wound repair</t>
        </is>
      </c>
      <c r="E14" s="5" t="inlineStr">
        <is>
          <t>10.1016/j.cej.2025.170173</t>
        </is>
      </c>
      <c r="F14" s="5" t="inlineStr">
        <is>
          <t>Mixed-stimulus adaptive hydrogels</t>
        </is>
      </c>
      <c r="G14" s="5" t="inlineStr">
        <is>
          <t>ROS, oxidative, or metabolic</t>
        </is>
      </c>
      <c r="H14" s="6" t="inlineStr">
        <is>
          <t>1</t>
        </is>
      </c>
      <c r="K14" s="5" t="inlineStr">
        <is>
          <t xml:space="preserve">; </t>
        </is>
      </c>
      <c r="M14" s="5" t="inlineStr">
        <is>
          <t>100.0</t>
        </is>
      </c>
      <c r="N14" s="5" t="inlineStr">
        <is>
          <t>YES</t>
        </is>
      </c>
    </row>
    <row r="15">
      <c r="A15" s="6" t="n">
        <v>201</v>
      </c>
      <c r="B15" s="5" t="inlineStr">
        <is>
          <t>S3</t>
        </is>
      </c>
      <c r="C15" s="5" t="inlineStr">
        <is>
          <t>3: Redox-, glucose-, and mixed-stimulus adaptive hydrogels</t>
        </is>
      </c>
      <c r="D15" s="5" t="inlineStr">
        <is>
          <t>pH/ROS responsive hydrogel loaded with bimetallic phenolic nanoparticles: A multifaceted therapeutic strategy for accelerating diabetic wound repair</t>
        </is>
      </c>
      <c r="E15" s="5" t="inlineStr">
        <is>
          <t>10.1016/j.cej.2025.170173</t>
        </is>
      </c>
      <c r="F15" s="5" t="inlineStr">
        <is>
          <t>Mixed-stimulus adaptive hydrogels</t>
        </is>
      </c>
      <c r="G15" s="5" t="inlineStr">
        <is>
          <t>Immune, cytokine, or macrophage</t>
        </is>
      </c>
      <c r="H15" s="6" t="inlineStr">
        <is>
          <t>1</t>
        </is>
      </c>
      <c r="K15" s="5" t="inlineStr">
        <is>
          <t xml:space="preserve">; </t>
        </is>
      </c>
      <c r="M15" s="5" t="inlineStr">
        <is>
          <t>100.0</t>
        </is>
      </c>
      <c r="N15" s="5" t="inlineStr">
        <is>
          <t>YES</t>
        </is>
      </c>
    </row>
    <row r="16">
      <c r="A16" s="6" t="n">
        <v>201</v>
      </c>
      <c r="B16" s="5" t="inlineStr">
        <is>
          <t>S3</t>
        </is>
      </c>
      <c r="C16" s="5" t="inlineStr">
        <is>
          <t>3: Redox-, glucose-, and mixed-stimulus adaptive hydrogels</t>
        </is>
      </c>
      <c r="D16" s="5" t="inlineStr">
        <is>
          <t>pH/ROS responsive hydrogel loaded with bimetallic phenolic nanoparticles: A multifaceted therapeutic strategy for accelerating diabetic wound repair</t>
        </is>
      </c>
      <c r="E16" s="5" t="inlineStr">
        <is>
          <t>10.1016/j.cej.2025.170173</t>
        </is>
      </c>
      <c r="F16" s="5" t="inlineStr">
        <is>
          <t>Mixed-stimulus adaptive hydrogels</t>
        </is>
      </c>
      <c r="G16" s="5" t="inlineStr">
        <is>
          <t>Angiogenic or vascular</t>
        </is>
      </c>
      <c r="H16" s="6" t="inlineStr">
        <is>
          <t>1</t>
        </is>
      </c>
      <c r="K16" s="5" t="inlineStr">
        <is>
          <t xml:space="preserve">; </t>
        </is>
      </c>
      <c r="M16" s="5" t="inlineStr">
        <is>
          <t>100.0</t>
        </is>
      </c>
      <c r="N16" s="5" t="inlineStr">
        <is>
          <t>YES</t>
        </is>
      </c>
    </row>
    <row r="17">
      <c r="A17" s="6" t="n">
        <v>201</v>
      </c>
      <c r="B17" s="5" t="inlineStr">
        <is>
          <t>S3</t>
        </is>
      </c>
      <c r="C17" s="5" t="inlineStr">
        <is>
          <t>3: Redox-, glucose-, and mixed-stimulus adaptive hydrogels</t>
        </is>
      </c>
      <c r="D17" s="5" t="inlineStr">
        <is>
          <t>pH/ROS responsive hydrogel loaded with bimetallic phenolic nanoparticles: A multifaceted therapeutic strategy for accelerating diabetic wound repair</t>
        </is>
      </c>
      <c r="E17" s="5" t="inlineStr">
        <is>
          <t>10.1016/j.cej.2025.170173</t>
        </is>
      </c>
      <c r="F17" s="5" t="inlineStr">
        <is>
          <t>Mixed-stimulus adaptive hydrogels</t>
        </is>
      </c>
      <c r="G17" s="5" t="inlineStr">
        <is>
          <t>Histology, collagen, or matrix repair</t>
        </is>
      </c>
      <c r="H17" s="6" t="inlineStr">
        <is>
          <t>1</t>
        </is>
      </c>
      <c r="K17" s="5" t="inlineStr">
        <is>
          <t xml:space="preserve">; </t>
        </is>
      </c>
      <c r="M17" s="5" t="inlineStr">
        <is>
          <t>100.0</t>
        </is>
      </c>
      <c r="N17" s="5" t="inlineStr">
        <is>
          <t>YES</t>
        </is>
      </c>
    </row>
    <row r="18">
      <c r="A18" s="6" t="n">
        <v>201</v>
      </c>
      <c r="B18" s="5" t="inlineStr">
        <is>
          <t>S3</t>
        </is>
      </c>
      <c r="C18" s="5" t="inlineStr">
        <is>
          <t>3: Redox-, glucose-, and mixed-stimulus adaptive hydrogels</t>
        </is>
      </c>
      <c r="D18" s="5" t="inlineStr">
        <is>
          <t>pH/ROS responsive hydrogel loaded with bimetallic phenolic nanoparticles: A multifaceted therapeutic strategy for accelerating diabetic wound repair</t>
        </is>
      </c>
      <c r="E18" s="5" t="inlineStr">
        <is>
          <t>10.1016/j.cej.2025.170173</t>
        </is>
      </c>
      <c r="F18" s="5" t="inlineStr">
        <is>
          <t>Mixed-stimulus adaptive hydrogels</t>
        </is>
      </c>
      <c r="G18" s="5" t="inlineStr">
        <is>
          <t>Wound-area trajectory</t>
        </is>
      </c>
      <c r="H18" s="6" t="inlineStr">
        <is>
          <t>1</t>
        </is>
      </c>
      <c r="K18" s="5" t="inlineStr">
        <is>
          <t xml:space="preserve">; </t>
        </is>
      </c>
      <c r="M18" s="5" t="inlineStr">
        <is>
          <t>100.0</t>
        </is>
      </c>
      <c r="N18" s="5" t="inlineStr">
        <is>
          <t>YES</t>
        </is>
      </c>
    </row>
    <row r="19">
      <c r="A19" s="6" t="n">
        <v>201</v>
      </c>
      <c r="B19" s="5" t="inlineStr">
        <is>
          <t>S3</t>
        </is>
      </c>
      <c r="C19" s="5" t="inlineStr">
        <is>
          <t>3: Redox-, glucose-, and mixed-stimulus adaptive hydrogels</t>
        </is>
      </c>
      <c r="D19" s="5" t="inlineStr">
        <is>
          <t>pH/ROS responsive hydrogel loaded with bimetallic phenolic nanoparticles: A multifaceted therapeutic strategy for accelerating diabetic wound repair</t>
        </is>
      </c>
      <c r="E19" s="5" t="inlineStr">
        <is>
          <t>10.1016/j.cej.2025.170173</t>
        </is>
      </c>
      <c r="F19" s="5" t="inlineStr">
        <is>
          <t>Mixed-stimulus adaptive hydrogels</t>
        </is>
      </c>
      <c r="G19" s="5" t="inlineStr">
        <is>
          <t>Safety or cytocompatibility</t>
        </is>
      </c>
      <c r="H19" s="6" t="inlineStr">
        <is>
          <t>1</t>
        </is>
      </c>
      <c r="K19" s="5" t="inlineStr">
        <is>
          <t xml:space="preserve">; </t>
        </is>
      </c>
      <c r="M19" s="5" t="inlineStr">
        <is>
          <t>100.0</t>
        </is>
      </c>
      <c r="N19" s="5" t="inlineStr">
        <is>
          <t>YES</t>
        </is>
      </c>
    </row>
    <row r="20">
      <c r="A20" s="6" t="n">
        <v>202</v>
      </c>
      <c r="B20" s="5" t="inlineStr">
        <is>
          <t>S3</t>
        </is>
      </c>
      <c r="C20" s="5" t="inlineStr">
        <is>
          <t>4: Enzyme-activated infection and remodeling depots</t>
        </is>
      </c>
      <c r="D20" s="5" t="inlineStr">
        <is>
          <t>Bacterial enzyme-responsive hydrogels for triggered delivery of antibiotics to infected wounds</t>
        </is>
      </c>
      <c r="E20" s="5" t="inlineStr">
        <is>
          <t>10.1126/sciadv.adz0786</t>
        </is>
      </c>
      <c r="F20" s="5" t="inlineStr">
        <is>
          <t>Enzyme-activated infection/remodeling depots</t>
        </is>
      </c>
      <c r="G20" s="5" t="inlineStr">
        <is>
          <t>Material properties</t>
        </is>
      </c>
      <c r="H20" s="6" t="inlineStr">
        <is>
          <t>1</t>
        </is>
      </c>
      <c r="K20" s="5" t="inlineStr">
        <is>
          <t xml:space="preserve">; </t>
        </is>
      </c>
      <c r="M20" s="5" t="inlineStr">
        <is>
          <t>100.0</t>
        </is>
      </c>
      <c r="N20" s="5" t="inlineStr">
        <is>
          <t>YES</t>
        </is>
      </c>
    </row>
    <row r="21">
      <c r="A21" s="6" t="n">
        <v>202</v>
      </c>
      <c r="B21" s="5" t="inlineStr">
        <is>
          <t>S3</t>
        </is>
      </c>
      <c r="C21" s="5" t="inlineStr">
        <is>
          <t>4: Enzyme-activated infection and remodeling depots</t>
        </is>
      </c>
      <c r="D21" s="5" t="inlineStr">
        <is>
          <t>Bacterial enzyme-responsive hydrogels for triggered delivery of antibiotics to infected wounds</t>
        </is>
      </c>
      <c r="E21" s="5" t="inlineStr">
        <is>
          <t>10.1126/sciadv.adz0786</t>
        </is>
      </c>
      <c r="F21" s="5" t="inlineStr">
        <is>
          <t>Enzyme-activated infection/remodeling depots</t>
        </is>
      </c>
      <c r="G21" s="5" t="inlineStr">
        <is>
          <t>Release or activation kinetics</t>
        </is>
      </c>
      <c r="H21" s="6" t="inlineStr">
        <is>
          <t>1</t>
        </is>
      </c>
      <c r="K21" s="5" t="inlineStr">
        <is>
          <t xml:space="preserve">; </t>
        </is>
      </c>
      <c r="M21" s="5" t="inlineStr">
        <is>
          <t>100.0</t>
        </is>
      </c>
      <c r="N21" s="5" t="inlineStr">
        <is>
          <t>YES</t>
        </is>
      </c>
    </row>
    <row r="22">
      <c r="A22" s="6" t="n">
        <v>202</v>
      </c>
      <c r="B22" s="5" t="inlineStr">
        <is>
          <t>S3</t>
        </is>
      </c>
      <c r="C22" s="5" t="inlineStr">
        <is>
          <t>4: Enzyme-activated infection and remodeling depots</t>
        </is>
      </c>
      <c r="D22" s="5" t="inlineStr">
        <is>
          <t>Bacterial enzyme-responsive hydrogels for triggered delivery of antibiotics to infected wounds</t>
        </is>
      </c>
      <c r="E22" s="5" t="inlineStr">
        <is>
          <t>10.1126/sciadv.adz0786</t>
        </is>
      </c>
      <c r="F22" s="5" t="inlineStr">
        <is>
          <t>Enzyme-activated infection/remodeling depots</t>
        </is>
      </c>
      <c r="G22" s="5" t="inlineStr">
        <is>
          <t>Antimicrobial or biofilm</t>
        </is>
      </c>
      <c r="H22" s="6" t="inlineStr">
        <is>
          <t>1</t>
        </is>
      </c>
      <c r="K22" s="5" t="inlineStr">
        <is>
          <t xml:space="preserve">; </t>
        </is>
      </c>
      <c r="M22" s="5" t="inlineStr">
        <is>
          <t>100.0</t>
        </is>
      </c>
      <c r="N22" s="5" t="inlineStr">
        <is>
          <t>YES</t>
        </is>
      </c>
    </row>
    <row r="23">
      <c r="A23" s="6" t="n">
        <v>202</v>
      </c>
      <c r="B23" s="5" t="inlineStr">
        <is>
          <t>S3</t>
        </is>
      </c>
      <c r="C23" s="5" t="inlineStr">
        <is>
          <t>4: Enzyme-activated infection and remodeling depots</t>
        </is>
      </c>
      <c r="D23" s="5" t="inlineStr">
        <is>
          <t>Bacterial enzyme-responsive hydrogels for triggered delivery of antibiotics to infected wounds</t>
        </is>
      </c>
      <c r="E23" s="5" t="inlineStr">
        <is>
          <t>10.1126/sciadv.adz0786</t>
        </is>
      </c>
      <c r="F23" s="5" t="inlineStr">
        <is>
          <t>Enzyme-activated infection/remodeling depots</t>
        </is>
      </c>
      <c r="G23" s="5" t="inlineStr">
        <is>
          <t>ROS, oxidative, or metabolic</t>
        </is>
      </c>
      <c r="H23" s="6" t="inlineStr">
        <is>
          <t>1</t>
        </is>
      </c>
      <c r="K23" s="5" t="inlineStr">
        <is>
          <t xml:space="preserve">; </t>
        </is>
      </c>
      <c r="M23" s="5" t="inlineStr">
        <is>
          <t>100.0</t>
        </is>
      </c>
      <c r="N23" s="5" t="inlineStr">
        <is>
          <t>YES</t>
        </is>
      </c>
    </row>
    <row r="24">
      <c r="A24" s="6" t="n">
        <v>202</v>
      </c>
      <c r="B24" s="5" t="inlineStr">
        <is>
          <t>S3</t>
        </is>
      </c>
      <c r="C24" s="5" t="inlineStr">
        <is>
          <t>4: Enzyme-activated infection and remodeling depots</t>
        </is>
      </c>
      <c r="D24" s="5" t="inlineStr">
        <is>
          <t>Bacterial enzyme-responsive hydrogels for triggered delivery of antibiotics to infected wounds</t>
        </is>
      </c>
      <c r="E24" s="5" t="inlineStr">
        <is>
          <t>10.1126/sciadv.adz0786</t>
        </is>
      </c>
      <c r="F24" s="5" t="inlineStr">
        <is>
          <t>Enzyme-activated infection/remodeling depots</t>
        </is>
      </c>
      <c r="G24" s="5" t="inlineStr">
        <is>
          <t>Immune, cytokine, or macrophage</t>
        </is>
      </c>
      <c r="H24" s="6" t="inlineStr">
        <is>
          <t>1</t>
        </is>
      </c>
      <c r="K24" s="5" t="inlineStr">
        <is>
          <t xml:space="preserve">; </t>
        </is>
      </c>
      <c r="M24" s="5" t="inlineStr">
        <is>
          <t>100.0</t>
        </is>
      </c>
      <c r="N24" s="5" t="inlineStr">
        <is>
          <t>YES</t>
        </is>
      </c>
    </row>
    <row r="25">
      <c r="A25" s="6" t="n">
        <v>202</v>
      </c>
      <c r="B25" s="5" t="inlineStr">
        <is>
          <t>S3</t>
        </is>
      </c>
      <c r="C25" s="5" t="inlineStr">
        <is>
          <t>4: Enzyme-activated infection and remodeling depots</t>
        </is>
      </c>
      <c r="D25" s="5" t="inlineStr">
        <is>
          <t>Bacterial enzyme-responsive hydrogels for triggered delivery of antibiotics to infected wounds</t>
        </is>
      </c>
      <c r="E25" s="5" t="inlineStr">
        <is>
          <t>10.1126/sciadv.adz0786</t>
        </is>
      </c>
      <c r="F25" s="5" t="inlineStr">
        <is>
          <t>Enzyme-activated infection/remodeling depots</t>
        </is>
      </c>
      <c r="G25" s="5" t="inlineStr">
        <is>
          <t>Angiogenic or vascular</t>
        </is>
      </c>
      <c r="H25" s="6" t="inlineStr">
        <is>
          <t>0</t>
        </is>
      </c>
      <c r="K25" s="5" t="inlineStr">
        <is>
          <t xml:space="preserve">; </t>
        </is>
      </c>
      <c r="M25" s="5" t="inlineStr">
        <is>
          <t>100.0</t>
        </is>
      </c>
      <c r="N25" s="5" t="inlineStr">
        <is>
          <t>YES</t>
        </is>
      </c>
    </row>
    <row r="26">
      <c r="A26" s="6" t="n">
        <v>202</v>
      </c>
      <c r="B26" s="5" t="inlineStr">
        <is>
          <t>S3</t>
        </is>
      </c>
      <c r="C26" s="5" t="inlineStr">
        <is>
          <t>4: Enzyme-activated infection and remodeling depots</t>
        </is>
      </c>
      <c r="D26" s="5" t="inlineStr">
        <is>
          <t>Bacterial enzyme-responsive hydrogels for triggered delivery of antibiotics to infected wounds</t>
        </is>
      </c>
      <c r="E26" s="5" t="inlineStr">
        <is>
          <t>10.1126/sciadv.adz0786</t>
        </is>
      </c>
      <c r="F26" s="5" t="inlineStr">
        <is>
          <t>Enzyme-activated infection/remodeling depots</t>
        </is>
      </c>
      <c r="G26" s="5" t="inlineStr">
        <is>
          <t>Histology, collagen, or matrix repair</t>
        </is>
      </c>
      <c r="H26" s="6" t="inlineStr">
        <is>
          <t>1</t>
        </is>
      </c>
      <c r="K26" s="5" t="inlineStr">
        <is>
          <t xml:space="preserve">; </t>
        </is>
      </c>
      <c r="M26" s="5" t="inlineStr">
        <is>
          <t>100.0</t>
        </is>
      </c>
      <c r="N26" s="5" t="inlineStr">
        <is>
          <t>YES</t>
        </is>
      </c>
    </row>
    <row r="27">
      <c r="A27" s="6" t="n">
        <v>202</v>
      </c>
      <c r="B27" s="5" t="inlineStr">
        <is>
          <t>S3</t>
        </is>
      </c>
      <c r="C27" s="5" t="inlineStr">
        <is>
          <t>4: Enzyme-activated infection and remodeling depots</t>
        </is>
      </c>
      <c r="D27" s="5" t="inlineStr">
        <is>
          <t>Bacterial enzyme-responsive hydrogels for triggered delivery of antibiotics to infected wounds</t>
        </is>
      </c>
      <c r="E27" s="5" t="inlineStr">
        <is>
          <t>10.1126/sciadv.adz0786</t>
        </is>
      </c>
      <c r="F27" s="5" t="inlineStr">
        <is>
          <t>Enzyme-activated infection/remodeling depots</t>
        </is>
      </c>
      <c r="G27" s="5" t="inlineStr">
        <is>
          <t>Wound-area trajectory</t>
        </is>
      </c>
      <c r="H27" s="6" t="inlineStr">
        <is>
          <t>1</t>
        </is>
      </c>
      <c r="K27" s="5" t="inlineStr">
        <is>
          <t xml:space="preserve">; </t>
        </is>
      </c>
      <c r="M27" s="5" t="inlineStr">
        <is>
          <t>100.0</t>
        </is>
      </c>
      <c r="N27" s="5" t="inlineStr">
        <is>
          <t>YES</t>
        </is>
      </c>
    </row>
    <row r="28">
      <c r="A28" s="6" t="n">
        <v>202</v>
      </c>
      <c r="B28" s="5" t="inlineStr">
        <is>
          <t>S3</t>
        </is>
      </c>
      <c r="C28" s="5" t="inlineStr">
        <is>
          <t>4: Enzyme-activated infection and remodeling depots</t>
        </is>
      </c>
      <c r="D28" s="5" t="inlineStr">
        <is>
          <t>Bacterial enzyme-responsive hydrogels for triggered delivery of antibiotics to infected wounds</t>
        </is>
      </c>
      <c r="E28" s="5" t="inlineStr">
        <is>
          <t>10.1126/sciadv.adz0786</t>
        </is>
      </c>
      <c r="F28" s="5" t="inlineStr">
        <is>
          <t>Enzyme-activated infection/remodeling depots</t>
        </is>
      </c>
      <c r="G28" s="5" t="inlineStr">
        <is>
          <t>Safety or cytocompatibility</t>
        </is>
      </c>
      <c r="H28" s="6" t="inlineStr">
        <is>
          <t>1</t>
        </is>
      </c>
      <c r="K28" s="5" t="inlineStr">
        <is>
          <t xml:space="preserve">; </t>
        </is>
      </c>
      <c r="M28" s="5" t="inlineStr">
        <is>
          <t>100.0</t>
        </is>
      </c>
      <c r="N28" s="5" t="inlineStr">
        <is>
          <t>YES</t>
        </is>
      </c>
    </row>
    <row r="29">
      <c r="A29" s="6" t="n">
        <v>206</v>
      </c>
      <c r="B29" s="5" t="inlineStr">
        <is>
          <t>S3</t>
        </is>
      </c>
      <c r="C29" s="5" t="inlineStr">
        <is>
          <t>2: Acidic pH-switching adhesive and release matrices</t>
        </is>
      </c>
      <c r="D29" s="5" t="inlineStr">
        <is>
          <t>pH-responsive hydrogel loaded with insulin as a bioactive dressing for enhancing diabetic wound healing</t>
        </is>
      </c>
      <c r="E29" s="5" t="inlineStr">
        <is>
          <t>10.1016/j.matdes.2021.110104</t>
        </is>
      </c>
      <c r="F29" s="5" t="inlineStr">
        <is>
          <t>Acidic pH-switching release matrices</t>
        </is>
      </c>
      <c r="G29" s="5" t="inlineStr">
        <is>
          <t>Material properties</t>
        </is>
      </c>
      <c r="H29" s="6" t="inlineStr">
        <is>
          <t>1</t>
        </is>
      </c>
      <c r="K29" s="5" t="inlineStr">
        <is>
          <t xml:space="preserve">; </t>
        </is>
      </c>
      <c r="M29" s="5" t="inlineStr">
        <is>
          <t>100.0</t>
        </is>
      </c>
      <c r="N29" s="5" t="inlineStr">
        <is>
          <t>YES</t>
        </is>
      </c>
    </row>
    <row r="30">
      <c r="A30" s="6" t="n">
        <v>206</v>
      </c>
      <c r="B30" s="5" t="inlineStr">
        <is>
          <t>S3</t>
        </is>
      </c>
      <c r="C30" s="5" t="inlineStr">
        <is>
          <t>2: Acidic pH-switching adhesive and release matrices</t>
        </is>
      </c>
      <c r="D30" s="5" t="inlineStr">
        <is>
          <t>pH-responsive hydrogel loaded with insulin as a bioactive dressing for enhancing diabetic wound healing</t>
        </is>
      </c>
      <c r="E30" s="5" t="inlineStr">
        <is>
          <t>10.1016/j.matdes.2021.110104</t>
        </is>
      </c>
      <c r="F30" s="5" t="inlineStr">
        <is>
          <t>Acidic pH-switching release matrices</t>
        </is>
      </c>
      <c r="G30" s="5" t="inlineStr">
        <is>
          <t>Release or activation kinetics</t>
        </is>
      </c>
      <c r="H30" s="6" t="inlineStr">
        <is>
          <t>1</t>
        </is>
      </c>
      <c r="K30" s="5" t="inlineStr">
        <is>
          <t xml:space="preserve">; </t>
        </is>
      </c>
      <c r="M30" s="5" t="inlineStr">
        <is>
          <t>100.0</t>
        </is>
      </c>
      <c r="N30" s="5" t="inlineStr">
        <is>
          <t>YES</t>
        </is>
      </c>
    </row>
    <row r="31">
      <c r="A31" s="6" t="n">
        <v>206</v>
      </c>
      <c r="B31" s="5" t="inlineStr">
        <is>
          <t>S3</t>
        </is>
      </c>
      <c r="C31" s="5" t="inlineStr">
        <is>
          <t>2: Acidic pH-switching adhesive and release matrices</t>
        </is>
      </c>
      <c r="D31" s="5" t="inlineStr">
        <is>
          <t>pH-responsive hydrogel loaded with insulin as a bioactive dressing for enhancing diabetic wound healing</t>
        </is>
      </c>
      <c r="E31" s="5" t="inlineStr">
        <is>
          <t>10.1016/j.matdes.2021.110104</t>
        </is>
      </c>
      <c r="F31" s="5" t="inlineStr">
        <is>
          <t>Acidic pH-switching release matrices</t>
        </is>
      </c>
      <c r="G31" s="5" t="inlineStr">
        <is>
          <t>Antimicrobial or biofilm</t>
        </is>
      </c>
      <c r="H31" s="6" t="inlineStr">
        <is>
          <t>1</t>
        </is>
      </c>
      <c r="K31" s="5" t="inlineStr">
        <is>
          <t xml:space="preserve">; </t>
        </is>
      </c>
      <c r="M31" s="5" t="inlineStr">
        <is>
          <t>100.0</t>
        </is>
      </c>
      <c r="N31" s="5" t="inlineStr">
        <is>
          <t>YES</t>
        </is>
      </c>
    </row>
    <row r="32">
      <c r="A32" s="6" t="n">
        <v>206</v>
      </c>
      <c r="B32" s="5" t="inlineStr">
        <is>
          <t>S3</t>
        </is>
      </c>
      <c r="C32" s="5" t="inlineStr">
        <is>
          <t>2: Acidic pH-switching adhesive and release matrices</t>
        </is>
      </c>
      <c r="D32" s="5" t="inlineStr">
        <is>
          <t>pH-responsive hydrogel loaded with insulin as a bioactive dressing for enhancing diabetic wound healing</t>
        </is>
      </c>
      <c r="E32" s="5" t="inlineStr">
        <is>
          <t>10.1016/j.matdes.2021.110104</t>
        </is>
      </c>
      <c r="F32" s="5" t="inlineStr">
        <is>
          <t>Acidic pH-switching release matrices</t>
        </is>
      </c>
      <c r="G32" s="5" t="inlineStr">
        <is>
          <t>ROS, oxidative, or metabolic</t>
        </is>
      </c>
      <c r="H32" s="6" t="inlineStr">
        <is>
          <t>1</t>
        </is>
      </c>
      <c r="K32" s="5" t="inlineStr">
        <is>
          <t xml:space="preserve">; </t>
        </is>
      </c>
      <c r="M32" s="5" t="inlineStr">
        <is>
          <t>100.0</t>
        </is>
      </c>
      <c r="N32" s="5" t="inlineStr">
        <is>
          <t>YES</t>
        </is>
      </c>
    </row>
    <row r="33">
      <c r="A33" s="6" t="n">
        <v>206</v>
      </c>
      <c r="B33" s="5" t="inlineStr">
        <is>
          <t>S3</t>
        </is>
      </c>
      <c r="C33" s="5" t="inlineStr">
        <is>
          <t>2: Acidic pH-switching adhesive and release matrices</t>
        </is>
      </c>
      <c r="D33" s="5" t="inlineStr">
        <is>
          <t>pH-responsive hydrogel loaded with insulin as a bioactive dressing for enhancing diabetic wound healing</t>
        </is>
      </c>
      <c r="E33" s="5" t="inlineStr">
        <is>
          <t>10.1016/j.matdes.2021.110104</t>
        </is>
      </c>
      <c r="F33" s="5" t="inlineStr">
        <is>
          <t>Acidic pH-switching release matrices</t>
        </is>
      </c>
      <c r="G33" s="5" t="inlineStr">
        <is>
          <t>Immune, cytokine, or macrophage</t>
        </is>
      </c>
      <c r="H33" s="6" t="inlineStr">
        <is>
          <t>1</t>
        </is>
      </c>
      <c r="K33" s="5" t="inlineStr">
        <is>
          <t xml:space="preserve">; </t>
        </is>
      </c>
      <c r="M33" s="5" t="inlineStr">
        <is>
          <t>100.0</t>
        </is>
      </c>
      <c r="N33" s="5" t="inlineStr">
        <is>
          <t>YES</t>
        </is>
      </c>
    </row>
    <row r="34">
      <c r="A34" s="6" t="n">
        <v>206</v>
      </c>
      <c r="B34" s="5" t="inlineStr">
        <is>
          <t>S3</t>
        </is>
      </c>
      <c r="C34" s="5" t="inlineStr">
        <is>
          <t>2: Acidic pH-switching adhesive and release matrices</t>
        </is>
      </c>
      <c r="D34" s="5" t="inlineStr">
        <is>
          <t>pH-responsive hydrogel loaded with insulin as a bioactive dressing for enhancing diabetic wound healing</t>
        </is>
      </c>
      <c r="E34" s="5" t="inlineStr">
        <is>
          <t>10.1016/j.matdes.2021.110104</t>
        </is>
      </c>
      <c r="F34" s="5" t="inlineStr">
        <is>
          <t>Acidic pH-switching release matrices</t>
        </is>
      </c>
      <c r="G34" s="5" t="inlineStr">
        <is>
          <t>Angiogenic or vascular</t>
        </is>
      </c>
      <c r="H34" s="6" t="inlineStr">
        <is>
          <t>1</t>
        </is>
      </c>
      <c r="K34" s="5" t="inlineStr">
        <is>
          <t xml:space="preserve">; </t>
        </is>
      </c>
      <c r="M34" s="5" t="inlineStr">
        <is>
          <t>100.0</t>
        </is>
      </c>
      <c r="N34" s="5" t="inlineStr">
        <is>
          <t>YES</t>
        </is>
      </c>
    </row>
    <row r="35">
      <c r="A35" s="6" t="n">
        <v>206</v>
      </c>
      <c r="B35" s="5" t="inlineStr">
        <is>
          <t>S3</t>
        </is>
      </c>
      <c r="C35" s="5" t="inlineStr">
        <is>
          <t>2: Acidic pH-switching adhesive and release matrices</t>
        </is>
      </c>
      <c r="D35" s="5" t="inlineStr">
        <is>
          <t>pH-responsive hydrogel loaded with insulin as a bioactive dressing for enhancing diabetic wound healing</t>
        </is>
      </c>
      <c r="E35" s="5" t="inlineStr">
        <is>
          <t>10.1016/j.matdes.2021.110104</t>
        </is>
      </c>
      <c r="F35" s="5" t="inlineStr">
        <is>
          <t>Acidic pH-switching release matrices</t>
        </is>
      </c>
      <c r="G35" s="5" t="inlineStr">
        <is>
          <t>Histology, collagen, or matrix repair</t>
        </is>
      </c>
      <c r="H35" s="6" t="inlineStr">
        <is>
          <t>1</t>
        </is>
      </c>
      <c r="K35" s="5" t="inlineStr">
        <is>
          <t xml:space="preserve">; </t>
        </is>
      </c>
      <c r="M35" s="5" t="inlineStr">
        <is>
          <t>100.0</t>
        </is>
      </c>
      <c r="N35" s="5" t="inlineStr">
        <is>
          <t>YES</t>
        </is>
      </c>
    </row>
    <row r="36">
      <c r="A36" s="6" t="n">
        <v>206</v>
      </c>
      <c r="B36" s="5" t="inlineStr">
        <is>
          <t>S3</t>
        </is>
      </c>
      <c r="C36" s="5" t="inlineStr">
        <is>
          <t>2: Acidic pH-switching adhesive and release matrices</t>
        </is>
      </c>
      <c r="D36" s="5" t="inlineStr">
        <is>
          <t>pH-responsive hydrogel loaded with insulin as a bioactive dressing for enhancing diabetic wound healing</t>
        </is>
      </c>
      <c r="E36" s="5" t="inlineStr">
        <is>
          <t>10.1016/j.matdes.2021.110104</t>
        </is>
      </c>
      <c r="F36" s="5" t="inlineStr">
        <is>
          <t>Acidic pH-switching release matrices</t>
        </is>
      </c>
      <c r="G36" s="5" t="inlineStr">
        <is>
          <t>Wound-area trajectory</t>
        </is>
      </c>
      <c r="H36" s="6" t="inlineStr">
        <is>
          <t>1</t>
        </is>
      </c>
      <c r="K36" s="5" t="inlineStr">
        <is>
          <t xml:space="preserve">; </t>
        </is>
      </c>
      <c r="M36" s="5" t="inlineStr">
        <is>
          <t>100.0</t>
        </is>
      </c>
      <c r="N36" s="5" t="inlineStr">
        <is>
          <t>YES</t>
        </is>
      </c>
    </row>
    <row r="37">
      <c r="A37" s="6" t="n">
        <v>206</v>
      </c>
      <c r="B37" s="5" t="inlineStr">
        <is>
          <t>S3</t>
        </is>
      </c>
      <c r="C37" s="5" t="inlineStr">
        <is>
          <t>2: Acidic pH-switching adhesive and release matrices</t>
        </is>
      </c>
      <c r="D37" s="5" t="inlineStr">
        <is>
          <t>pH-responsive hydrogel loaded with insulin as a bioactive dressing for enhancing diabetic wound healing</t>
        </is>
      </c>
      <c r="E37" s="5" t="inlineStr">
        <is>
          <t>10.1016/j.matdes.2021.110104</t>
        </is>
      </c>
      <c r="F37" s="5" t="inlineStr">
        <is>
          <t>Acidic pH-switching release matrices</t>
        </is>
      </c>
      <c r="G37" s="5" t="inlineStr">
        <is>
          <t>Safety or cytocompatibility</t>
        </is>
      </c>
      <c r="H37" s="6" t="inlineStr">
        <is>
          <t>1</t>
        </is>
      </c>
      <c r="K37" s="5" t="inlineStr">
        <is>
          <t xml:space="preserve">; </t>
        </is>
      </c>
      <c r="M37" s="5" t="inlineStr">
        <is>
          <t>100.0</t>
        </is>
      </c>
      <c r="N37" s="5" t="inlineStr">
        <is>
          <t>YES</t>
        </is>
      </c>
    </row>
    <row r="38">
      <c r="A38" s="6" t="n">
        <v>207</v>
      </c>
      <c r="B38" s="5" t="inlineStr">
        <is>
          <t>S3</t>
        </is>
      </c>
      <c r="C38" s="5" t="inlineStr">
        <is>
          <t>2: Acidic pH-switching adhesive and release matrices</t>
        </is>
      </c>
      <c r="D38" s="5" t="inlineStr">
        <is>
          <t>Dual-crosslinked mussel-inspired smart hydrogels with enhanced antibacterial and angiogenic properties for chronic infected diabetic wound treatment via pH-responsive quick cargo release</t>
        </is>
      </c>
      <c r="E38" s="5" t="inlineStr">
        <is>
          <t>10.1016/j.cej.2021.128564</t>
        </is>
      </c>
      <c r="F38" s="5" t="inlineStr">
        <is>
          <t>Acidic pH-switching release matrices</t>
        </is>
      </c>
      <c r="G38" s="5" t="inlineStr">
        <is>
          <t>Material properties</t>
        </is>
      </c>
      <c r="H38" s="6" t="inlineStr">
        <is>
          <t>1</t>
        </is>
      </c>
      <c r="K38" s="5" t="inlineStr">
        <is>
          <t xml:space="preserve">; </t>
        </is>
      </c>
      <c r="M38" s="5" t="inlineStr">
        <is>
          <t>100.0</t>
        </is>
      </c>
      <c r="N38" s="5" t="inlineStr">
        <is>
          <t>YES</t>
        </is>
      </c>
    </row>
    <row r="39">
      <c r="A39" s="6" t="n">
        <v>207</v>
      </c>
      <c r="B39" s="5" t="inlineStr">
        <is>
          <t>S3</t>
        </is>
      </c>
      <c r="C39" s="5" t="inlineStr">
        <is>
          <t>2: Acidic pH-switching adhesive and release matrices</t>
        </is>
      </c>
      <c r="D39" s="5" t="inlineStr">
        <is>
          <t>Dual-crosslinked mussel-inspired smart hydrogels with enhanced antibacterial and angiogenic properties for chronic infected diabetic wound treatment via pH-responsive quick cargo release</t>
        </is>
      </c>
      <c r="E39" s="5" t="inlineStr">
        <is>
          <t>10.1016/j.cej.2021.128564</t>
        </is>
      </c>
      <c r="F39" s="5" t="inlineStr">
        <is>
          <t>Acidic pH-switching release matrices</t>
        </is>
      </c>
      <c r="G39" s="5" t="inlineStr">
        <is>
          <t>Release or activation kinetics</t>
        </is>
      </c>
      <c r="H39" s="6" t="inlineStr">
        <is>
          <t>1</t>
        </is>
      </c>
      <c r="K39" s="5" t="inlineStr">
        <is>
          <t xml:space="preserve">; </t>
        </is>
      </c>
      <c r="M39" s="5" t="inlineStr">
        <is>
          <t>100.0</t>
        </is>
      </c>
      <c r="N39" s="5" t="inlineStr">
        <is>
          <t>YES</t>
        </is>
      </c>
    </row>
    <row r="40">
      <c r="A40" s="6" t="n">
        <v>207</v>
      </c>
      <c r="B40" s="5" t="inlineStr">
        <is>
          <t>S3</t>
        </is>
      </c>
      <c r="C40" s="5" t="inlineStr">
        <is>
          <t>2: Acidic pH-switching adhesive and release matrices</t>
        </is>
      </c>
      <c r="D40" s="5" t="inlineStr">
        <is>
          <t>Dual-crosslinked mussel-inspired smart hydrogels with enhanced antibacterial and angiogenic properties for chronic infected diabetic wound treatment via pH-responsive quick cargo release</t>
        </is>
      </c>
      <c r="E40" s="5" t="inlineStr">
        <is>
          <t>10.1016/j.cej.2021.128564</t>
        </is>
      </c>
      <c r="F40" s="5" t="inlineStr">
        <is>
          <t>Acidic pH-switching release matrices</t>
        </is>
      </c>
      <c r="G40" s="5" t="inlineStr">
        <is>
          <t>Antimicrobial or biofilm</t>
        </is>
      </c>
      <c r="H40" s="6" t="inlineStr">
        <is>
          <t>1</t>
        </is>
      </c>
      <c r="K40" s="5" t="inlineStr">
        <is>
          <t xml:space="preserve">; </t>
        </is>
      </c>
      <c r="M40" s="5" t="inlineStr">
        <is>
          <t>100.0</t>
        </is>
      </c>
      <c r="N40" s="5" t="inlineStr">
        <is>
          <t>YES</t>
        </is>
      </c>
    </row>
    <row r="41">
      <c r="A41" s="6" t="n">
        <v>207</v>
      </c>
      <c r="B41" s="5" t="inlineStr">
        <is>
          <t>S3</t>
        </is>
      </c>
      <c r="C41" s="5" t="inlineStr">
        <is>
          <t>2: Acidic pH-switching adhesive and release matrices</t>
        </is>
      </c>
      <c r="D41" s="5" t="inlineStr">
        <is>
          <t>Dual-crosslinked mussel-inspired smart hydrogels with enhanced antibacterial and angiogenic properties for chronic infected diabetic wound treatment via pH-responsive quick cargo release</t>
        </is>
      </c>
      <c r="E41" s="5" t="inlineStr">
        <is>
          <t>10.1016/j.cej.2021.128564</t>
        </is>
      </c>
      <c r="F41" s="5" t="inlineStr">
        <is>
          <t>Acidic pH-switching release matrices</t>
        </is>
      </c>
      <c r="G41" s="5" t="inlineStr">
        <is>
          <t>ROS, oxidative, or metabolic</t>
        </is>
      </c>
      <c r="H41" s="6" t="inlineStr">
        <is>
          <t>0</t>
        </is>
      </c>
      <c r="K41" s="5" t="inlineStr">
        <is>
          <t xml:space="preserve">; </t>
        </is>
      </c>
      <c r="M41" s="5" t="inlineStr">
        <is>
          <t>100.0</t>
        </is>
      </c>
      <c r="N41" s="5" t="inlineStr">
        <is>
          <t>YES</t>
        </is>
      </c>
    </row>
    <row r="42">
      <c r="A42" s="6" t="n">
        <v>207</v>
      </c>
      <c r="B42" s="5" t="inlineStr">
        <is>
          <t>S3</t>
        </is>
      </c>
      <c r="C42" s="5" t="inlineStr">
        <is>
          <t>2: Acidic pH-switching adhesive and release matrices</t>
        </is>
      </c>
      <c r="D42" s="5" t="inlineStr">
        <is>
          <t>Dual-crosslinked mussel-inspired smart hydrogels with enhanced antibacterial and angiogenic properties for chronic infected diabetic wound treatment via pH-responsive quick cargo release</t>
        </is>
      </c>
      <c r="E42" s="5" t="inlineStr">
        <is>
          <t>10.1016/j.cej.2021.128564</t>
        </is>
      </c>
      <c r="F42" s="5" t="inlineStr">
        <is>
          <t>Acidic pH-switching release matrices</t>
        </is>
      </c>
      <c r="G42" s="5" t="inlineStr">
        <is>
          <t>Immune, cytokine, or macrophage</t>
        </is>
      </c>
      <c r="H42" s="6" t="inlineStr">
        <is>
          <t>1</t>
        </is>
      </c>
      <c r="K42" s="5" t="inlineStr">
        <is>
          <t xml:space="preserve">; </t>
        </is>
      </c>
      <c r="M42" s="5" t="inlineStr">
        <is>
          <t>100.0</t>
        </is>
      </c>
      <c r="N42" s="5" t="inlineStr">
        <is>
          <t>YES</t>
        </is>
      </c>
    </row>
    <row r="43">
      <c r="A43" s="6" t="n">
        <v>207</v>
      </c>
      <c r="B43" s="5" t="inlineStr">
        <is>
          <t>S3</t>
        </is>
      </c>
      <c r="C43" s="5" t="inlineStr">
        <is>
          <t>2: Acidic pH-switching adhesive and release matrices</t>
        </is>
      </c>
      <c r="D43" s="5" t="inlineStr">
        <is>
          <t>Dual-crosslinked mussel-inspired smart hydrogels with enhanced antibacterial and angiogenic properties for chronic infected diabetic wound treatment via pH-responsive quick cargo release</t>
        </is>
      </c>
      <c r="E43" s="5" t="inlineStr">
        <is>
          <t>10.1016/j.cej.2021.128564</t>
        </is>
      </c>
      <c r="F43" s="5" t="inlineStr">
        <is>
          <t>Acidic pH-switching release matrices</t>
        </is>
      </c>
      <c r="G43" s="5" t="inlineStr">
        <is>
          <t>Angiogenic or vascular</t>
        </is>
      </c>
      <c r="H43" s="6" t="inlineStr">
        <is>
          <t>1</t>
        </is>
      </c>
      <c r="K43" s="5" t="inlineStr">
        <is>
          <t xml:space="preserve">; </t>
        </is>
      </c>
      <c r="M43" s="5" t="inlineStr">
        <is>
          <t>100.0</t>
        </is>
      </c>
      <c r="N43" s="5" t="inlineStr">
        <is>
          <t>YES</t>
        </is>
      </c>
    </row>
    <row r="44">
      <c r="A44" s="6" t="n">
        <v>207</v>
      </c>
      <c r="B44" s="5" t="inlineStr">
        <is>
          <t>S3</t>
        </is>
      </c>
      <c r="C44" s="5" t="inlineStr">
        <is>
          <t>2: Acidic pH-switching adhesive and release matrices</t>
        </is>
      </c>
      <c r="D44" s="5" t="inlineStr">
        <is>
          <t>Dual-crosslinked mussel-inspired smart hydrogels with enhanced antibacterial and angiogenic properties for chronic infected diabetic wound treatment via pH-responsive quick cargo release</t>
        </is>
      </c>
      <c r="E44" s="5" t="inlineStr">
        <is>
          <t>10.1016/j.cej.2021.128564</t>
        </is>
      </c>
      <c r="F44" s="5" t="inlineStr">
        <is>
          <t>Acidic pH-switching release matrices</t>
        </is>
      </c>
      <c r="G44" s="5" t="inlineStr">
        <is>
          <t>Histology, collagen, or matrix repair</t>
        </is>
      </c>
      <c r="H44" s="6" t="inlineStr">
        <is>
          <t>1</t>
        </is>
      </c>
      <c r="K44" s="5" t="inlineStr">
        <is>
          <t xml:space="preserve">; </t>
        </is>
      </c>
      <c r="M44" s="5" t="inlineStr">
        <is>
          <t>100.0</t>
        </is>
      </c>
      <c r="N44" s="5" t="inlineStr">
        <is>
          <t>YES</t>
        </is>
      </c>
    </row>
    <row r="45">
      <c r="A45" s="6" t="n">
        <v>207</v>
      </c>
      <c r="B45" s="5" t="inlineStr">
        <is>
          <t>S3</t>
        </is>
      </c>
      <c r="C45" s="5" t="inlineStr">
        <is>
          <t>2: Acidic pH-switching adhesive and release matrices</t>
        </is>
      </c>
      <c r="D45" s="5" t="inlineStr">
        <is>
          <t>Dual-crosslinked mussel-inspired smart hydrogels with enhanced antibacterial and angiogenic properties for chronic infected diabetic wound treatment via pH-responsive quick cargo release</t>
        </is>
      </c>
      <c r="E45" s="5" t="inlineStr">
        <is>
          <t>10.1016/j.cej.2021.128564</t>
        </is>
      </c>
      <c r="F45" s="5" t="inlineStr">
        <is>
          <t>Acidic pH-switching release matrices</t>
        </is>
      </c>
      <c r="G45" s="5" t="inlineStr">
        <is>
          <t>Wound-area trajectory</t>
        </is>
      </c>
      <c r="H45" s="6" t="inlineStr">
        <is>
          <t>1</t>
        </is>
      </c>
      <c r="K45" s="5" t="inlineStr">
        <is>
          <t xml:space="preserve">; </t>
        </is>
      </c>
      <c r="M45" s="5" t="inlineStr">
        <is>
          <t>100.0</t>
        </is>
      </c>
      <c r="N45" s="5" t="inlineStr">
        <is>
          <t>YES</t>
        </is>
      </c>
    </row>
    <row r="46">
      <c r="A46" s="6" t="n">
        <v>207</v>
      </c>
      <c r="B46" s="5" t="inlineStr">
        <is>
          <t>S3</t>
        </is>
      </c>
      <c r="C46" s="5" t="inlineStr">
        <is>
          <t>2: Acidic pH-switching adhesive and release matrices</t>
        </is>
      </c>
      <c r="D46" s="5" t="inlineStr">
        <is>
          <t>Dual-crosslinked mussel-inspired smart hydrogels with enhanced antibacterial and angiogenic properties for chronic infected diabetic wound treatment via pH-responsive quick cargo release</t>
        </is>
      </c>
      <c r="E46" s="5" t="inlineStr">
        <is>
          <t>10.1016/j.cej.2021.128564</t>
        </is>
      </c>
      <c r="F46" s="5" t="inlineStr">
        <is>
          <t>Acidic pH-switching release matrices</t>
        </is>
      </c>
      <c r="G46" s="5" t="inlineStr">
        <is>
          <t>Safety or cytocompatibility</t>
        </is>
      </c>
      <c r="H46" s="6" t="inlineStr">
        <is>
          <t>1</t>
        </is>
      </c>
      <c r="K46" s="5" t="inlineStr">
        <is>
          <t xml:space="preserve">; </t>
        </is>
      </c>
      <c r="M46" s="5" t="inlineStr">
        <is>
          <t>100.0</t>
        </is>
      </c>
      <c r="N46" s="5" t="inlineStr">
        <is>
          <t>YES</t>
        </is>
      </c>
    </row>
    <row r="47">
      <c r="A47" s="6" t="n">
        <v>210</v>
      </c>
      <c r="B47" s="5" t="inlineStr">
        <is>
          <t>S3</t>
        </is>
      </c>
      <c r="C47" s="5" t="inlineStr">
        <is>
          <t>3: Redox-, glucose-, and mixed-stimulus adaptive hydrogels</t>
        </is>
      </c>
      <c r="D47" s="5" t="inlineStr">
        <is>
          <t>ROS-scavenging hydrogel to promote healing of bacteria infected diabetic wounds</t>
        </is>
      </c>
      <c r="E47" s="5" t="inlineStr">
        <is>
          <t>10.1016/j.biomaterials.2020.120286</t>
        </is>
      </c>
      <c r="F47" s="5" t="inlineStr">
        <is>
          <t>Mixed-stimulus adaptive hydrogels</t>
        </is>
      </c>
      <c r="G47" s="5" t="inlineStr">
        <is>
          <t>Material properties</t>
        </is>
      </c>
      <c r="H47" s="6" t="inlineStr">
        <is>
          <t>1</t>
        </is>
      </c>
      <c r="K47" s="5" t="inlineStr">
        <is>
          <t xml:space="preserve">; </t>
        </is>
      </c>
      <c r="M47" s="5" t="inlineStr">
        <is>
          <t>100.0</t>
        </is>
      </c>
      <c r="N47" s="5" t="inlineStr">
        <is>
          <t>YES</t>
        </is>
      </c>
    </row>
    <row r="48">
      <c r="A48" s="6" t="n">
        <v>210</v>
      </c>
      <c r="B48" s="5" t="inlineStr">
        <is>
          <t>S3</t>
        </is>
      </c>
      <c r="C48" s="5" t="inlineStr">
        <is>
          <t>3: Redox-, glucose-, and mixed-stimulus adaptive hydrogels</t>
        </is>
      </c>
      <c r="D48" s="5" t="inlineStr">
        <is>
          <t>ROS-scavenging hydrogel to promote healing of bacteria infected diabetic wounds</t>
        </is>
      </c>
      <c r="E48" s="5" t="inlineStr">
        <is>
          <t>10.1016/j.biomaterials.2020.120286</t>
        </is>
      </c>
      <c r="F48" s="5" t="inlineStr">
        <is>
          <t>Mixed-stimulus adaptive hydrogels</t>
        </is>
      </c>
      <c r="G48" s="5" t="inlineStr">
        <is>
          <t>Release or activation kinetics</t>
        </is>
      </c>
      <c r="H48" s="6" t="inlineStr">
        <is>
          <t>1</t>
        </is>
      </c>
      <c r="K48" s="5" t="inlineStr">
        <is>
          <t xml:space="preserve">; </t>
        </is>
      </c>
      <c r="M48" s="5" t="inlineStr">
        <is>
          <t>100.0</t>
        </is>
      </c>
      <c r="N48" s="5" t="inlineStr">
        <is>
          <t>YES</t>
        </is>
      </c>
    </row>
    <row r="49">
      <c r="A49" s="6" t="n">
        <v>210</v>
      </c>
      <c r="B49" s="5" t="inlineStr">
        <is>
          <t>S3</t>
        </is>
      </c>
      <c r="C49" s="5" t="inlineStr">
        <is>
          <t>3: Redox-, glucose-, and mixed-stimulus adaptive hydrogels</t>
        </is>
      </c>
      <c r="D49" s="5" t="inlineStr">
        <is>
          <t>ROS-scavenging hydrogel to promote healing of bacteria infected diabetic wounds</t>
        </is>
      </c>
      <c r="E49" s="5" t="inlineStr">
        <is>
          <t>10.1016/j.biomaterials.2020.120286</t>
        </is>
      </c>
      <c r="F49" s="5" t="inlineStr">
        <is>
          <t>Mixed-stimulus adaptive hydrogels</t>
        </is>
      </c>
      <c r="G49" s="5" t="inlineStr">
        <is>
          <t>Antimicrobial or biofilm</t>
        </is>
      </c>
      <c r="H49" s="6" t="inlineStr">
        <is>
          <t>1</t>
        </is>
      </c>
      <c r="K49" s="5" t="inlineStr">
        <is>
          <t xml:space="preserve">; </t>
        </is>
      </c>
      <c r="M49" s="5" t="inlineStr">
        <is>
          <t>100.0</t>
        </is>
      </c>
      <c r="N49" s="5" t="inlineStr">
        <is>
          <t>YES</t>
        </is>
      </c>
    </row>
    <row r="50">
      <c r="A50" s="6" t="n">
        <v>210</v>
      </c>
      <c r="B50" s="5" t="inlineStr">
        <is>
          <t>S3</t>
        </is>
      </c>
      <c r="C50" s="5" t="inlineStr">
        <is>
          <t>3: Redox-, glucose-, and mixed-stimulus adaptive hydrogels</t>
        </is>
      </c>
      <c r="D50" s="5" t="inlineStr">
        <is>
          <t>ROS-scavenging hydrogel to promote healing of bacteria infected diabetic wounds</t>
        </is>
      </c>
      <c r="E50" s="5" t="inlineStr">
        <is>
          <t>10.1016/j.biomaterials.2020.120286</t>
        </is>
      </c>
      <c r="F50" s="5" t="inlineStr">
        <is>
          <t>Mixed-stimulus adaptive hydrogels</t>
        </is>
      </c>
      <c r="G50" s="5" t="inlineStr">
        <is>
          <t>ROS, oxidative, or metabolic</t>
        </is>
      </c>
      <c r="H50" s="6" t="inlineStr">
        <is>
          <t>1</t>
        </is>
      </c>
      <c r="K50" s="5" t="inlineStr">
        <is>
          <t xml:space="preserve">; </t>
        </is>
      </c>
      <c r="M50" s="5" t="inlineStr">
        <is>
          <t>100.0</t>
        </is>
      </c>
      <c r="N50" s="5" t="inlineStr">
        <is>
          <t>YES</t>
        </is>
      </c>
    </row>
    <row r="51">
      <c r="A51" s="6" t="n">
        <v>210</v>
      </c>
      <c r="B51" s="5" t="inlineStr">
        <is>
          <t>S3</t>
        </is>
      </c>
      <c r="C51" s="5" t="inlineStr">
        <is>
          <t>3: Redox-, glucose-, and mixed-stimulus adaptive hydrogels</t>
        </is>
      </c>
      <c r="D51" s="5" t="inlineStr">
        <is>
          <t>ROS-scavenging hydrogel to promote healing of bacteria infected diabetic wounds</t>
        </is>
      </c>
      <c r="E51" s="5" t="inlineStr">
        <is>
          <t>10.1016/j.biomaterials.2020.120286</t>
        </is>
      </c>
      <c r="F51" s="5" t="inlineStr">
        <is>
          <t>Mixed-stimulus adaptive hydrogels</t>
        </is>
      </c>
      <c r="G51" s="5" t="inlineStr">
        <is>
          <t>Immune, cytokine, or macrophage</t>
        </is>
      </c>
      <c r="H51" s="6" t="inlineStr">
        <is>
          <t>1</t>
        </is>
      </c>
      <c r="K51" s="5" t="inlineStr">
        <is>
          <t xml:space="preserve">; </t>
        </is>
      </c>
      <c r="M51" s="5" t="inlineStr">
        <is>
          <t>100.0</t>
        </is>
      </c>
      <c r="N51" s="5" t="inlineStr">
        <is>
          <t>YES</t>
        </is>
      </c>
    </row>
    <row r="52">
      <c r="A52" s="6" t="n">
        <v>210</v>
      </c>
      <c r="B52" s="5" t="inlineStr">
        <is>
          <t>S3</t>
        </is>
      </c>
      <c r="C52" s="5" t="inlineStr">
        <is>
          <t>3: Redox-, glucose-, and mixed-stimulus adaptive hydrogels</t>
        </is>
      </c>
      <c r="D52" s="5" t="inlineStr">
        <is>
          <t>ROS-scavenging hydrogel to promote healing of bacteria infected diabetic wounds</t>
        </is>
      </c>
      <c r="E52" s="5" t="inlineStr">
        <is>
          <t>10.1016/j.biomaterials.2020.120286</t>
        </is>
      </c>
      <c r="F52" s="5" t="inlineStr">
        <is>
          <t>Mixed-stimulus adaptive hydrogels</t>
        </is>
      </c>
      <c r="G52" s="5" t="inlineStr">
        <is>
          <t>Angiogenic or vascular</t>
        </is>
      </c>
      <c r="H52" s="6" t="inlineStr">
        <is>
          <t>1</t>
        </is>
      </c>
      <c r="K52" s="5" t="inlineStr">
        <is>
          <t xml:space="preserve">; </t>
        </is>
      </c>
      <c r="M52" s="5" t="inlineStr">
        <is>
          <t>100.0</t>
        </is>
      </c>
      <c r="N52" s="5" t="inlineStr">
        <is>
          <t>YES</t>
        </is>
      </c>
    </row>
    <row r="53">
      <c r="A53" s="6" t="n">
        <v>210</v>
      </c>
      <c r="B53" s="5" t="inlineStr">
        <is>
          <t>S3</t>
        </is>
      </c>
      <c r="C53" s="5" t="inlineStr">
        <is>
          <t>3: Redox-, glucose-, and mixed-stimulus adaptive hydrogels</t>
        </is>
      </c>
      <c r="D53" s="5" t="inlineStr">
        <is>
          <t>ROS-scavenging hydrogel to promote healing of bacteria infected diabetic wounds</t>
        </is>
      </c>
      <c r="E53" s="5" t="inlineStr">
        <is>
          <t>10.1016/j.biomaterials.2020.120286</t>
        </is>
      </c>
      <c r="F53" s="5" t="inlineStr">
        <is>
          <t>Mixed-stimulus adaptive hydrogels</t>
        </is>
      </c>
      <c r="G53" s="5" t="inlineStr">
        <is>
          <t>Histology, collagen, or matrix repair</t>
        </is>
      </c>
      <c r="H53" s="6" t="inlineStr">
        <is>
          <t>1</t>
        </is>
      </c>
      <c r="K53" s="5" t="inlineStr">
        <is>
          <t xml:space="preserve">; </t>
        </is>
      </c>
      <c r="M53" s="5" t="inlineStr">
        <is>
          <t>100.0</t>
        </is>
      </c>
      <c r="N53" s="5" t="inlineStr">
        <is>
          <t>YES</t>
        </is>
      </c>
    </row>
    <row r="54">
      <c r="A54" s="6" t="n">
        <v>210</v>
      </c>
      <c r="B54" s="5" t="inlineStr">
        <is>
          <t>S3</t>
        </is>
      </c>
      <c r="C54" s="5" t="inlineStr">
        <is>
          <t>3: Redox-, glucose-, and mixed-stimulus adaptive hydrogels</t>
        </is>
      </c>
      <c r="D54" s="5" t="inlineStr">
        <is>
          <t>ROS-scavenging hydrogel to promote healing of bacteria infected diabetic wounds</t>
        </is>
      </c>
      <c r="E54" s="5" t="inlineStr">
        <is>
          <t>10.1016/j.biomaterials.2020.120286</t>
        </is>
      </c>
      <c r="F54" s="5" t="inlineStr">
        <is>
          <t>Mixed-stimulus adaptive hydrogels</t>
        </is>
      </c>
      <c r="G54" s="5" t="inlineStr">
        <is>
          <t>Wound-area trajectory</t>
        </is>
      </c>
      <c r="H54" s="6" t="inlineStr">
        <is>
          <t>1</t>
        </is>
      </c>
      <c r="K54" s="5" t="inlineStr">
        <is>
          <t xml:space="preserve">; </t>
        </is>
      </c>
      <c r="M54" s="5" t="inlineStr">
        <is>
          <t>100.0</t>
        </is>
      </c>
      <c r="N54" s="5" t="inlineStr">
        <is>
          <t>YES</t>
        </is>
      </c>
    </row>
    <row r="55">
      <c r="A55" s="6" t="n">
        <v>210</v>
      </c>
      <c r="B55" s="5" t="inlineStr">
        <is>
          <t>S3</t>
        </is>
      </c>
      <c r="C55" s="5" t="inlineStr">
        <is>
          <t>3: Redox-, glucose-, and mixed-stimulus adaptive hydrogels</t>
        </is>
      </c>
      <c r="D55" s="5" t="inlineStr">
        <is>
          <t>ROS-scavenging hydrogel to promote healing of bacteria infected diabetic wounds</t>
        </is>
      </c>
      <c r="E55" s="5" t="inlineStr">
        <is>
          <t>10.1016/j.biomaterials.2020.120286</t>
        </is>
      </c>
      <c r="F55" s="5" t="inlineStr">
        <is>
          <t>Mixed-stimulus adaptive hydrogels</t>
        </is>
      </c>
      <c r="G55" s="5" t="inlineStr">
        <is>
          <t>Safety or cytocompatibility</t>
        </is>
      </c>
      <c r="H55" s="6" t="inlineStr">
        <is>
          <t>0</t>
        </is>
      </c>
      <c r="K55" s="5" t="inlineStr">
        <is>
          <t xml:space="preserve">; </t>
        </is>
      </c>
      <c r="M55" s="5" t="inlineStr">
        <is>
          <t>100.0</t>
        </is>
      </c>
      <c r="N55" s="5" t="inlineStr">
        <is>
          <t>YES</t>
        </is>
      </c>
    </row>
    <row r="56">
      <c r="A56" s="6" t="n">
        <v>214</v>
      </c>
      <c r="B56" s="5" t="inlineStr">
        <is>
          <t>S3</t>
        </is>
      </c>
      <c r="C56" s="5" t="inlineStr">
        <is>
          <t>3: Redox-, glucose-, and mixed-stimulus adaptive hydrogels</t>
        </is>
      </c>
      <c r="D56" s="5" t="inlineStr">
        <is>
          <t>A smart ROS-responsive hydrogel for on-demand antibacterial and platelet-rich plasma (PRP) activation in diabetic wound healing</t>
        </is>
      </c>
      <c r="E56" s="5" t="inlineStr">
        <is>
          <t>10.1016/j.jconrel.2025.114392</t>
        </is>
      </c>
      <c r="F56" s="5" t="inlineStr">
        <is>
          <t>Mixed-stimulus adaptive hydrogels</t>
        </is>
      </c>
      <c r="G56" s="5" t="inlineStr">
        <is>
          <t>Material properties</t>
        </is>
      </c>
      <c r="H56" s="6" t="inlineStr">
        <is>
          <t>1</t>
        </is>
      </c>
      <c r="K56" s="5" t="inlineStr">
        <is>
          <t xml:space="preserve">; </t>
        </is>
      </c>
      <c r="M56" s="5" t="inlineStr">
        <is>
          <t>100.0</t>
        </is>
      </c>
      <c r="N56" s="5" t="inlineStr">
        <is>
          <t>YES</t>
        </is>
      </c>
    </row>
    <row r="57">
      <c r="A57" s="6" t="n">
        <v>214</v>
      </c>
      <c r="B57" s="5" t="inlineStr">
        <is>
          <t>S3</t>
        </is>
      </c>
      <c r="C57" s="5" t="inlineStr">
        <is>
          <t>3: Redox-, glucose-, and mixed-stimulus adaptive hydrogels</t>
        </is>
      </c>
      <c r="D57" s="5" t="inlineStr">
        <is>
          <t>A smart ROS-responsive hydrogel for on-demand antibacterial and platelet-rich plasma (PRP) activation in diabetic wound healing</t>
        </is>
      </c>
      <c r="E57" s="5" t="inlineStr">
        <is>
          <t>10.1016/j.jconrel.2025.114392</t>
        </is>
      </c>
      <c r="F57" s="5" t="inlineStr">
        <is>
          <t>Mixed-stimulus adaptive hydrogels</t>
        </is>
      </c>
      <c r="G57" s="5" t="inlineStr">
        <is>
          <t>Release or activation kinetics</t>
        </is>
      </c>
      <c r="H57" s="6" t="inlineStr">
        <is>
          <t>1</t>
        </is>
      </c>
      <c r="K57" s="5" t="inlineStr">
        <is>
          <t xml:space="preserve">; </t>
        </is>
      </c>
      <c r="M57" s="5" t="inlineStr">
        <is>
          <t>100.0</t>
        </is>
      </c>
      <c r="N57" s="5" t="inlineStr">
        <is>
          <t>YES</t>
        </is>
      </c>
    </row>
    <row r="58">
      <c r="A58" s="6" t="n">
        <v>214</v>
      </c>
      <c r="B58" s="5" t="inlineStr">
        <is>
          <t>S3</t>
        </is>
      </c>
      <c r="C58" s="5" t="inlineStr">
        <is>
          <t>3: Redox-, glucose-, and mixed-stimulus adaptive hydrogels</t>
        </is>
      </c>
      <c r="D58" s="5" t="inlineStr">
        <is>
          <t>A smart ROS-responsive hydrogel for on-demand antibacterial and platelet-rich plasma (PRP) activation in diabetic wound healing</t>
        </is>
      </c>
      <c r="E58" s="5" t="inlineStr">
        <is>
          <t>10.1016/j.jconrel.2025.114392</t>
        </is>
      </c>
      <c r="F58" s="5" t="inlineStr">
        <is>
          <t>Mixed-stimulus adaptive hydrogels</t>
        </is>
      </c>
      <c r="G58" s="5" t="inlineStr">
        <is>
          <t>Antimicrobial or biofilm</t>
        </is>
      </c>
      <c r="H58" s="6" t="inlineStr">
        <is>
          <t>1</t>
        </is>
      </c>
      <c r="K58" s="5" t="inlineStr">
        <is>
          <t xml:space="preserve">; </t>
        </is>
      </c>
      <c r="M58" s="5" t="inlineStr">
        <is>
          <t>100.0</t>
        </is>
      </c>
      <c r="N58" s="5" t="inlineStr">
        <is>
          <t>YES</t>
        </is>
      </c>
    </row>
    <row r="59">
      <c r="A59" s="6" t="n">
        <v>214</v>
      </c>
      <c r="B59" s="5" t="inlineStr">
        <is>
          <t>S3</t>
        </is>
      </c>
      <c r="C59" s="5" t="inlineStr">
        <is>
          <t>3: Redox-, glucose-, and mixed-stimulus adaptive hydrogels</t>
        </is>
      </c>
      <c r="D59" s="5" t="inlineStr">
        <is>
          <t>A smart ROS-responsive hydrogel for on-demand antibacterial and platelet-rich plasma (PRP) activation in diabetic wound healing</t>
        </is>
      </c>
      <c r="E59" s="5" t="inlineStr">
        <is>
          <t>10.1016/j.jconrel.2025.114392</t>
        </is>
      </c>
      <c r="F59" s="5" t="inlineStr">
        <is>
          <t>Mixed-stimulus adaptive hydrogels</t>
        </is>
      </c>
      <c r="G59" s="5" t="inlineStr">
        <is>
          <t>ROS, oxidative, or metabolic</t>
        </is>
      </c>
      <c r="H59" s="6" t="inlineStr">
        <is>
          <t>1</t>
        </is>
      </c>
      <c r="K59" s="5" t="inlineStr">
        <is>
          <t xml:space="preserve">; </t>
        </is>
      </c>
      <c r="M59" s="5" t="inlineStr">
        <is>
          <t>100.0</t>
        </is>
      </c>
      <c r="N59" s="5" t="inlineStr">
        <is>
          <t>YES</t>
        </is>
      </c>
    </row>
    <row r="60">
      <c r="A60" s="6" t="n">
        <v>214</v>
      </c>
      <c r="B60" s="5" t="inlineStr">
        <is>
          <t>S3</t>
        </is>
      </c>
      <c r="C60" s="5" t="inlineStr">
        <is>
          <t>3: Redox-, glucose-, and mixed-stimulus adaptive hydrogels</t>
        </is>
      </c>
      <c r="D60" s="5" t="inlineStr">
        <is>
          <t>A smart ROS-responsive hydrogel for on-demand antibacterial and platelet-rich plasma (PRP) activation in diabetic wound healing</t>
        </is>
      </c>
      <c r="E60" s="5" t="inlineStr">
        <is>
          <t>10.1016/j.jconrel.2025.114392</t>
        </is>
      </c>
      <c r="F60" s="5" t="inlineStr">
        <is>
          <t>Mixed-stimulus adaptive hydrogels</t>
        </is>
      </c>
      <c r="G60" s="5" t="inlineStr">
        <is>
          <t>Immune, cytokine, or macrophage</t>
        </is>
      </c>
      <c r="H60" s="6" t="inlineStr">
        <is>
          <t>1</t>
        </is>
      </c>
      <c r="K60" s="5" t="inlineStr">
        <is>
          <t xml:space="preserve">; </t>
        </is>
      </c>
      <c r="M60" s="5" t="inlineStr">
        <is>
          <t>100.0</t>
        </is>
      </c>
      <c r="N60" s="5" t="inlineStr">
        <is>
          <t>YES</t>
        </is>
      </c>
    </row>
    <row r="61">
      <c r="A61" s="6" t="n">
        <v>214</v>
      </c>
      <c r="B61" s="5" t="inlineStr">
        <is>
          <t>S3</t>
        </is>
      </c>
      <c r="C61" s="5" t="inlineStr">
        <is>
          <t>3: Redox-, glucose-, and mixed-stimulus adaptive hydrogels</t>
        </is>
      </c>
      <c r="D61" s="5" t="inlineStr">
        <is>
          <t>A smart ROS-responsive hydrogel for on-demand antibacterial and platelet-rich plasma (PRP) activation in diabetic wound healing</t>
        </is>
      </c>
      <c r="E61" s="5" t="inlineStr">
        <is>
          <t>10.1016/j.jconrel.2025.114392</t>
        </is>
      </c>
      <c r="F61" s="5" t="inlineStr">
        <is>
          <t>Mixed-stimulus adaptive hydrogels</t>
        </is>
      </c>
      <c r="G61" s="5" t="inlineStr">
        <is>
          <t>Angiogenic or vascular</t>
        </is>
      </c>
      <c r="H61" s="6" t="inlineStr">
        <is>
          <t>1</t>
        </is>
      </c>
      <c r="K61" s="5" t="inlineStr">
        <is>
          <t xml:space="preserve">; </t>
        </is>
      </c>
      <c r="M61" s="5" t="inlineStr">
        <is>
          <t>100.0</t>
        </is>
      </c>
      <c r="N61" s="5" t="inlineStr">
        <is>
          <t>YES</t>
        </is>
      </c>
    </row>
    <row r="62">
      <c r="A62" s="6" t="n">
        <v>214</v>
      </c>
      <c r="B62" s="5" t="inlineStr">
        <is>
          <t>S3</t>
        </is>
      </c>
      <c r="C62" s="5" t="inlineStr">
        <is>
          <t>3: Redox-, glucose-, and mixed-stimulus adaptive hydrogels</t>
        </is>
      </c>
      <c r="D62" s="5" t="inlineStr">
        <is>
          <t>A smart ROS-responsive hydrogel for on-demand antibacterial and platelet-rich plasma (PRP) activation in diabetic wound healing</t>
        </is>
      </c>
      <c r="E62" s="5" t="inlineStr">
        <is>
          <t>10.1016/j.jconrel.2025.114392</t>
        </is>
      </c>
      <c r="F62" s="5" t="inlineStr">
        <is>
          <t>Mixed-stimulus adaptive hydrogels</t>
        </is>
      </c>
      <c r="G62" s="5" t="inlineStr">
        <is>
          <t>Histology, collagen, or matrix repair</t>
        </is>
      </c>
      <c r="H62" s="6" t="inlineStr">
        <is>
          <t>1</t>
        </is>
      </c>
      <c r="K62" s="5" t="inlineStr">
        <is>
          <t xml:space="preserve">; </t>
        </is>
      </c>
      <c r="M62" s="5" t="inlineStr">
        <is>
          <t>100.0</t>
        </is>
      </c>
      <c r="N62" s="5" t="inlineStr">
        <is>
          <t>YES</t>
        </is>
      </c>
    </row>
    <row r="63">
      <c r="A63" s="6" t="n">
        <v>214</v>
      </c>
      <c r="B63" s="5" t="inlineStr">
        <is>
          <t>S3</t>
        </is>
      </c>
      <c r="C63" s="5" t="inlineStr">
        <is>
          <t>3: Redox-, glucose-, and mixed-stimulus adaptive hydrogels</t>
        </is>
      </c>
      <c r="D63" s="5" t="inlineStr">
        <is>
          <t>A smart ROS-responsive hydrogel for on-demand antibacterial and platelet-rich plasma (PRP) activation in diabetic wound healing</t>
        </is>
      </c>
      <c r="E63" s="5" t="inlineStr">
        <is>
          <t>10.1016/j.jconrel.2025.114392</t>
        </is>
      </c>
      <c r="F63" s="5" t="inlineStr">
        <is>
          <t>Mixed-stimulus adaptive hydrogels</t>
        </is>
      </c>
      <c r="G63" s="5" t="inlineStr">
        <is>
          <t>Wound-area trajectory</t>
        </is>
      </c>
      <c r="H63" s="6" t="inlineStr">
        <is>
          <t>1</t>
        </is>
      </c>
      <c r="K63" s="5" t="inlineStr">
        <is>
          <t xml:space="preserve">; </t>
        </is>
      </c>
      <c r="M63" s="5" t="inlineStr">
        <is>
          <t>100.0</t>
        </is>
      </c>
      <c r="N63" s="5" t="inlineStr">
        <is>
          <t>YES</t>
        </is>
      </c>
    </row>
    <row r="64">
      <c r="A64" s="6" t="n">
        <v>214</v>
      </c>
      <c r="B64" s="5" t="inlineStr">
        <is>
          <t>S3</t>
        </is>
      </c>
      <c r="C64" s="5" t="inlineStr">
        <is>
          <t>3: Redox-, glucose-, and mixed-stimulus adaptive hydrogels</t>
        </is>
      </c>
      <c r="D64" s="5" t="inlineStr">
        <is>
          <t>A smart ROS-responsive hydrogel for on-demand antibacterial and platelet-rich plasma (PRP) activation in diabetic wound healing</t>
        </is>
      </c>
      <c r="E64" s="5" t="inlineStr">
        <is>
          <t>10.1016/j.jconrel.2025.114392</t>
        </is>
      </c>
      <c r="F64" s="5" t="inlineStr">
        <is>
          <t>Mixed-stimulus adaptive hydrogels</t>
        </is>
      </c>
      <c r="G64" s="5" t="inlineStr">
        <is>
          <t>Safety or cytocompatibility</t>
        </is>
      </c>
      <c r="H64" s="6" t="inlineStr">
        <is>
          <t>1</t>
        </is>
      </c>
      <c r="K64" s="5" t="inlineStr">
        <is>
          <t xml:space="preserve">; </t>
        </is>
      </c>
      <c r="M64" s="5" t="inlineStr">
        <is>
          <t>100.0</t>
        </is>
      </c>
      <c r="N64" s="5" t="inlineStr">
        <is>
          <t>YES</t>
        </is>
      </c>
    </row>
    <row r="65">
      <c r="A65" s="6" t="n">
        <v>212</v>
      </c>
      <c r="B65" s="5" t="inlineStr">
        <is>
          <t>S3</t>
        </is>
      </c>
      <c r="C65" s="5" t="inlineStr">
        <is>
          <t>3: Redox-, glucose-, and mixed-stimulus adaptive hydrogels</t>
        </is>
      </c>
      <c r="D65" s="5" t="inlineStr">
        <is>
          <t>Smart multifunctional ROS-responsive supramolecular hydrogel for simultaneously regulating oxidative stress, immune dysregulation, and bacterial infection in diabetic wound healing</t>
        </is>
      </c>
      <c r="E65" s="5" t="inlineStr">
        <is>
          <t>10.1016/j.biomaterials.2026.124006</t>
        </is>
      </c>
      <c r="F65" s="5" t="inlineStr">
        <is>
          <t>Mixed-stimulus adaptive hydrogels</t>
        </is>
      </c>
      <c r="G65" s="5" t="inlineStr">
        <is>
          <t>Material properties</t>
        </is>
      </c>
      <c r="H65" s="6" t="inlineStr">
        <is>
          <t>1</t>
        </is>
      </c>
      <c r="K65" s="5" t="inlineStr">
        <is>
          <t xml:space="preserve">; </t>
        </is>
      </c>
      <c r="M65" s="5" t="inlineStr">
        <is>
          <t>100.0</t>
        </is>
      </c>
      <c r="N65" s="5" t="inlineStr">
        <is>
          <t>YES</t>
        </is>
      </c>
    </row>
    <row r="66">
      <c r="A66" s="6" t="n">
        <v>212</v>
      </c>
      <c r="B66" s="5" t="inlineStr">
        <is>
          <t>S3</t>
        </is>
      </c>
      <c r="C66" s="5" t="inlineStr">
        <is>
          <t>3: Redox-, glucose-, and mixed-stimulus adaptive hydrogels</t>
        </is>
      </c>
      <c r="D66" s="5" t="inlineStr">
        <is>
          <t>Smart multifunctional ROS-responsive supramolecular hydrogel for simultaneously regulating oxidative stress, immune dysregulation, and bacterial infection in diabetic wound healing</t>
        </is>
      </c>
      <c r="E66" s="5" t="inlineStr">
        <is>
          <t>10.1016/j.biomaterials.2026.124006</t>
        </is>
      </c>
      <c r="F66" s="5" t="inlineStr">
        <is>
          <t>Mixed-stimulus adaptive hydrogels</t>
        </is>
      </c>
      <c r="G66" s="5" t="inlineStr">
        <is>
          <t>Release or activation kinetics</t>
        </is>
      </c>
      <c r="H66" s="6" t="inlineStr">
        <is>
          <t>1</t>
        </is>
      </c>
      <c r="K66" s="5" t="inlineStr">
        <is>
          <t xml:space="preserve">; </t>
        </is>
      </c>
      <c r="M66" s="5" t="inlineStr">
        <is>
          <t>100.0</t>
        </is>
      </c>
      <c r="N66" s="5" t="inlineStr">
        <is>
          <t>YES</t>
        </is>
      </c>
    </row>
    <row r="67">
      <c r="A67" s="6" t="n">
        <v>212</v>
      </c>
      <c r="B67" s="5" t="inlineStr">
        <is>
          <t>S3</t>
        </is>
      </c>
      <c r="C67" s="5" t="inlineStr">
        <is>
          <t>3: Redox-, glucose-, and mixed-stimulus adaptive hydrogels</t>
        </is>
      </c>
      <c r="D67" s="5" t="inlineStr">
        <is>
          <t>Smart multifunctional ROS-responsive supramolecular hydrogel for simultaneously regulating oxidative stress, immune dysregulation, and bacterial infection in diabetic wound healing</t>
        </is>
      </c>
      <c r="E67" s="5" t="inlineStr">
        <is>
          <t>10.1016/j.biomaterials.2026.124006</t>
        </is>
      </c>
      <c r="F67" s="5" t="inlineStr">
        <is>
          <t>Mixed-stimulus adaptive hydrogels</t>
        </is>
      </c>
      <c r="G67" s="5" t="inlineStr">
        <is>
          <t>Antimicrobial or biofilm</t>
        </is>
      </c>
      <c r="H67" s="6" t="inlineStr">
        <is>
          <t>1</t>
        </is>
      </c>
      <c r="K67" s="5" t="inlineStr">
        <is>
          <t xml:space="preserve">; </t>
        </is>
      </c>
      <c r="M67" s="5" t="inlineStr">
        <is>
          <t>100.0</t>
        </is>
      </c>
      <c r="N67" s="5" t="inlineStr">
        <is>
          <t>YES</t>
        </is>
      </c>
    </row>
    <row r="68">
      <c r="A68" s="6" t="n">
        <v>212</v>
      </c>
      <c r="B68" s="5" t="inlineStr">
        <is>
          <t>S3</t>
        </is>
      </c>
      <c r="C68" s="5" t="inlineStr">
        <is>
          <t>3: Redox-, glucose-, and mixed-stimulus adaptive hydrogels</t>
        </is>
      </c>
      <c r="D68" s="5" t="inlineStr">
        <is>
          <t>Smart multifunctional ROS-responsive supramolecular hydrogel for simultaneously regulating oxidative stress, immune dysregulation, and bacterial infection in diabetic wound healing</t>
        </is>
      </c>
      <c r="E68" s="5" t="inlineStr">
        <is>
          <t>10.1016/j.biomaterials.2026.124006</t>
        </is>
      </c>
      <c r="F68" s="5" t="inlineStr">
        <is>
          <t>Mixed-stimulus adaptive hydrogels</t>
        </is>
      </c>
      <c r="G68" s="5" t="inlineStr">
        <is>
          <t>ROS, oxidative, or metabolic</t>
        </is>
      </c>
      <c r="H68" s="6" t="inlineStr">
        <is>
          <t>1</t>
        </is>
      </c>
      <c r="K68" s="5" t="inlineStr">
        <is>
          <t xml:space="preserve">; </t>
        </is>
      </c>
      <c r="M68" s="5" t="inlineStr">
        <is>
          <t>100.0</t>
        </is>
      </c>
      <c r="N68" s="5" t="inlineStr">
        <is>
          <t>YES</t>
        </is>
      </c>
    </row>
    <row r="69">
      <c r="A69" s="6" t="n">
        <v>212</v>
      </c>
      <c r="B69" s="5" t="inlineStr">
        <is>
          <t>S3</t>
        </is>
      </c>
      <c r="C69" s="5" t="inlineStr">
        <is>
          <t>3: Redox-, glucose-, and mixed-stimulus adaptive hydrogels</t>
        </is>
      </c>
      <c r="D69" s="5" t="inlineStr">
        <is>
          <t>Smart multifunctional ROS-responsive supramolecular hydrogel for simultaneously regulating oxidative stress, immune dysregulation, and bacterial infection in diabetic wound healing</t>
        </is>
      </c>
      <c r="E69" s="5" t="inlineStr">
        <is>
          <t>10.1016/j.biomaterials.2026.124006</t>
        </is>
      </c>
      <c r="F69" s="5" t="inlineStr">
        <is>
          <t>Mixed-stimulus adaptive hydrogels</t>
        </is>
      </c>
      <c r="G69" s="5" t="inlineStr">
        <is>
          <t>Immune, cytokine, or macrophage</t>
        </is>
      </c>
      <c r="H69" s="6" t="inlineStr">
        <is>
          <t>1</t>
        </is>
      </c>
      <c r="K69" s="5" t="inlineStr">
        <is>
          <t xml:space="preserve">; </t>
        </is>
      </c>
      <c r="M69" s="5" t="inlineStr">
        <is>
          <t>100.0</t>
        </is>
      </c>
      <c r="N69" s="5" t="inlineStr">
        <is>
          <t>YES</t>
        </is>
      </c>
    </row>
    <row r="70">
      <c r="A70" s="6" t="n">
        <v>212</v>
      </c>
      <c r="B70" s="5" t="inlineStr">
        <is>
          <t>S3</t>
        </is>
      </c>
      <c r="C70" s="5" t="inlineStr">
        <is>
          <t>3: Redox-, glucose-, and mixed-stimulus adaptive hydrogels</t>
        </is>
      </c>
      <c r="D70" s="5" t="inlineStr">
        <is>
          <t>Smart multifunctional ROS-responsive supramolecular hydrogel for simultaneously regulating oxidative stress, immune dysregulation, and bacterial infection in diabetic wound healing</t>
        </is>
      </c>
      <c r="E70" s="5" t="inlineStr">
        <is>
          <t>10.1016/j.biomaterials.2026.124006</t>
        </is>
      </c>
      <c r="F70" s="5" t="inlineStr">
        <is>
          <t>Mixed-stimulus adaptive hydrogels</t>
        </is>
      </c>
      <c r="G70" s="5" t="inlineStr">
        <is>
          <t>Angiogenic or vascular</t>
        </is>
      </c>
      <c r="H70" s="6" t="inlineStr">
        <is>
          <t>1</t>
        </is>
      </c>
      <c r="K70" s="5" t="inlineStr">
        <is>
          <t xml:space="preserve">; </t>
        </is>
      </c>
      <c r="M70" s="5" t="inlineStr">
        <is>
          <t>100.0</t>
        </is>
      </c>
      <c r="N70" s="5" t="inlineStr">
        <is>
          <t>YES</t>
        </is>
      </c>
    </row>
    <row r="71">
      <c r="A71" s="6" t="n">
        <v>212</v>
      </c>
      <c r="B71" s="5" t="inlineStr">
        <is>
          <t>S3</t>
        </is>
      </c>
      <c r="C71" s="5" t="inlineStr">
        <is>
          <t>3: Redox-, glucose-, and mixed-stimulus adaptive hydrogels</t>
        </is>
      </c>
      <c r="D71" s="5" t="inlineStr">
        <is>
          <t>Smart multifunctional ROS-responsive supramolecular hydrogel for simultaneously regulating oxidative stress, immune dysregulation, and bacterial infection in diabetic wound healing</t>
        </is>
      </c>
      <c r="E71" s="5" t="inlineStr">
        <is>
          <t>10.1016/j.biomaterials.2026.124006</t>
        </is>
      </c>
      <c r="F71" s="5" t="inlineStr">
        <is>
          <t>Mixed-stimulus adaptive hydrogels</t>
        </is>
      </c>
      <c r="G71" s="5" t="inlineStr">
        <is>
          <t>Histology, collagen, or matrix repair</t>
        </is>
      </c>
      <c r="H71" s="6" t="inlineStr">
        <is>
          <t>1</t>
        </is>
      </c>
      <c r="K71" s="5" t="inlineStr">
        <is>
          <t xml:space="preserve">; </t>
        </is>
      </c>
      <c r="M71" s="5" t="inlineStr">
        <is>
          <t>100.0</t>
        </is>
      </c>
      <c r="N71" s="5" t="inlineStr">
        <is>
          <t>YES</t>
        </is>
      </c>
    </row>
    <row r="72">
      <c r="A72" s="6" t="n">
        <v>212</v>
      </c>
      <c r="B72" s="5" t="inlineStr">
        <is>
          <t>S3</t>
        </is>
      </c>
      <c r="C72" s="5" t="inlineStr">
        <is>
          <t>3: Redox-, glucose-, and mixed-stimulus adaptive hydrogels</t>
        </is>
      </c>
      <c r="D72" s="5" t="inlineStr">
        <is>
          <t>Smart multifunctional ROS-responsive supramolecular hydrogel for simultaneously regulating oxidative stress, immune dysregulation, and bacterial infection in diabetic wound healing</t>
        </is>
      </c>
      <c r="E72" s="5" t="inlineStr">
        <is>
          <t>10.1016/j.biomaterials.2026.124006</t>
        </is>
      </c>
      <c r="F72" s="5" t="inlineStr">
        <is>
          <t>Mixed-stimulus adaptive hydrogels</t>
        </is>
      </c>
      <c r="G72" s="5" t="inlineStr">
        <is>
          <t>Wound-area trajectory</t>
        </is>
      </c>
      <c r="H72" s="6" t="inlineStr">
        <is>
          <t>1</t>
        </is>
      </c>
      <c r="K72" s="5" t="inlineStr">
        <is>
          <t xml:space="preserve">; </t>
        </is>
      </c>
      <c r="M72" s="5" t="inlineStr">
        <is>
          <t>100.0</t>
        </is>
      </c>
      <c r="N72" s="5" t="inlineStr">
        <is>
          <t>YES</t>
        </is>
      </c>
    </row>
    <row r="73">
      <c r="A73" s="6" t="n">
        <v>212</v>
      </c>
      <c r="B73" s="5" t="inlineStr">
        <is>
          <t>S3</t>
        </is>
      </c>
      <c r="C73" s="5" t="inlineStr">
        <is>
          <t>3: Redox-, glucose-, and mixed-stimulus adaptive hydrogels</t>
        </is>
      </c>
      <c r="D73" s="5" t="inlineStr">
        <is>
          <t>Smart multifunctional ROS-responsive supramolecular hydrogel for simultaneously regulating oxidative stress, immune dysregulation, and bacterial infection in diabetic wound healing</t>
        </is>
      </c>
      <c r="E73" s="5" t="inlineStr">
        <is>
          <t>10.1016/j.biomaterials.2026.124006</t>
        </is>
      </c>
      <c r="F73" s="5" t="inlineStr">
        <is>
          <t>Mixed-stimulus adaptive hydrogels</t>
        </is>
      </c>
      <c r="G73" s="5" t="inlineStr">
        <is>
          <t>Safety or cytocompatibility</t>
        </is>
      </c>
      <c r="H73" s="6" t="inlineStr">
        <is>
          <t>1</t>
        </is>
      </c>
      <c r="K73" s="5" t="inlineStr">
        <is>
          <t xml:space="preserve">; </t>
        </is>
      </c>
      <c r="M73" s="5" t="inlineStr">
        <is>
          <t>100.0</t>
        </is>
      </c>
      <c r="N73" s="5" t="inlineStr">
        <is>
          <t>YES</t>
        </is>
      </c>
    </row>
    <row r="74">
      <c r="A74" s="6" t="n">
        <v>211</v>
      </c>
      <c r="B74" s="5" t="inlineStr">
        <is>
          <t>S3</t>
        </is>
      </c>
      <c r="C74" s="5" t="inlineStr">
        <is>
          <t>3: Redox-, glucose-, and mixed-stimulus adaptive hydrogels</t>
        </is>
      </c>
      <c r="D74" s="5" t="inlineStr">
        <is>
          <t>Ros-responsive hydrogel with size-dependent sequential release effects for anti-bacterial and anti-inflammation in diabetic wound healing</t>
        </is>
      </c>
      <c r="F74" s="5" t="inlineStr">
        <is>
          <t>Mixed-stimulus adaptive hydrogels</t>
        </is>
      </c>
      <c r="G74" s="5" t="inlineStr">
        <is>
          <t>Material properties</t>
        </is>
      </c>
      <c r="H74" s="6" t="inlineStr">
        <is>
          <t>1</t>
        </is>
      </c>
      <c r="K74" s="5" t="inlineStr">
        <is>
          <t xml:space="preserve">; </t>
        </is>
      </c>
      <c r="M74" s="5" t="inlineStr">
        <is>
          <t>100.0</t>
        </is>
      </c>
      <c r="N74" s="5" t="inlineStr">
        <is>
          <t>YES</t>
        </is>
      </c>
    </row>
    <row r="75">
      <c r="A75" s="6" t="n">
        <v>211</v>
      </c>
      <c r="B75" s="5" t="inlineStr">
        <is>
          <t>S3</t>
        </is>
      </c>
      <c r="C75" s="5" t="inlineStr">
        <is>
          <t>3: Redox-, glucose-, and mixed-stimulus adaptive hydrogels</t>
        </is>
      </c>
      <c r="D75" s="5" t="inlineStr">
        <is>
          <t>Ros-responsive hydrogel with size-dependent sequential release effects for anti-bacterial and anti-inflammation in diabetic wound healing</t>
        </is>
      </c>
      <c r="F75" s="5" t="inlineStr">
        <is>
          <t>Mixed-stimulus adaptive hydrogels</t>
        </is>
      </c>
      <c r="G75" s="5" t="inlineStr">
        <is>
          <t>Release or activation kinetics</t>
        </is>
      </c>
      <c r="H75" s="6" t="inlineStr">
        <is>
          <t>1</t>
        </is>
      </c>
      <c r="K75" s="5" t="inlineStr">
        <is>
          <t xml:space="preserve">; </t>
        </is>
      </c>
      <c r="M75" s="5" t="inlineStr">
        <is>
          <t>100.0</t>
        </is>
      </c>
      <c r="N75" s="5" t="inlineStr">
        <is>
          <t>YES</t>
        </is>
      </c>
    </row>
    <row r="76">
      <c r="A76" s="6" t="n">
        <v>211</v>
      </c>
      <c r="B76" s="5" t="inlineStr">
        <is>
          <t>S3</t>
        </is>
      </c>
      <c r="C76" s="5" t="inlineStr">
        <is>
          <t>3: Redox-, glucose-, and mixed-stimulus adaptive hydrogels</t>
        </is>
      </c>
      <c r="D76" s="5" t="inlineStr">
        <is>
          <t>Ros-responsive hydrogel with size-dependent sequential release effects for anti-bacterial and anti-inflammation in diabetic wound healing</t>
        </is>
      </c>
      <c r="F76" s="5" t="inlineStr">
        <is>
          <t>Mixed-stimulus adaptive hydrogels</t>
        </is>
      </c>
      <c r="G76" s="5" t="inlineStr">
        <is>
          <t>Antimicrobial or biofilm</t>
        </is>
      </c>
      <c r="H76" s="6" t="inlineStr">
        <is>
          <t>1</t>
        </is>
      </c>
      <c r="K76" s="5" t="inlineStr">
        <is>
          <t xml:space="preserve">; </t>
        </is>
      </c>
      <c r="M76" s="5" t="inlineStr">
        <is>
          <t>100.0</t>
        </is>
      </c>
      <c r="N76" s="5" t="inlineStr">
        <is>
          <t>YES</t>
        </is>
      </c>
    </row>
    <row r="77">
      <c r="A77" s="6" t="n">
        <v>211</v>
      </c>
      <c r="B77" s="5" t="inlineStr">
        <is>
          <t>S3</t>
        </is>
      </c>
      <c r="C77" s="5" t="inlineStr">
        <is>
          <t>3: Redox-, glucose-, and mixed-stimulus adaptive hydrogels</t>
        </is>
      </c>
      <c r="D77" s="5" t="inlineStr">
        <is>
          <t>Ros-responsive hydrogel with size-dependent sequential release effects for anti-bacterial and anti-inflammation in diabetic wound healing</t>
        </is>
      </c>
      <c r="F77" s="5" t="inlineStr">
        <is>
          <t>Mixed-stimulus adaptive hydrogels</t>
        </is>
      </c>
      <c r="G77" s="5" t="inlineStr">
        <is>
          <t>ROS, oxidative, or metabolic</t>
        </is>
      </c>
      <c r="H77" s="6" t="inlineStr">
        <is>
          <t>1</t>
        </is>
      </c>
      <c r="K77" s="5" t="inlineStr">
        <is>
          <t xml:space="preserve">; </t>
        </is>
      </c>
      <c r="M77" s="5" t="inlineStr">
        <is>
          <t>100.0</t>
        </is>
      </c>
      <c r="N77" s="5" t="inlineStr">
        <is>
          <t>YES</t>
        </is>
      </c>
    </row>
    <row r="78">
      <c r="A78" s="6" t="n">
        <v>211</v>
      </c>
      <c r="B78" s="5" t="inlineStr">
        <is>
          <t>S3</t>
        </is>
      </c>
      <c r="C78" s="5" t="inlineStr">
        <is>
          <t>3: Redox-, glucose-, and mixed-stimulus adaptive hydrogels</t>
        </is>
      </c>
      <c r="D78" s="5" t="inlineStr">
        <is>
          <t>Ros-responsive hydrogel with size-dependent sequential release effects for anti-bacterial and anti-inflammation in diabetic wound healing</t>
        </is>
      </c>
      <c r="F78" s="5" t="inlineStr">
        <is>
          <t>Mixed-stimulus adaptive hydrogels</t>
        </is>
      </c>
      <c r="G78" s="5" t="inlineStr">
        <is>
          <t>Immune, cytokine, or macrophage</t>
        </is>
      </c>
      <c r="H78" s="6" t="inlineStr">
        <is>
          <t>1</t>
        </is>
      </c>
      <c r="K78" s="5" t="inlineStr">
        <is>
          <t xml:space="preserve">; </t>
        </is>
      </c>
      <c r="M78" s="5" t="inlineStr">
        <is>
          <t>100.0</t>
        </is>
      </c>
      <c r="N78" s="5" t="inlineStr">
        <is>
          <t>YES</t>
        </is>
      </c>
    </row>
    <row r="79">
      <c r="A79" s="6" t="n">
        <v>211</v>
      </c>
      <c r="B79" s="5" t="inlineStr">
        <is>
          <t>S3</t>
        </is>
      </c>
      <c r="C79" s="5" t="inlineStr">
        <is>
          <t>3: Redox-, glucose-, and mixed-stimulus adaptive hydrogels</t>
        </is>
      </c>
      <c r="D79" s="5" t="inlineStr">
        <is>
          <t>Ros-responsive hydrogel with size-dependent sequential release effects for anti-bacterial and anti-inflammation in diabetic wound healing</t>
        </is>
      </c>
      <c r="F79" s="5" t="inlineStr">
        <is>
          <t>Mixed-stimulus adaptive hydrogels</t>
        </is>
      </c>
      <c r="G79" s="5" t="inlineStr">
        <is>
          <t>Angiogenic or vascular</t>
        </is>
      </c>
      <c r="H79" s="6" t="inlineStr">
        <is>
          <t>0</t>
        </is>
      </c>
      <c r="K79" s="5" t="inlineStr">
        <is>
          <t xml:space="preserve">; </t>
        </is>
      </c>
      <c r="M79" s="5" t="inlineStr">
        <is>
          <t>100.0</t>
        </is>
      </c>
      <c r="N79" s="5" t="inlineStr">
        <is>
          <t>YES</t>
        </is>
      </c>
    </row>
    <row r="80">
      <c r="A80" s="6" t="n">
        <v>211</v>
      </c>
      <c r="B80" s="5" t="inlineStr">
        <is>
          <t>S3</t>
        </is>
      </c>
      <c r="C80" s="5" t="inlineStr">
        <is>
          <t>3: Redox-, glucose-, and mixed-stimulus adaptive hydrogels</t>
        </is>
      </c>
      <c r="D80" s="5" t="inlineStr">
        <is>
          <t>Ros-responsive hydrogel with size-dependent sequential release effects for anti-bacterial and anti-inflammation in diabetic wound healing</t>
        </is>
      </c>
      <c r="F80" s="5" t="inlineStr">
        <is>
          <t>Mixed-stimulus adaptive hydrogels</t>
        </is>
      </c>
      <c r="G80" s="5" t="inlineStr">
        <is>
          <t>Histology, collagen, or matrix repair</t>
        </is>
      </c>
      <c r="H80" s="6" t="inlineStr">
        <is>
          <t>1</t>
        </is>
      </c>
      <c r="K80" s="5" t="inlineStr">
        <is>
          <t xml:space="preserve">; </t>
        </is>
      </c>
      <c r="M80" s="5" t="inlineStr">
        <is>
          <t>100.0</t>
        </is>
      </c>
      <c r="N80" s="5" t="inlineStr">
        <is>
          <t>YES</t>
        </is>
      </c>
    </row>
    <row r="81">
      <c r="A81" s="6" t="n">
        <v>211</v>
      </c>
      <c r="B81" s="5" t="inlineStr">
        <is>
          <t>S3</t>
        </is>
      </c>
      <c r="C81" s="5" t="inlineStr">
        <is>
          <t>3: Redox-, glucose-, and mixed-stimulus adaptive hydrogels</t>
        </is>
      </c>
      <c r="D81" s="5" t="inlineStr">
        <is>
          <t>Ros-responsive hydrogel with size-dependent sequential release effects for anti-bacterial and anti-inflammation in diabetic wound healing</t>
        </is>
      </c>
      <c r="F81" s="5" t="inlineStr">
        <is>
          <t>Mixed-stimulus adaptive hydrogels</t>
        </is>
      </c>
      <c r="G81" s="5" t="inlineStr">
        <is>
          <t>Wound-area trajectory</t>
        </is>
      </c>
      <c r="H81" s="6" t="inlineStr">
        <is>
          <t>1</t>
        </is>
      </c>
      <c r="K81" s="5" t="inlineStr">
        <is>
          <t xml:space="preserve">; </t>
        </is>
      </c>
      <c r="M81" s="5" t="inlineStr">
        <is>
          <t>100.0</t>
        </is>
      </c>
      <c r="N81" s="5" t="inlineStr">
        <is>
          <t>YES</t>
        </is>
      </c>
    </row>
    <row r="82">
      <c r="A82" s="6" t="n">
        <v>211</v>
      </c>
      <c r="B82" s="5" t="inlineStr">
        <is>
          <t>S3</t>
        </is>
      </c>
      <c r="C82" s="5" t="inlineStr">
        <is>
          <t>3: Redox-, glucose-, and mixed-stimulus adaptive hydrogels</t>
        </is>
      </c>
      <c r="D82" s="5" t="inlineStr">
        <is>
          <t>Ros-responsive hydrogel with size-dependent sequential release effects for anti-bacterial and anti-inflammation in diabetic wound healing</t>
        </is>
      </c>
      <c r="F82" s="5" t="inlineStr">
        <is>
          <t>Mixed-stimulus adaptive hydrogels</t>
        </is>
      </c>
      <c r="G82" s="5" t="inlineStr">
        <is>
          <t>Safety or cytocompatibility</t>
        </is>
      </c>
      <c r="H82" s="6" t="inlineStr">
        <is>
          <t>1</t>
        </is>
      </c>
      <c r="K82" s="5" t="inlineStr">
        <is>
          <t xml:space="preserve">; </t>
        </is>
      </c>
      <c r="M82" s="5" t="inlineStr">
        <is>
          <t>100.0</t>
        </is>
      </c>
      <c r="N82" s="5" t="inlineStr">
        <is>
          <t>YES</t>
        </is>
      </c>
    </row>
    <row r="83">
      <c r="A83" s="6" t="n">
        <v>215</v>
      </c>
      <c r="B83" s="5" t="inlineStr">
        <is>
          <t>S3</t>
        </is>
      </c>
      <c r="C83" s="5" t="inlineStr">
        <is>
          <t>3: Redox-, glucose-, and mixed-stimulus adaptive hydrogels</t>
        </is>
      </c>
      <c r="D83" s="5" t="inlineStr">
        <is>
          <t>Glucose/ROS-responsive and redox-gated adaptive hydrogel dressing for accelerating diabetic wound repair via synergistic cGAS/STING pathway inhibition and oxidative stress alleviation</t>
        </is>
      </c>
      <c r="E83" s="5" t="inlineStr">
        <is>
          <t>10.1016/j.bioactmat.2026.03.025</t>
        </is>
      </c>
      <c r="F83" s="5" t="inlineStr">
        <is>
          <t>Mixed-stimulus adaptive hydrogels</t>
        </is>
      </c>
      <c r="G83" s="5" t="inlineStr">
        <is>
          <t>Material properties</t>
        </is>
      </c>
      <c r="H83" s="6" t="inlineStr">
        <is>
          <t>1</t>
        </is>
      </c>
      <c r="K83" s="5" t="inlineStr">
        <is>
          <t xml:space="preserve">; </t>
        </is>
      </c>
      <c r="M83" s="5" t="inlineStr">
        <is>
          <t>100.0</t>
        </is>
      </c>
      <c r="N83" s="5" t="inlineStr">
        <is>
          <t>YES</t>
        </is>
      </c>
    </row>
    <row r="84">
      <c r="A84" s="6" t="n">
        <v>215</v>
      </c>
      <c r="B84" s="5" t="inlineStr">
        <is>
          <t>S3</t>
        </is>
      </c>
      <c r="C84" s="5" t="inlineStr">
        <is>
          <t>3: Redox-, glucose-, and mixed-stimulus adaptive hydrogels</t>
        </is>
      </c>
      <c r="D84" s="5" t="inlineStr">
        <is>
          <t>Glucose/ROS-responsive and redox-gated adaptive hydrogel dressing for accelerating diabetic wound repair via synergistic cGAS/STING pathway inhibition and oxidative stress alleviation</t>
        </is>
      </c>
      <c r="E84" s="5" t="inlineStr">
        <is>
          <t>10.1016/j.bioactmat.2026.03.025</t>
        </is>
      </c>
      <c r="F84" s="5" t="inlineStr">
        <is>
          <t>Mixed-stimulus adaptive hydrogels</t>
        </is>
      </c>
      <c r="G84" s="5" t="inlineStr">
        <is>
          <t>Release or activation kinetics</t>
        </is>
      </c>
      <c r="H84" s="6" t="inlineStr">
        <is>
          <t>1</t>
        </is>
      </c>
      <c r="K84" s="5" t="inlineStr">
        <is>
          <t xml:space="preserve">; </t>
        </is>
      </c>
      <c r="M84" s="5" t="inlineStr">
        <is>
          <t>100.0</t>
        </is>
      </c>
      <c r="N84" s="5" t="inlineStr">
        <is>
          <t>YES</t>
        </is>
      </c>
    </row>
    <row r="85">
      <c r="A85" s="6" t="n">
        <v>215</v>
      </c>
      <c r="B85" s="5" t="inlineStr">
        <is>
          <t>S3</t>
        </is>
      </c>
      <c r="C85" s="5" t="inlineStr">
        <is>
          <t>3: Redox-, glucose-, and mixed-stimulus adaptive hydrogels</t>
        </is>
      </c>
      <c r="D85" s="5" t="inlineStr">
        <is>
          <t>Glucose/ROS-responsive and redox-gated adaptive hydrogel dressing for accelerating diabetic wound repair via synergistic cGAS/STING pathway inhibition and oxidative stress alleviation</t>
        </is>
      </c>
      <c r="E85" s="5" t="inlineStr">
        <is>
          <t>10.1016/j.bioactmat.2026.03.025</t>
        </is>
      </c>
      <c r="F85" s="5" t="inlineStr">
        <is>
          <t>Mixed-stimulus adaptive hydrogels</t>
        </is>
      </c>
      <c r="G85" s="5" t="inlineStr">
        <is>
          <t>Antimicrobial or biofilm</t>
        </is>
      </c>
      <c r="H85" s="6" t="inlineStr">
        <is>
          <t>0</t>
        </is>
      </c>
      <c r="K85" s="5" t="inlineStr">
        <is>
          <t xml:space="preserve">; </t>
        </is>
      </c>
      <c r="M85" s="5" t="inlineStr">
        <is>
          <t>100.0</t>
        </is>
      </c>
      <c r="N85" s="5" t="inlineStr">
        <is>
          <t>YES</t>
        </is>
      </c>
    </row>
    <row r="86">
      <c r="A86" s="6" t="n">
        <v>215</v>
      </c>
      <c r="B86" s="5" t="inlineStr">
        <is>
          <t>S3</t>
        </is>
      </c>
      <c r="C86" s="5" t="inlineStr">
        <is>
          <t>3: Redox-, glucose-, and mixed-stimulus adaptive hydrogels</t>
        </is>
      </c>
      <c r="D86" s="5" t="inlineStr">
        <is>
          <t>Glucose/ROS-responsive and redox-gated adaptive hydrogel dressing for accelerating diabetic wound repair via synergistic cGAS/STING pathway inhibition and oxidative stress alleviation</t>
        </is>
      </c>
      <c r="E86" s="5" t="inlineStr">
        <is>
          <t>10.1016/j.bioactmat.2026.03.025</t>
        </is>
      </c>
      <c r="F86" s="5" t="inlineStr">
        <is>
          <t>Mixed-stimulus adaptive hydrogels</t>
        </is>
      </c>
      <c r="G86" s="5" t="inlineStr">
        <is>
          <t>ROS, oxidative, or metabolic</t>
        </is>
      </c>
      <c r="H86" s="6" t="inlineStr">
        <is>
          <t>1</t>
        </is>
      </c>
      <c r="K86" s="5" t="inlineStr">
        <is>
          <t xml:space="preserve">; </t>
        </is>
      </c>
      <c r="M86" s="5" t="inlineStr">
        <is>
          <t>100.0</t>
        </is>
      </c>
      <c r="N86" s="5" t="inlineStr">
        <is>
          <t>YES</t>
        </is>
      </c>
    </row>
    <row r="87">
      <c r="A87" s="6" t="n">
        <v>215</v>
      </c>
      <c r="B87" s="5" t="inlineStr">
        <is>
          <t>S3</t>
        </is>
      </c>
      <c r="C87" s="5" t="inlineStr">
        <is>
          <t>3: Redox-, glucose-, and mixed-stimulus adaptive hydrogels</t>
        </is>
      </c>
      <c r="D87" s="5" t="inlineStr">
        <is>
          <t>Glucose/ROS-responsive and redox-gated adaptive hydrogel dressing for accelerating diabetic wound repair via synergistic cGAS/STING pathway inhibition and oxidative stress alleviation</t>
        </is>
      </c>
      <c r="E87" s="5" t="inlineStr">
        <is>
          <t>10.1016/j.bioactmat.2026.03.025</t>
        </is>
      </c>
      <c r="F87" s="5" t="inlineStr">
        <is>
          <t>Mixed-stimulus adaptive hydrogels</t>
        </is>
      </c>
      <c r="G87" s="5" t="inlineStr">
        <is>
          <t>Immune, cytokine, or macrophage</t>
        </is>
      </c>
      <c r="H87" s="6" t="inlineStr">
        <is>
          <t>1</t>
        </is>
      </c>
      <c r="K87" s="5" t="inlineStr">
        <is>
          <t xml:space="preserve">; </t>
        </is>
      </c>
      <c r="M87" s="5" t="inlineStr">
        <is>
          <t>100.0</t>
        </is>
      </c>
      <c r="N87" s="5" t="inlineStr">
        <is>
          <t>YES</t>
        </is>
      </c>
    </row>
    <row r="88">
      <c r="A88" s="6" t="n">
        <v>215</v>
      </c>
      <c r="B88" s="5" t="inlineStr">
        <is>
          <t>S3</t>
        </is>
      </c>
      <c r="C88" s="5" t="inlineStr">
        <is>
          <t>3: Redox-, glucose-, and mixed-stimulus adaptive hydrogels</t>
        </is>
      </c>
      <c r="D88" s="5" t="inlineStr">
        <is>
          <t>Glucose/ROS-responsive and redox-gated adaptive hydrogel dressing for accelerating diabetic wound repair via synergistic cGAS/STING pathway inhibition and oxidative stress alleviation</t>
        </is>
      </c>
      <c r="E88" s="5" t="inlineStr">
        <is>
          <t>10.1016/j.bioactmat.2026.03.025</t>
        </is>
      </c>
      <c r="F88" s="5" t="inlineStr">
        <is>
          <t>Mixed-stimulus adaptive hydrogels</t>
        </is>
      </c>
      <c r="G88" s="5" t="inlineStr">
        <is>
          <t>Angiogenic or vascular</t>
        </is>
      </c>
      <c r="H88" s="6" t="inlineStr">
        <is>
          <t>1</t>
        </is>
      </c>
      <c r="K88" s="5" t="inlineStr">
        <is>
          <t xml:space="preserve">; </t>
        </is>
      </c>
      <c r="M88" s="5" t="inlineStr">
        <is>
          <t>100.0</t>
        </is>
      </c>
      <c r="N88" s="5" t="inlineStr">
        <is>
          <t>YES</t>
        </is>
      </c>
    </row>
    <row r="89">
      <c r="A89" s="6" t="n">
        <v>215</v>
      </c>
      <c r="B89" s="5" t="inlineStr">
        <is>
          <t>S3</t>
        </is>
      </c>
      <c r="C89" s="5" t="inlineStr">
        <is>
          <t>3: Redox-, glucose-, and mixed-stimulus adaptive hydrogels</t>
        </is>
      </c>
      <c r="D89" s="5" t="inlineStr">
        <is>
          <t>Glucose/ROS-responsive and redox-gated adaptive hydrogel dressing for accelerating diabetic wound repair via synergistic cGAS/STING pathway inhibition and oxidative stress alleviation</t>
        </is>
      </c>
      <c r="E89" s="5" t="inlineStr">
        <is>
          <t>10.1016/j.bioactmat.2026.03.025</t>
        </is>
      </c>
      <c r="F89" s="5" t="inlineStr">
        <is>
          <t>Mixed-stimulus adaptive hydrogels</t>
        </is>
      </c>
      <c r="G89" s="5" t="inlineStr">
        <is>
          <t>Histology, collagen, or matrix repair</t>
        </is>
      </c>
      <c r="H89" s="6" t="inlineStr">
        <is>
          <t>1</t>
        </is>
      </c>
      <c r="K89" s="5" t="inlineStr">
        <is>
          <t xml:space="preserve">; </t>
        </is>
      </c>
      <c r="M89" s="5" t="inlineStr">
        <is>
          <t>100.0</t>
        </is>
      </c>
      <c r="N89" s="5" t="inlineStr">
        <is>
          <t>YES</t>
        </is>
      </c>
    </row>
    <row r="90">
      <c r="A90" s="6" t="n">
        <v>215</v>
      </c>
      <c r="B90" s="5" t="inlineStr">
        <is>
          <t>S3</t>
        </is>
      </c>
      <c r="C90" s="5" t="inlineStr">
        <is>
          <t>3: Redox-, glucose-, and mixed-stimulus adaptive hydrogels</t>
        </is>
      </c>
      <c r="D90" s="5" t="inlineStr">
        <is>
          <t>Glucose/ROS-responsive and redox-gated adaptive hydrogel dressing for accelerating diabetic wound repair via synergistic cGAS/STING pathway inhibition and oxidative stress alleviation</t>
        </is>
      </c>
      <c r="E90" s="5" t="inlineStr">
        <is>
          <t>10.1016/j.bioactmat.2026.03.025</t>
        </is>
      </c>
      <c r="F90" s="5" t="inlineStr">
        <is>
          <t>Mixed-stimulus adaptive hydrogels</t>
        </is>
      </c>
      <c r="G90" s="5" t="inlineStr">
        <is>
          <t>Wound-area trajectory</t>
        </is>
      </c>
      <c r="H90" s="6" t="inlineStr">
        <is>
          <t>1</t>
        </is>
      </c>
      <c r="K90" s="5" t="inlineStr">
        <is>
          <t xml:space="preserve">; </t>
        </is>
      </c>
      <c r="M90" s="5" t="inlineStr">
        <is>
          <t>100.0</t>
        </is>
      </c>
      <c r="N90" s="5" t="inlineStr">
        <is>
          <t>YES</t>
        </is>
      </c>
    </row>
    <row r="91">
      <c r="A91" s="6" t="n">
        <v>215</v>
      </c>
      <c r="B91" s="5" t="inlineStr">
        <is>
          <t>S3</t>
        </is>
      </c>
      <c r="C91" s="5" t="inlineStr">
        <is>
          <t>3: Redox-, glucose-, and mixed-stimulus adaptive hydrogels</t>
        </is>
      </c>
      <c r="D91" s="5" t="inlineStr">
        <is>
          <t>Glucose/ROS-responsive and redox-gated adaptive hydrogel dressing for accelerating diabetic wound repair via synergistic cGAS/STING pathway inhibition and oxidative stress alleviation</t>
        </is>
      </c>
      <c r="E91" s="5" t="inlineStr">
        <is>
          <t>10.1016/j.bioactmat.2026.03.025</t>
        </is>
      </c>
      <c r="F91" s="5" t="inlineStr">
        <is>
          <t>Mixed-stimulus adaptive hydrogels</t>
        </is>
      </c>
      <c r="G91" s="5" t="inlineStr">
        <is>
          <t>Safety or cytocompatibility</t>
        </is>
      </c>
      <c r="H91" s="6" t="inlineStr">
        <is>
          <t>1</t>
        </is>
      </c>
      <c r="K91" s="5" t="inlineStr">
        <is>
          <t xml:space="preserve">; </t>
        </is>
      </c>
      <c r="M91" s="5" t="inlineStr">
        <is>
          <t>100.0</t>
        </is>
      </c>
      <c r="N91" s="5" t="inlineStr">
        <is>
          <t>YES</t>
        </is>
      </c>
    </row>
    <row r="92">
      <c r="A92" s="6" t="n">
        <v>217</v>
      </c>
      <c r="B92" s="5" t="inlineStr">
        <is>
          <t>S3</t>
        </is>
      </c>
      <c r="C92" s="5" t="inlineStr">
        <is>
          <t>4: Enzyme-activated infection and remodeling depots</t>
        </is>
      </c>
      <c r="D92" s="5" t="inlineStr">
        <is>
          <t>ADSC-exo@ MMP-PEG smart hydrogel promotes diabetic wound healing by optimizing cellular functions and relieving oxidative stress</t>
        </is>
      </c>
      <c r="E92" s="5" t="inlineStr">
        <is>
          <t>10.1016/j.mtbio.2022.100365</t>
        </is>
      </c>
      <c r="F92" s="5" t="inlineStr">
        <is>
          <t>Enzyme-activated infection/remodeling depots</t>
        </is>
      </c>
      <c r="G92" s="5" t="inlineStr">
        <is>
          <t>Material properties</t>
        </is>
      </c>
      <c r="H92" s="6" t="inlineStr">
        <is>
          <t>1</t>
        </is>
      </c>
      <c r="K92" s="5" t="inlineStr">
        <is>
          <t xml:space="preserve">; </t>
        </is>
      </c>
      <c r="M92" s="5" t="inlineStr">
        <is>
          <t>100.0</t>
        </is>
      </c>
      <c r="N92" s="5" t="inlineStr">
        <is>
          <t>YES</t>
        </is>
      </c>
    </row>
    <row r="93">
      <c r="A93" s="6" t="n">
        <v>217</v>
      </c>
      <c r="B93" s="5" t="inlineStr">
        <is>
          <t>S3</t>
        </is>
      </c>
      <c r="C93" s="5" t="inlineStr">
        <is>
          <t>4: Enzyme-activated infection and remodeling depots</t>
        </is>
      </c>
      <c r="D93" s="5" t="inlineStr">
        <is>
          <t>ADSC-exo@ MMP-PEG smart hydrogel promotes diabetic wound healing by optimizing cellular functions and relieving oxidative stress</t>
        </is>
      </c>
      <c r="E93" s="5" t="inlineStr">
        <is>
          <t>10.1016/j.mtbio.2022.100365</t>
        </is>
      </c>
      <c r="F93" s="5" t="inlineStr">
        <is>
          <t>Enzyme-activated infection/remodeling depots</t>
        </is>
      </c>
      <c r="G93" s="5" t="inlineStr">
        <is>
          <t>Release or activation kinetics</t>
        </is>
      </c>
      <c r="H93" s="6" t="inlineStr">
        <is>
          <t>1</t>
        </is>
      </c>
      <c r="K93" s="5" t="inlineStr">
        <is>
          <t xml:space="preserve">; </t>
        </is>
      </c>
      <c r="M93" s="5" t="inlineStr">
        <is>
          <t>100.0</t>
        </is>
      </c>
      <c r="N93" s="5" t="inlineStr">
        <is>
          <t>YES</t>
        </is>
      </c>
    </row>
    <row r="94">
      <c r="A94" s="6" t="n">
        <v>217</v>
      </c>
      <c r="B94" s="5" t="inlineStr">
        <is>
          <t>S3</t>
        </is>
      </c>
      <c r="C94" s="5" t="inlineStr">
        <is>
          <t>4: Enzyme-activated infection and remodeling depots</t>
        </is>
      </c>
      <c r="D94" s="5" t="inlineStr">
        <is>
          <t>ADSC-exo@ MMP-PEG smart hydrogel promotes diabetic wound healing by optimizing cellular functions and relieving oxidative stress</t>
        </is>
      </c>
      <c r="E94" s="5" t="inlineStr">
        <is>
          <t>10.1016/j.mtbio.2022.100365</t>
        </is>
      </c>
      <c r="F94" s="5" t="inlineStr">
        <is>
          <t>Enzyme-activated infection/remodeling depots</t>
        </is>
      </c>
      <c r="G94" s="5" t="inlineStr">
        <is>
          <t>Antimicrobial or biofilm</t>
        </is>
      </c>
      <c r="H94" s="6" t="inlineStr">
        <is>
          <t>1</t>
        </is>
      </c>
      <c r="K94" s="5" t="inlineStr">
        <is>
          <t xml:space="preserve">; </t>
        </is>
      </c>
      <c r="M94" s="5" t="inlineStr">
        <is>
          <t>100.0</t>
        </is>
      </c>
      <c r="N94" s="5" t="inlineStr">
        <is>
          <t>YES</t>
        </is>
      </c>
    </row>
    <row r="95">
      <c r="A95" s="6" t="n">
        <v>217</v>
      </c>
      <c r="B95" s="5" t="inlineStr">
        <is>
          <t>S3</t>
        </is>
      </c>
      <c r="C95" s="5" t="inlineStr">
        <is>
          <t>4: Enzyme-activated infection and remodeling depots</t>
        </is>
      </c>
      <c r="D95" s="5" t="inlineStr">
        <is>
          <t>ADSC-exo@ MMP-PEG smart hydrogel promotes diabetic wound healing by optimizing cellular functions and relieving oxidative stress</t>
        </is>
      </c>
      <c r="E95" s="5" t="inlineStr">
        <is>
          <t>10.1016/j.mtbio.2022.100365</t>
        </is>
      </c>
      <c r="F95" s="5" t="inlineStr">
        <is>
          <t>Enzyme-activated infection/remodeling depots</t>
        </is>
      </c>
      <c r="G95" s="5" t="inlineStr">
        <is>
          <t>ROS, oxidative, or metabolic</t>
        </is>
      </c>
      <c r="H95" s="6" t="inlineStr">
        <is>
          <t>1</t>
        </is>
      </c>
      <c r="K95" s="5" t="inlineStr">
        <is>
          <t xml:space="preserve">; </t>
        </is>
      </c>
      <c r="M95" s="5" t="inlineStr">
        <is>
          <t>100.0</t>
        </is>
      </c>
      <c r="N95" s="5" t="inlineStr">
        <is>
          <t>YES</t>
        </is>
      </c>
    </row>
    <row r="96">
      <c r="A96" s="6" t="n">
        <v>217</v>
      </c>
      <c r="B96" s="5" t="inlineStr">
        <is>
          <t>S3</t>
        </is>
      </c>
      <c r="C96" s="5" t="inlineStr">
        <is>
          <t>4: Enzyme-activated infection and remodeling depots</t>
        </is>
      </c>
      <c r="D96" s="5" t="inlineStr">
        <is>
          <t>ADSC-exo@ MMP-PEG smart hydrogel promotes diabetic wound healing by optimizing cellular functions and relieving oxidative stress</t>
        </is>
      </c>
      <c r="E96" s="5" t="inlineStr">
        <is>
          <t>10.1016/j.mtbio.2022.100365</t>
        </is>
      </c>
      <c r="F96" s="5" t="inlineStr">
        <is>
          <t>Enzyme-activated infection/remodeling depots</t>
        </is>
      </c>
      <c r="G96" s="5" t="inlineStr">
        <is>
          <t>Immune, cytokine, or macrophage</t>
        </is>
      </c>
      <c r="H96" s="6" t="inlineStr">
        <is>
          <t>0</t>
        </is>
      </c>
      <c r="K96" s="5" t="inlineStr">
        <is>
          <t xml:space="preserve">; </t>
        </is>
      </c>
      <c r="M96" s="5" t="inlineStr">
        <is>
          <t>100.0</t>
        </is>
      </c>
      <c r="N96" s="5" t="inlineStr">
        <is>
          <t>YES</t>
        </is>
      </c>
    </row>
    <row r="97">
      <c r="A97" s="6" t="n">
        <v>217</v>
      </c>
      <c r="B97" s="5" t="inlineStr">
        <is>
          <t>S3</t>
        </is>
      </c>
      <c r="C97" s="5" t="inlineStr">
        <is>
          <t>4: Enzyme-activated infection and remodeling depots</t>
        </is>
      </c>
      <c r="D97" s="5" t="inlineStr">
        <is>
          <t>ADSC-exo@ MMP-PEG smart hydrogel promotes diabetic wound healing by optimizing cellular functions and relieving oxidative stress</t>
        </is>
      </c>
      <c r="E97" s="5" t="inlineStr">
        <is>
          <t>10.1016/j.mtbio.2022.100365</t>
        </is>
      </c>
      <c r="F97" s="5" t="inlineStr">
        <is>
          <t>Enzyme-activated infection/remodeling depots</t>
        </is>
      </c>
      <c r="G97" s="5" t="inlineStr">
        <is>
          <t>Angiogenic or vascular</t>
        </is>
      </c>
      <c r="H97" s="6" t="inlineStr">
        <is>
          <t>1</t>
        </is>
      </c>
      <c r="K97" s="5" t="inlineStr">
        <is>
          <t xml:space="preserve">; </t>
        </is>
      </c>
      <c r="M97" s="5" t="inlineStr">
        <is>
          <t>100.0</t>
        </is>
      </c>
      <c r="N97" s="5" t="inlineStr">
        <is>
          <t>YES</t>
        </is>
      </c>
    </row>
    <row r="98">
      <c r="A98" s="6" t="n">
        <v>217</v>
      </c>
      <c r="B98" s="5" t="inlineStr">
        <is>
          <t>S3</t>
        </is>
      </c>
      <c r="C98" s="5" t="inlineStr">
        <is>
          <t>4: Enzyme-activated infection and remodeling depots</t>
        </is>
      </c>
      <c r="D98" s="5" t="inlineStr">
        <is>
          <t>ADSC-exo@ MMP-PEG smart hydrogel promotes diabetic wound healing by optimizing cellular functions and relieving oxidative stress</t>
        </is>
      </c>
      <c r="E98" s="5" t="inlineStr">
        <is>
          <t>10.1016/j.mtbio.2022.100365</t>
        </is>
      </c>
      <c r="F98" s="5" t="inlineStr">
        <is>
          <t>Enzyme-activated infection/remodeling depots</t>
        </is>
      </c>
      <c r="G98" s="5" t="inlineStr">
        <is>
          <t>Histology, collagen, or matrix repair</t>
        </is>
      </c>
      <c r="H98" s="6" t="inlineStr">
        <is>
          <t>1</t>
        </is>
      </c>
      <c r="K98" s="5" t="inlineStr">
        <is>
          <t xml:space="preserve">; </t>
        </is>
      </c>
      <c r="M98" s="5" t="inlineStr">
        <is>
          <t>100.0</t>
        </is>
      </c>
      <c r="N98" s="5" t="inlineStr">
        <is>
          <t>YES</t>
        </is>
      </c>
    </row>
    <row r="99">
      <c r="A99" s="6" t="n">
        <v>217</v>
      </c>
      <c r="B99" s="5" t="inlineStr">
        <is>
          <t>S3</t>
        </is>
      </c>
      <c r="C99" s="5" t="inlineStr">
        <is>
          <t>4: Enzyme-activated infection and remodeling depots</t>
        </is>
      </c>
      <c r="D99" s="5" t="inlineStr">
        <is>
          <t>ADSC-exo@ MMP-PEG smart hydrogel promotes diabetic wound healing by optimizing cellular functions and relieving oxidative stress</t>
        </is>
      </c>
      <c r="E99" s="5" t="inlineStr">
        <is>
          <t>10.1016/j.mtbio.2022.100365</t>
        </is>
      </c>
      <c r="F99" s="5" t="inlineStr">
        <is>
          <t>Enzyme-activated infection/remodeling depots</t>
        </is>
      </c>
      <c r="G99" s="5" t="inlineStr">
        <is>
          <t>Wound-area trajectory</t>
        </is>
      </c>
      <c r="H99" s="6" t="inlineStr">
        <is>
          <t>1</t>
        </is>
      </c>
      <c r="K99" s="5" t="inlineStr">
        <is>
          <t xml:space="preserve">; </t>
        </is>
      </c>
      <c r="M99" s="5" t="inlineStr">
        <is>
          <t>100.0</t>
        </is>
      </c>
      <c r="N99" s="5" t="inlineStr">
        <is>
          <t>YES</t>
        </is>
      </c>
    </row>
    <row r="100">
      <c r="A100" s="6" t="n">
        <v>217</v>
      </c>
      <c r="B100" s="5" t="inlineStr">
        <is>
          <t>S3</t>
        </is>
      </c>
      <c r="C100" s="5" t="inlineStr">
        <is>
          <t>4: Enzyme-activated infection and remodeling depots</t>
        </is>
      </c>
      <c r="D100" s="5" t="inlineStr">
        <is>
          <t>ADSC-exo@ MMP-PEG smart hydrogel promotes diabetic wound healing by optimizing cellular functions and relieving oxidative stress</t>
        </is>
      </c>
      <c r="E100" s="5" t="inlineStr">
        <is>
          <t>10.1016/j.mtbio.2022.100365</t>
        </is>
      </c>
      <c r="F100" s="5" t="inlineStr">
        <is>
          <t>Enzyme-activated infection/remodeling depots</t>
        </is>
      </c>
      <c r="G100" s="5" t="inlineStr">
        <is>
          <t>Safety or cytocompatibility</t>
        </is>
      </c>
      <c r="H100" s="6" t="inlineStr">
        <is>
          <t>1</t>
        </is>
      </c>
      <c r="K100" s="5" t="inlineStr">
        <is>
          <t xml:space="preserve">; </t>
        </is>
      </c>
      <c r="M100" s="5" t="inlineStr">
        <is>
          <t>100.0</t>
        </is>
      </c>
      <c r="N100" s="5" t="inlineStr">
        <is>
          <t>YES</t>
        </is>
      </c>
    </row>
    <row r="101">
      <c r="A101" s="6" t="n">
        <v>219</v>
      </c>
      <c r="B101" s="5" t="inlineStr">
        <is>
          <t>S3</t>
        </is>
      </c>
      <c r="C101" s="5" t="inlineStr">
        <is>
          <t>2: Acidic pH-switching adhesive and release matrices</t>
        </is>
      </c>
      <c r="D101" s="5" t="inlineStr">
        <is>
          <t>A dual pH-and temperature-responsive hydrogel produced in situ crosslinking of cyclodextrin-cellulose for wound healing</t>
        </is>
      </c>
      <c r="E101" s="5" t="inlineStr">
        <is>
          <t>10.1016/j.ijbiomac.2023.126693</t>
        </is>
      </c>
      <c r="F101" s="5" t="inlineStr">
        <is>
          <t>Acidic pH-switching release matrices</t>
        </is>
      </c>
      <c r="G101" s="5" t="inlineStr">
        <is>
          <t>Material properties</t>
        </is>
      </c>
      <c r="H101" s="6" t="inlineStr">
        <is>
          <t>1</t>
        </is>
      </c>
      <c r="K101" s="5" t="inlineStr">
        <is>
          <t xml:space="preserve">; </t>
        </is>
      </c>
      <c r="M101" s="5" t="inlineStr">
        <is>
          <t>100.0</t>
        </is>
      </c>
      <c r="N101" s="5" t="inlineStr">
        <is>
          <t>YES</t>
        </is>
      </c>
    </row>
    <row r="102">
      <c r="A102" s="6" t="n">
        <v>219</v>
      </c>
      <c r="B102" s="5" t="inlineStr">
        <is>
          <t>S3</t>
        </is>
      </c>
      <c r="C102" s="5" t="inlineStr">
        <is>
          <t>2: Acidic pH-switching adhesive and release matrices</t>
        </is>
      </c>
      <c r="D102" s="5" t="inlineStr">
        <is>
          <t>A dual pH-and temperature-responsive hydrogel produced in situ crosslinking of cyclodextrin-cellulose for wound healing</t>
        </is>
      </c>
      <c r="E102" s="5" t="inlineStr">
        <is>
          <t>10.1016/j.ijbiomac.2023.126693</t>
        </is>
      </c>
      <c r="F102" s="5" t="inlineStr">
        <is>
          <t>Acidic pH-switching release matrices</t>
        </is>
      </c>
      <c r="G102" s="5" t="inlineStr">
        <is>
          <t>Release or activation kinetics</t>
        </is>
      </c>
      <c r="H102" s="6" t="inlineStr">
        <is>
          <t>1</t>
        </is>
      </c>
      <c r="K102" s="5" t="inlineStr">
        <is>
          <t xml:space="preserve">; </t>
        </is>
      </c>
      <c r="M102" s="5" t="inlineStr">
        <is>
          <t>100.0</t>
        </is>
      </c>
      <c r="N102" s="5" t="inlineStr">
        <is>
          <t>YES</t>
        </is>
      </c>
    </row>
    <row r="103">
      <c r="A103" s="6" t="n">
        <v>219</v>
      </c>
      <c r="B103" s="5" t="inlineStr">
        <is>
          <t>S3</t>
        </is>
      </c>
      <c r="C103" s="5" t="inlineStr">
        <is>
          <t>2: Acidic pH-switching adhesive and release matrices</t>
        </is>
      </c>
      <c r="D103" s="5" t="inlineStr">
        <is>
          <t>A dual pH-and temperature-responsive hydrogel produced in situ crosslinking of cyclodextrin-cellulose for wound healing</t>
        </is>
      </c>
      <c r="E103" s="5" t="inlineStr">
        <is>
          <t>10.1016/j.ijbiomac.2023.126693</t>
        </is>
      </c>
      <c r="F103" s="5" t="inlineStr">
        <is>
          <t>Acidic pH-switching release matrices</t>
        </is>
      </c>
      <c r="G103" s="5" t="inlineStr">
        <is>
          <t>Antimicrobial or biofilm</t>
        </is>
      </c>
      <c r="H103" s="6" t="inlineStr">
        <is>
          <t>1</t>
        </is>
      </c>
      <c r="K103" s="5" t="inlineStr">
        <is>
          <t xml:space="preserve">; </t>
        </is>
      </c>
      <c r="M103" s="5" t="inlineStr">
        <is>
          <t>100.0</t>
        </is>
      </c>
      <c r="N103" s="5" t="inlineStr">
        <is>
          <t>YES</t>
        </is>
      </c>
    </row>
    <row r="104">
      <c r="A104" s="6" t="n">
        <v>219</v>
      </c>
      <c r="B104" s="5" t="inlineStr">
        <is>
          <t>S3</t>
        </is>
      </c>
      <c r="C104" s="5" t="inlineStr">
        <is>
          <t>2: Acidic pH-switching adhesive and release matrices</t>
        </is>
      </c>
      <c r="D104" s="5" t="inlineStr">
        <is>
          <t>A dual pH-and temperature-responsive hydrogel produced in situ crosslinking of cyclodextrin-cellulose for wound healing</t>
        </is>
      </c>
      <c r="E104" s="5" t="inlineStr">
        <is>
          <t>10.1016/j.ijbiomac.2023.126693</t>
        </is>
      </c>
      <c r="F104" s="5" t="inlineStr">
        <is>
          <t>Acidic pH-switching release matrices</t>
        </is>
      </c>
      <c r="G104" s="5" t="inlineStr">
        <is>
          <t>ROS, oxidative, or metabolic</t>
        </is>
      </c>
      <c r="H104" s="6" t="inlineStr">
        <is>
          <t>1</t>
        </is>
      </c>
      <c r="K104" s="5" t="inlineStr">
        <is>
          <t xml:space="preserve">; </t>
        </is>
      </c>
      <c r="M104" s="5" t="inlineStr">
        <is>
          <t>100.0</t>
        </is>
      </c>
      <c r="N104" s="5" t="inlineStr">
        <is>
          <t>YES</t>
        </is>
      </c>
    </row>
    <row r="105">
      <c r="A105" s="6" t="n">
        <v>219</v>
      </c>
      <c r="B105" s="5" t="inlineStr">
        <is>
          <t>S3</t>
        </is>
      </c>
      <c r="C105" s="5" t="inlineStr">
        <is>
          <t>2: Acidic pH-switching adhesive and release matrices</t>
        </is>
      </c>
      <c r="D105" s="5" t="inlineStr">
        <is>
          <t>A dual pH-and temperature-responsive hydrogel produced in situ crosslinking of cyclodextrin-cellulose for wound healing</t>
        </is>
      </c>
      <c r="E105" s="5" t="inlineStr">
        <is>
          <t>10.1016/j.ijbiomac.2023.126693</t>
        </is>
      </c>
      <c r="F105" s="5" t="inlineStr">
        <is>
          <t>Acidic pH-switching release matrices</t>
        </is>
      </c>
      <c r="G105" s="5" t="inlineStr">
        <is>
          <t>Immune, cytokine, or macrophage</t>
        </is>
      </c>
      <c r="H105" s="6" t="inlineStr">
        <is>
          <t>1</t>
        </is>
      </c>
      <c r="K105" s="5" t="inlineStr">
        <is>
          <t xml:space="preserve">; </t>
        </is>
      </c>
      <c r="M105" s="5" t="inlineStr">
        <is>
          <t>100.0</t>
        </is>
      </c>
      <c r="N105" s="5" t="inlineStr">
        <is>
          <t>YES</t>
        </is>
      </c>
    </row>
    <row r="106">
      <c r="A106" s="6" t="n">
        <v>219</v>
      </c>
      <c r="B106" s="5" t="inlineStr">
        <is>
          <t>S3</t>
        </is>
      </c>
      <c r="C106" s="5" t="inlineStr">
        <is>
          <t>2: Acidic pH-switching adhesive and release matrices</t>
        </is>
      </c>
      <c r="D106" s="5" t="inlineStr">
        <is>
          <t>A dual pH-and temperature-responsive hydrogel produced in situ crosslinking of cyclodextrin-cellulose for wound healing</t>
        </is>
      </c>
      <c r="E106" s="5" t="inlineStr">
        <is>
          <t>10.1016/j.ijbiomac.2023.126693</t>
        </is>
      </c>
      <c r="F106" s="5" t="inlineStr">
        <is>
          <t>Acidic pH-switching release matrices</t>
        </is>
      </c>
      <c r="G106" s="5" t="inlineStr">
        <is>
          <t>Angiogenic or vascular</t>
        </is>
      </c>
      <c r="H106" s="6" t="inlineStr">
        <is>
          <t>0</t>
        </is>
      </c>
      <c r="K106" s="5" t="inlineStr">
        <is>
          <t xml:space="preserve">; </t>
        </is>
      </c>
      <c r="M106" s="5" t="inlineStr">
        <is>
          <t>100.0</t>
        </is>
      </c>
      <c r="N106" s="5" t="inlineStr">
        <is>
          <t>YES</t>
        </is>
      </c>
    </row>
    <row r="107">
      <c r="A107" s="6" t="n">
        <v>219</v>
      </c>
      <c r="B107" s="5" t="inlineStr">
        <is>
          <t>S3</t>
        </is>
      </c>
      <c r="C107" s="5" t="inlineStr">
        <is>
          <t>2: Acidic pH-switching adhesive and release matrices</t>
        </is>
      </c>
      <c r="D107" s="5" t="inlineStr">
        <is>
          <t>A dual pH-and temperature-responsive hydrogel produced in situ crosslinking of cyclodextrin-cellulose for wound healing</t>
        </is>
      </c>
      <c r="E107" s="5" t="inlineStr">
        <is>
          <t>10.1016/j.ijbiomac.2023.126693</t>
        </is>
      </c>
      <c r="F107" s="5" t="inlineStr">
        <is>
          <t>Acidic pH-switching release matrices</t>
        </is>
      </c>
      <c r="G107" s="5" t="inlineStr">
        <is>
          <t>Histology, collagen, or matrix repair</t>
        </is>
      </c>
      <c r="H107" s="6" t="inlineStr">
        <is>
          <t>1</t>
        </is>
      </c>
      <c r="K107" s="5" t="inlineStr">
        <is>
          <t xml:space="preserve">; </t>
        </is>
      </c>
      <c r="M107" s="5" t="inlineStr">
        <is>
          <t>100.0</t>
        </is>
      </c>
      <c r="N107" s="5" t="inlineStr">
        <is>
          <t>YES</t>
        </is>
      </c>
    </row>
    <row r="108">
      <c r="A108" s="6" t="n">
        <v>219</v>
      </c>
      <c r="B108" s="5" t="inlineStr">
        <is>
          <t>S3</t>
        </is>
      </c>
      <c r="C108" s="5" t="inlineStr">
        <is>
          <t>2: Acidic pH-switching adhesive and release matrices</t>
        </is>
      </c>
      <c r="D108" s="5" t="inlineStr">
        <is>
          <t>A dual pH-and temperature-responsive hydrogel produced in situ crosslinking of cyclodextrin-cellulose for wound healing</t>
        </is>
      </c>
      <c r="E108" s="5" t="inlineStr">
        <is>
          <t>10.1016/j.ijbiomac.2023.126693</t>
        </is>
      </c>
      <c r="F108" s="5" t="inlineStr">
        <is>
          <t>Acidic pH-switching release matrices</t>
        </is>
      </c>
      <c r="G108" s="5" t="inlineStr">
        <is>
          <t>Wound-area trajectory</t>
        </is>
      </c>
      <c r="H108" s="6" t="inlineStr">
        <is>
          <t>1</t>
        </is>
      </c>
      <c r="K108" s="5" t="inlineStr">
        <is>
          <t xml:space="preserve">; </t>
        </is>
      </c>
      <c r="M108" s="5" t="inlineStr">
        <is>
          <t>100.0</t>
        </is>
      </c>
      <c r="N108" s="5" t="inlineStr">
        <is>
          <t>YES</t>
        </is>
      </c>
    </row>
    <row r="109">
      <c r="A109" s="6" t="n">
        <v>219</v>
      </c>
      <c r="B109" s="5" t="inlineStr">
        <is>
          <t>S3</t>
        </is>
      </c>
      <c r="C109" s="5" t="inlineStr">
        <is>
          <t>2: Acidic pH-switching adhesive and release matrices</t>
        </is>
      </c>
      <c r="D109" s="5" t="inlineStr">
        <is>
          <t>A dual pH-and temperature-responsive hydrogel produced in situ crosslinking of cyclodextrin-cellulose for wound healing</t>
        </is>
      </c>
      <c r="E109" s="5" t="inlineStr">
        <is>
          <t>10.1016/j.ijbiomac.2023.126693</t>
        </is>
      </c>
      <c r="F109" s="5" t="inlineStr">
        <is>
          <t>Acidic pH-switching release matrices</t>
        </is>
      </c>
      <c r="G109" s="5" t="inlineStr">
        <is>
          <t>Safety or cytocompatibility</t>
        </is>
      </c>
      <c r="H109" s="6" t="inlineStr">
        <is>
          <t>1</t>
        </is>
      </c>
      <c r="K109" s="5" t="inlineStr">
        <is>
          <t xml:space="preserve">; </t>
        </is>
      </c>
      <c r="M109" s="5" t="inlineStr">
        <is>
          <t>100.0</t>
        </is>
      </c>
      <c r="N109" s="5" t="inlineStr">
        <is>
          <t>YES</t>
        </is>
      </c>
    </row>
    <row r="110">
      <c r="A110" s="6" t="n">
        <v>221</v>
      </c>
      <c r="B110" s="5" t="inlineStr">
        <is>
          <t>S3</t>
        </is>
      </c>
      <c r="C110" s="5" t="inlineStr">
        <is>
          <t>5: Thermogelling and externally actuated antimicrobial-regenerative systems</t>
        </is>
      </c>
      <c r="D110" s="5" t="inlineStr">
        <is>
          <t>Temperature-Responsive Hydrogel Delivery of Antimicrobial Peptide Engineered Watermelon-Derived Extracellular Vesicles Enables Sequential Infection Control and Wound Healing</t>
        </is>
      </c>
      <c r="E110" s="5" t="inlineStr">
        <is>
          <t>10.1016/j.colsurfb.2026.115438</t>
        </is>
      </c>
      <c r="F110" s="5" t="inlineStr">
        <is>
          <t>Thermogelling or externally actuated systems</t>
        </is>
      </c>
      <c r="G110" s="5" t="inlineStr">
        <is>
          <t>Material properties</t>
        </is>
      </c>
      <c r="H110" s="6" t="inlineStr">
        <is>
          <t>1</t>
        </is>
      </c>
      <c r="K110" s="5" t="inlineStr">
        <is>
          <t xml:space="preserve">; </t>
        </is>
      </c>
      <c r="M110" s="5" t="inlineStr">
        <is>
          <t>100.0</t>
        </is>
      </c>
      <c r="N110" s="5" t="inlineStr">
        <is>
          <t>YES</t>
        </is>
      </c>
    </row>
    <row r="111">
      <c r="A111" s="6" t="n">
        <v>221</v>
      </c>
      <c r="B111" s="5" t="inlineStr">
        <is>
          <t>S3</t>
        </is>
      </c>
      <c r="C111" s="5" t="inlineStr">
        <is>
          <t>5: Thermogelling and externally actuated antimicrobial-regenerative systems</t>
        </is>
      </c>
      <c r="D111" s="5" t="inlineStr">
        <is>
          <t>Temperature-Responsive Hydrogel Delivery of Antimicrobial Peptide Engineered Watermelon-Derived Extracellular Vesicles Enables Sequential Infection Control and Wound Healing</t>
        </is>
      </c>
      <c r="E111" s="5" t="inlineStr">
        <is>
          <t>10.1016/j.colsurfb.2026.115438</t>
        </is>
      </c>
      <c r="F111" s="5" t="inlineStr">
        <is>
          <t>Thermogelling or externally actuated systems</t>
        </is>
      </c>
      <c r="G111" s="5" t="inlineStr">
        <is>
          <t>Release or activation kinetics</t>
        </is>
      </c>
      <c r="H111" s="6" t="inlineStr">
        <is>
          <t>1</t>
        </is>
      </c>
      <c r="K111" s="5" t="inlineStr">
        <is>
          <t xml:space="preserve">; </t>
        </is>
      </c>
      <c r="M111" s="5" t="inlineStr">
        <is>
          <t>100.0</t>
        </is>
      </c>
      <c r="N111" s="5" t="inlineStr">
        <is>
          <t>YES</t>
        </is>
      </c>
    </row>
    <row r="112">
      <c r="A112" s="6" t="n">
        <v>221</v>
      </c>
      <c r="B112" s="5" t="inlineStr">
        <is>
          <t>S3</t>
        </is>
      </c>
      <c r="C112" s="5" t="inlineStr">
        <is>
          <t>5: Thermogelling and externally actuated antimicrobial-regenerative systems</t>
        </is>
      </c>
      <c r="D112" s="5" t="inlineStr">
        <is>
          <t>Temperature-Responsive Hydrogel Delivery of Antimicrobial Peptide Engineered Watermelon-Derived Extracellular Vesicles Enables Sequential Infection Control and Wound Healing</t>
        </is>
      </c>
      <c r="E112" s="5" t="inlineStr">
        <is>
          <t>10.1016/j.colsurfb.2026.115438</t>
        </is>
      </c>
      <c r="F112" s="5" t="inlineStr">
        <is>
          <t>Thermogelling or externally actuated systems</t>
        </is>
      </c>
      <c r="G112" s="5" t="inlineStr">
        <is>
          <t>Antimicrobial or biofilm</t>
        </is>
      </c>
      <c r="H112" s="6" t="inlineStr">
        <is>
          <t>1</t>
        </is>
      </c>
      <c r="K112" s="5" t="inlineStr">
        <is>
          <t xml:space="preserve">; </t>
        </is>
      </c>
      <c r="M112" s="5" t="inlineStr">
        <is>
          <t>100.0</t>
        </is>
      </c>
      <c r="N112" s="5" t="inlineStr">
        <is>
          <t>YES</t>
        </is>
      </c>
    </row>
    <row r="113">
      <c r="A113" s="6" t="n">
        <v>221</v>
      </c>
      <c r="B113" s="5" t="inlineStr">
        <is>
          <t>S3</t>
        </is>
      </c>
      <c r="C113" s="5" t="inlineStr">
        <is>
          <t>5: Thermogelling and externally actuated antimicrobial-regenerative systems</t>
        </is>
      </c>
      <c r="D113" s="5" t="inlineStr">
        <is>
          <t>Temperature-Responsive Hydrogel Delivery of Antimicrobial Peptide Engineered Watermelon-Derived Extracellular Vesicles Enables Sequential Infection Control and Wound Healing</t>
        </is>
      </c>
      <c r="E113" s="5" t="inlineStr">
        <is>
          <t>10.1016/j.colsurfb.2026.115438</t>
        </is>
      </c>
      <c r="F113" s="5" t="inlineStr">
        <is>
          <t>Thermogelling or externally actuated systems</t>
        </is>
      </c>
      <c r="G113" s="5" t="inlineStr">
        <is>
          <t>ROS, oxidative, or metabolic</t>
        </is>
      </c>
      <c r="H113" s="6" t="inlineStr">
        <is>
          <t>1</t>
        </is>
      </c>
      <c r="K113" s="5" t="inlineStr">
        <is>
          <t xml:space="preserve">; </t>
        </is>
      </c>
      <c r="M113" s="5" t="inlineStr">
        <is>
          <t>100.0</t>
        </is>
      </c>
      <c r="N113" s="5" t="inlineStr">
        <is>
          <t>YES</t>
        </is>
      </c>
    </row>
    <row r="114">
      <c r="A114" s="6" t="n">
        <v>221</v>
      </c>
      <c r="B114" s="5" t="inlineStr">
        <is>
          <t>S3</t>
        </is>
      </c>
      <c r="C114" s="5" t="inlineStr">
        <is>
          <t>5: Thermogelling and externally actuated antimicrobial-regenerative systems</t>
        </is>
      </c>
      <c r="D114" s="5" t="inlineStr">
        <is>
          <t>Temperature-Responsive Hydrogel Delivery of Antimicrobial Peptide Engineered Watermelon-Derived Extracellular Vesicles Enables Sequential Infection Control and Wound Healing</t>
        </is>
      </c>
      <c r="E114" s="5" t="inlineStr">
        <is>
          <t>10.1016/j.colsurfb.2026.115438</t>
        </is>
      </c>
      <c r="F114" s="5" t="inlineStr">
        <is>
          <t>Thermogelling or externally actuated systems</t>
        </is>
      </c>
      <c r="G114" s="5" t="inlineStr">
        <is>
          <t>Immune, cytokine, or macrophage</t>
        </is>
      </c>
      <c r="H114" s="6" t="inlineStr">
        <is>
          <t>1</t>
        </is>
      </c>
      <c r="K114" s="5" t="inlineStr">
        <is>
          <t xml:space="preserve">; </t>
        </is>
      </c>
      <c r="M114" s="5" t="inlineStr">
        <is>
          <t>100.0</t>
        </is>
      </c>
      <c r="N114" s="5" t="inlineStr">
        <is>
          <t>YES</t>
        </is>
      </c>
    </row>
    <row r="115">
      <c r="A115" s="6" t="n">
        <v>221</v>
      </c>
      <c r="B115" s="5" t="inlineStr">
        <is>
          <t>S3</t>
        </is>
      </c>
      <c r="C115" s="5" t="inlineStr">
        <is>
          <t>5: Thermogelling and externally actuated antimicrobial-regenerative systems</t>
        </is>
      </c>
      <c r="D115" s="5" t="inlineStr">
        <is>
          <t>Temperature-Responsive Hydrogel Delivery of Antimicrobial Peptide Engineered Watermelon-Derived Extracellular Vesicles Enables Sequential Infection Control and Wound Healing</t>
        </is>
      </c>
      <c r="E115" s="5" t="inlineStr">
        <is>
          <t>10.1016/j.colsurfb.2026.115438</t>
        </is>
      </c>
      <c r="F115" s="5" t="inlineStr">
        <is>
          <t>Thermogelling or externally actuated systems</t>
        </is>
      </c>
      <c r="G115" s="5" t="inlineStr">
        <is>
          <t>Angiogenic or vascular</t>
        </is>
      </c>
      <c r="H115" s="6" t="inlineStr">
        <is>
          <t>0</t>
        </is>
      </c>
      <c r="K115" s="5" t="inlineStr">
        <is>
          <t xml:space="preserve">; </t>
        </is>
      </c>
      <c r="M115" s="5" t="inlineStr">
        <is>
          <t>100.0</t>
        </is>
      </c>
      <c r="N115" s="5" t="inlineStr">
        <is>
          <t>YES</t>
        </is>
      </c>
    </row>
    <row r="116">
      <c r="A116" s="6" t="n">
        <v>221</v>
      </c>
      <c r="B116" s="5" t="inlineStr">
        <is>
          <t>S3</t>
        </is>
      </c>
      <c r="C116" s="5" t="inlineStr">
        <is>
          <t>5: Thermogelling and externally actuated antimicrobial-regenerative systems</t>
        </is>
      </c>
      <c r="D116" s="5" t="inlineStr">
        <is>
          <t>Temperature-Responsive Hydrogel Delivery of Antimicrobial Peptide Engineered Watermelon-Derived Extracellular Vesicles Enables Sequential Infection Control and Wound Healing</t>
        </is>
      </c>
      <c r="E116" s="5" t="inlineStr">
        <is>
          <t>10.1016/j.colsurfb.2026.115438</t>
        </is>
      </c>
      <c r="F116" s="5" t="inlineStr">
        <is>
          <t>Thermogelling or externally actuated systems</t>
        </is>
      </c>
      <c r="G116" s="5" t="inlineStr">
        <is>
          <t>Histology, collagen, or matrix repair</t>
        </is>
      </c>
      <c r="H116" s="6" t="inlineStr">
        <is>
          <t>1</t>
        </is>
      </c>
      <c r="K116" s="5" t="inlineStr">
        <is>
          <t xml:space="preserve">; </t>
        </is>
      </c>
      <c r="M116" s="5" t="inlineStr">
        <is>
          <t>100.0</t>
        </is>
      </c>
      <c r="N116" s="5" t="inlineStr">
        <is>
          <t>YES</t>
        </is>
      </c>
    </row>
    <row r="117">
      <c r="A117" s="6" t="n">
        <v>221</v>
      </c>
      <c r="B117" s="5" t="inlineStr">
        <is>
          <t>S3</t>
        </is>
      </c>
      <c r="C117" s="5" t="inlineStr">
        <is>
          <t>5: Thermogelling and externally actuated antimicrobial-regenerative systems</t>
        </is>
      </c>
      <c r="D117" s="5" t="inlineStr">
        <is>
          <t>Temperature-Responsive Hydrogel Delivery of Antimicrobial Peptide Engineered Watermelon-Derived Extracellular Vesicles Enables Sequential Infection Control and Wound Healing</t>
        </is>
      </c>
      <c r="E117" s="5" t="inlineStr">
        <is>
          <t>10.1016/j.colsurfb.2026.115438</t>
        </is>
      </c>
      <c r="F117" s="5" t="inlineStr">
        <is>
          <t>Thermogelling or externally actuated systems</t>
        </is>
      </c>
      <c r="G117" s="5" t="inlineStr">
        <is>
          <t>Wound-area trajectory</t>
        </is>
      </c>
      <c r="H117" s="6" t="inlineStr">
        <is>
          <t>1</t>
        </is>
      </c>
      <c r="K117" s="5" t="inlineStr">
        <is>
          <t xml:space="preserve">; </t>
        </is>
      </c>
      <c r="M117" s="5" t="inlineStr">
        <is>
          <t>100.0</t>
        </is>
      </c>
      <c r="N117" s="5" t="inlineStr">
        <is>
          <t>YES</t>
        </is>
      </c>
    </row>
    <row r="118">
      <c r="A118" s="6" t="n">
        <v>221</v>
      </c>
      <c r="B118" s="5" t="inlineStr">
        <is>
          <t>S3</t>
        </is>
      </c>
      <c r="C118" s="5" t="inlineStr">
        <is>
          <t>5: Thermogelling and externally actuated antimicrobial-regenerative systems</t>
        </is>
      </c>
      <c r="D118" s="5" t="inlineStr">
        <is>
          <t>Temperature-Responsive Hydrogel Delivery of Antimicrobial Peptide Engineered Watermelon-Derived Extracellular Vesicles Enables Sequential Infection Control and Wound Healing</t>
        </is>
      </c>
      <c r="E118" s="5" t="inlineStr">
        <is>
          <t>10.1016/j.colsurfb.2026.115438</t>
        </is>
      </c>
      <c r="F118" s="5" t="inlineStr">
        <is>
          <t>Thermogelling or externally actuated systems</t>
        </is>
      </c>
      <c r="G118" s="5" t="inlineStr">
        <is>
          <t>Safety or cytocompatibility</t>
        </is>
      </c>
      <c r="H118" s="6" t="inlineStr">
        <is>
          <t>1</t>
        </is>
      </c>
      <c r="K118" s="5" t="inlineStr">
        <is>
          <t xml:space="preserve">; </t>
        </is>
      </c>
      <c r="M118" s="5" t="inlineStr">
        <is>
          <t>100.0</t>
        </is>
      </c>
      <c r="N118" s="5" t="inlineStr">
        <is>
          <t>YES</t>
        </is>
      </c>
    </row>
    <row r="119">
      <c r="A119" s="6" t="n">
        <v>224</v>
      </c>
      <c r="B119" s="5" t="inlineStr">
        <is>
          <t>S3</t>
        </is>
      </c>
      <c r="C119" s="5" t="inlineStr">
        <is>
          <t>7: Macrophage-state and cytokine-balancing matrices</t>
        </is>
      </c>
      <c r="D119" s="5" t="inlineStr">
        <is>
          <t>Immunomodulatory hydrogel orchestrates pro-regenerative response of macrophages and angiogenesis for chronic wound healing</t>
        </is>
      </c>
      <c r="E119" s="5" t="inlineStr">
        <is>
          <t>10.1016/j.biomaterials.2024.122848</t>
        </is>
      </c>
      <c r="F119" s="5" t="inlineStr">
        <is>
          <t>Macrophage/cytokine-balancing matrices</t>
        </is>
      </c>
      <c r="G119" s="5" t="inlineStr">
        <is>
          <t>Material properties</t>
        </is>
      </c>
      <c r="H119" s="6" t="inlineStr">
        <is>
          <t>1</t>
        </is>
      </c>
      <c r="K119" s="5" t="inlineStr">
        <is>
          <t xml:space="preserve">; </t>
        </is>
      </c>
      <c r="M119" s="5" t="inlineStr">
        <is>
          <t>100.0</t>
        </is>
      </c>
      <c r="N119" s="5" t="inlineStr">
        <is>
          <t>YES</t>
        </is>
      </c>
    </row>
    <row r="120">
      <c r="A120" s="6" t="n">
        <v>224</v>
      </c>
      <c r="B120" s="5" t="inlineStr">
        <is>
          <t>S3</t>
        </is>
      </c>
      <c r="C120" s="5" t="inlineStr">
        <is>
          <t>7: Macrophage-state and cytokine-balancing matrices</t>
        </is>
      </c>
      <c r="D120" s="5" t="inlineStr">
        <is>
          <t>Immunomodulatory hydrogel orchestrates pro-regenerative response of macrophages and angiogenesis for chronic wound healing</t>
        </is>
      </c>
      <c r="E120" s="5" t="inlineStr">
        <is>
          <t>10.1016/j.biomaterials.2024.122848</t>
        </is>
      </c>
      <c r="F120" s="5" t="inlineStr">
        <is>
          <t>Macrophage/cytokine-balancing matrices</t>
        </is>
      </c>
      <c r="G120" s="5" t="inlineStr">
        <is>
          <t>Release or activation kinetics</t>
        </is>
      </c>
      <c r="H120" s="6" t="inlineStr">
        <is>
          <t>1</t>
        </is>
      </c>
      <c r="K120" s="5" t="inlineStr">
        <is>
          <t xml:space="preserve">; </t>
        </is>
      </c>
      <c r="M120" s="5" t="inlineStr">
        <is>
          <t>100.0</t>
        </is>
      </c>
      <c r="N120" s="5" t="inlineStr">
        <is>
          <t>YES</t>
        </is>
      </c>
    </row>
    <row r="121">
      <c r="A121" s="6" t="n">
        <v>224</v>
      </c>
      <c r="B121" s="5" t="inlineStr">
        <is>
          <t>S3</t>
        </is>
      </c>
      <c r="C121" s="5" t="inlineStr">
        <is>
          <t>7: Macrophage-state and cytokine-balancing matrices</t>
        </is>
      </c>
      <c r="D121" s="5" t="inlineStr">
        <is>
          <t>Immunomodulatory hydrogel orchestrates pro-regenerative response of macrophages and angiogenesis for chronic wound healing</t>
        </is>
      </c>
      <c r="E121" s="5" t="inlineStr">
        <is>
          <t>10.1016/j.biomaterials.2024.122848</t>
        </is>
      </c>
      <c r="F121" s="5" t="inlineStr">
        <is>
          <t>Macrophage/cytokine-balancing matrices</t>
        </is>
      </c>
      <c r="G121" s="5" t="inlineStr">
        <is>
          <t>Antimicrobial or biofilm</t>
        </is>
      </c>
      <c r="H121" s="6" t="inlineStr">
        <is>
          <t>1</t>
        </is>
      </c>
      <c r="K121" s="5" t="inlineStr">
        <is>
          <t xml:space="preserve">; </t>
        </is>
      </c>
      <c r="M121" s="5" t="inlineStr">
        <is>
          <t>100.0</t>
        </is>
      </c>
      <c r="N121" s="5" t="inlineStr">
        <is>
          <t>YES</t>
        </is>
      </c>
    </row>
    <row r="122">
      <c r="A122" s="6" t="n">
        <v>224</v>
      </c>
      <c r="B122" s="5" t="inlineStr">
        <is>
          <t>S3</t>
        </is>
      </c>
      <c r="C122" s="5" t="inlineStr">
        <is>
          <t>7: Macrophage-state and cytokine-balancing matrices</t>
        </is>
      </c>
      <c r="D122" s="5" t="inlineStr">
        <is>
          <t>Immunomodulatory hydrogel orchestrates pro-regenerative response of macrophages and angiogenesis for chronic wound healing</t>
        </is>
      </c>
      <c r="E122" s="5" t="inlineStr">
        <is>
          <t>10.1016/j.biomaterials.2024.122848</t>
        </is>
      </c>
      <c r="F122" s="5" t="inlineStr">
        <is>
          <t>Macrophage/cytokine-balancing matrices</t>
        </is>
      </c>
      <c r="G122" s="5" t="inlineStr">
        <is>
          <t>ROS, oxidative, or metabolic</t>
        </is>
      </c>
      <c r="H122" s="6" t="inlineStr">
        <is>
          <t>1</t>
        </is>
      </c>
      <c r="K122" s="5" t="inlineStr">
        <is>
          <t xml:space="preserve">; </t>
        </is>
      </c>
      <c r="M122" s="5" t="inlineStr">
        <is>
          <t>100.0</t>
        </is>
      </c>
      <c r="N122" s="5" t="inlineStr">
        <is>
          <t>YES</t>
        </is>
      </c>
    </row>
    <row r="123">
      <c r="A123" s="6" t="n">
        <v>224</v>
      </c>
      <c r="B123" s="5" t="inlineStr">
        <is>
          <t>S3</t>
        </is>
      </c>
      <c r="C123" s="5" t="inlineStr">
        <is>
          <t>7: Macrophage-state and cytokine-balancing matrices</t>
        </is>
      </c>
      <c r="D123" s="5" t="inlineStr">
        <is>
          <t>Immunomodulatory hydrogel orchestrates pro-regenerative response of macrophages and angiogenesis for chronic wound healing</t>
        </is>
      </c>
      <c r="E123" s="5" t="inlineStr">
        <is>
          <t>10.1016/j.biomaterials.2024.122848</t>
        </is>
      </c>
      <c r="F123" s="5" t="inlineStr">
        <is>
          <t>Macrophage/cytokine-balancing matrices</t>
        </is>
      </c>
      <c r="G123" s="5" t="inlineStr">
        <is>
          <t>Immune, cytokine, or macrophage</t>
        </is>
      </c>
      <c r="H123" s="6" t="inlineStr">
        <is>
          <t>1</t>
        </is>
      </c>
      <c r="K123" s="5" t="inlineStr">
        <is>
          <t xml:space="preserve">; </t>
        </is>
      </c>
      <c r="M123" s="5" t="inlineStr">
        <is>
          <t>100.0</t>
        </is>
      </c>
      <c r="N123" s="5" t="inlineStr">
        <is>
          <t>YES</t>
        </is>
      </c>
    </row>
    <row r="124">
      <c r="A124" s="6" t="n">
        <v>224</v>
      </c>
      <c r="B124" s="5" t="inlineStr">
        <is>
          <t>S3</t>
        </is>
      </c>
      <c r="C124" s="5" t="inlineStr">
        <is>
          <t>7: Macrophage-state and cytokine-balancing matrices</t>
        </is>
      </c>
      <c r="D124" s="5" t="inlineStr">
        <is>
          <t>Immunomodulatory hydrogel orchestrates pro-regenerative response of macrophages and angiogenesis for chronic wound healing</t>
        </is>
      </c>
      <c r="E124" s="5" t="inlineStr">
        <is>
          <t>10.1016/j.biomaterials.2024.122848</t>
        </is>
      </c>
      <c r="F124" s="5" t="inlineStr">
        <is>
          <t>Macrophage/cytokine-balancing matrices</t>
        </is>
      </c>
      <c r="G124" s="5" t="inlineStr">
        <is>
          <t>Angiogenic or vascular</t>
        </is>
      </c>
      <c r="H124" s="6" t="inlineStr">
        <is>
          <t>1</t>
        </is>
      </c>
      <c r="K124" s="5" t="inlineStr">
        <is>
          <t xml:space="preserve">; </t>
        </is>
      </c>
      <c r="M124" s="5" t="inlineStr">
        <is>
          <t>100.0</t>
        </is>
      </c>
      <c r="N124" s="5" t="inlineStr">
        <is>
          <t>YES</t>
        </is>
      </c>
    </row>
    <row r="125">
      <c r="A125" s="6" t="n">
        <v>224</v>
      </c>
      <c r="B125" s="5" t="inlineStr">
        <is>
          <t>S3</t>
        </is>
      </c>
      <c r="C125" s="5" t="inlineStr">
        <is>
          <t>7: Macrophage-state and cytokine-balancing matrices</t>
        </is>
      </c>
      <c r="D125" s="5" t="inlineStr">
        <is>
          <t>Immunomodulatory hydrogel orchestrates pro-regenerative response of macrophages and angiogenesis for chronic wound healing</t>
        </is>
      </c>
      <c r="E125" s="5" t="inlineStr">
        <is>
          <t>10.1016/j.biomaterials.2024.122848</t>
        </is>
      </c>
      <c r="F125" s="5" t="inlineStr">
        <is>
          <t>Macrophage/cytokine-balancing matrices</t>
        </is>
      </c>
      <c r="G125" s="5" t="inlineStr">
        <is>
          <t>Histology, collagen, or matrix repair</t>
        </is>
      </c>
      <c r="H125" s="6" t="inlineStr">
        <is>
          <t>1</t>
        </is>
      </c>
      <c r="K125" s="5" t="inlineStr">
        <is>
          <t xml:space="preserve">; </t>
        </is>
      </c>
      <c r="M125" s="5" t="inlineStr">
        <is>
          <t>100.0</t>
        </is>
      </c>
      <c r="N125" s="5" t="inlineStr">
        <is>
          <t>YES</t>
        </is>
      </c>
    </row>
    <row r="126">
      <c r="A126" s="6" t="n">
        <v>224</v>
      </c>
      <c r="B126" s="5" t="inlineStr">
        <is>
          <t>S3</t>
        </is>
      </c>
      <c r="C126" s="5" t="inlineStr">
        <is>
          <t>7: Macrophage-state and cytokine-balancing matrices</t>
        </is>
      </c>
      <c r="D126" s="5" t="inlineStr">
        <is>
          <t>Immunomodulatory hydrogel orchestrates pro-regenerative response of macrophages and angiogenesis for chronic wound healing</t>
        </is>
      </c>
      <c r="E126" s="5" t="inlineStr">
        <is>
          <t>10.1016/j.biomaterials.2024.122848</t>
        </is>
      </c>
      <c r="F126" s="5" t="inlineStr">
        <is>
          <t>Macrophage/cytokine-balancing matrices</t>
        </is>
      </c>
      <c r="G126" s="5" t="inlineStr">
        <is>
          <t>Wound-area trajectory</t>
        </is>
      </c>
      <c r="H126" s="6" t="inlineStr">
        <is>
          <t>1</t>
        </is>
      </c>
      <c r="K126" s="5" t="inlineStr">
        <is>
          <t xml:space="preserve">; </t>
        </is>
      </c>
      <c r="M126" s="5" t="inlineStr">
        <is>
          <t>100.0</t>
        </is>
      </c>
      <c r="N126" s="5" t="inlineStr">
        <is>
          <t>YES</t>
        </is>
      </c>
    </row>
    <row r="127">
      <c r="A127" s="6" t="n">
        <v>224</v>
      </c>
      <c r="B127" s="5" t="inlineStr">
        <is>
          <t>S3</t>
        </is>
      </c>
      <c r="C127" s="5" t="inlineStr">
        <is>
          <t>7: Macrophage-state and cytokine-balancing matrices</t>
        </is>
      </c>
      <c r="D127" s="5" t="inlineStr">
        <is>
          <t>Immunomodulatory hydrogel orchestrates pro-regenerative response of macrophages and angiogenesis for chronic wound healing</t>
        </is>
      </c>
      <c r="E127" s="5" t="inlineStr">
        <is>
          <t>10.1016/j.biomaterials.2024.122848</t>
        </is>
      </c>
      <c r="F127" s="5" t="inlineStr">
        <is>
          <t>Macrophage/cytokine-balancing matrices</t>
        </is>
      </c>
      <c r="G127" s="5" t="inlineStr">
        <is>
          <t>Safety or cytocompatibility</t>
        </is>
      </c>
      <c r="H127" s="6" t="inlineStr">
        <is>
          <t>1</t>
        </is>
      </c>
      <c r="K127" s="5" t="inlineStr">
        <is>
          <t xml:space="preserve">; </t>
        </is>
      </c>
      <c r="M127" s="5" t="inlineStr">
        <is>
          <t>100.0</t>
        </is>
      </c>
      <c r="N127" s="5" t="inlineStr">
        <is>
          <t>YES</t>
        </is>
      </c>
    </row>
    <row r="128">
      <c r="A128" s="6" t="n">
        <v>225</v>
      </c>
      <c r="B128" s="5" t="inlineStr">
        <is>
          <t>S3</t>
        </is>
      </c>
      <c r="C128" s="5" t="inlineStr">
        <is>
          <t>7: Macrophage-state and cytokine-balancing matrices</t>
        </is>
      </c>
      <c r="D128" s="5" t="inlineStr">
        <is>
          <t>Immunoregulatory hydrogel decorated with Tannic acid/Ferric ion accelerates diabetic wound healing via regulating Macrophage polarization</t>
        </is>
      </c>
      <c r="E128" s="5" t="inlineStr">
        <is>
          <t>10.1016/j.cej.2023.143173</t>
        </is>
      </c>
      <c r="F128" s="5" t="inlineStr">
        <is>
          <t>Macrophage/cytokine-balancing matrices</t>
        </is>
      </c>
      <c r="G128" s="5" t="inlineStr">
        <is>
          <t>Material properties</t>
        </is>
      </c>
      <c r="H128" s="6" t="inlineStr">
        <is>
          <t>1</t>
        </is>
      </c>
      <c r="K128" s="5" t="inlineStr">
        <is>
          <t xml:space="preserve">; </t>
        </is>
      </c>
      <c r="M128" s="5" t="inlineStr">
        <is>
          <t>100.0</t>
        </is>
      </c>
      <c r="N128" s="5" t="inlineStr">
        <is>
          <t>YES</t>
        </is>
      </c>
    </row>
    <row r="129">
      <c r="A129" s="6" t="n">
        <v>225</v>
      </c>
      <c r="B129" s="5" t="inlineStr">
        <is>
          <t>S3</t>
        </is>
      </c>
      <c r="C129" s="5" t="inlineStr">
        <is>
          <t>7: Macrophage-state and cytokine-balancing matrices</t>
        </is>
      </c>
      <c r="D129" s="5" t="inlineStr">
        <is>
          <t>Immunoregulatory hydrogel decorated with Tannic acid/Ferric ion accelerates diabetic wound healing via regulating Macrophage polarization</t>
        </is>
      </c>
      <c r="E129" s="5" t="inlineStr">
        <is>
          <t>10.1016/j.cej.2023.143173</t>
        </is>
      </c>
      <c r="F129" s="5" t="inlineStr">
        <is>
          <t>Macrophage/cytokine-balancing matrices</t>
        </is>
      </c>
      <c r="G129" s="5" t="inlineStr">
        <is>
          <t>Release or activation kinetics</t>
        </is>
      </c>
      <c r="H129" s="6" t="inlineStr">
        <is>
          <t>1</t>
        </is>
      </c>
      <c r="K129" s="5" t="inlineStr">
        <is>
          <t xml:space="preserve">; </t>
        </is>
      </c>
      <c r="M129" s="5" t="inlineStr">
        <is>
          <t>100.0</t>
        </is>
      </c>
      <c r="N129" s="5" t="inlineStr">
        <is>
          <t>YES</t>
        </is>
      </c>
    </row>
    <row r="130">
      <c r="A130" s="6" t="n">
        <v>225</v>
      </c>
      <c r="B130" s="5" t="inlineStr">
        <is>
          <t>S3</t>
        </is>
      </c>
      <c r="C130" s="5" t="inlineStr">
        <is>
          <t>7: Macrophage-state and cytokine-balancing matrices</t>
        </is>
      </c>
      <c r="D130" s="5" t="inlineStr">
        <is>
          <t>Immunoregulatory hydrogel decorated with Tannic acid/Ferric ion accelerates diabetic wound healing via regulating Macrophage polarization</t>
        </is>
      </c>
      <c r="E130" s="5" t="inlineStr">
        <is>
          <t>10.1016/j.cej.2023.143173</t>
        </is>
      </c>
      <c r="F130" s="5" t="inlineStr">
        <is>
          <t>Macrophage/cytokine-balancing matrices</t>
        </is>
      </c>
      <c r="G130" s="5" t="inlineStr">
        <is>
          <t>Antimicrobial or biofilm</t>
        </is>
      </c>
      <c r="H130" s="6" t="inlineStr">
        <is>
          <t>1</t>
        </is>
      </c>
      <c r="K130" s="5" t="inlineStr">
        <is>
          <t xml:space="preserve">; </t>
        </is>
      </c>
      <c r="M130" s="5" t="inlineStr">
        <is>
          <t>100.0</t>
        </is>
      </c>
      <c r="N130" s="5" t="inlineStr">
        <is>
          <t>YES</t>
        </is>
      </c>
    </row>
    <row r="131">
      <c r="A131" s="6" t="n">
        <v>225</v>
      </c>
      <c r="B131" s="5" t="inlineStr">
        <is>
          <t>S3</t>
        </is>
      </c>
      <c r="C131" s="5" t="inlineStr">
        <is>
          <t>7: Macrophage-state and cytokine-balancing matrices</t>
        </is>
      </c>
      <c r="D131" s="5" t="inlineStr">
        <is>
          <t>Immunoregulatory hydrogel decorated with Tannic acid/Ferric ion accelerates diabetic wound healing via regulating Macrophage polarization</t>
        </is>
      </c>
      <c r="E131" s="5" t="inlineStr">
        <is>
          <t>10.1016/j.cej.2023.143173</t>
        </is>
      </c>
      <c r="F131" s="5" t="inlineStr">
        <is>
          <t>Macrophage/cytokine-balancing matrices</t>
        </is>
      </c>
      <c r="G131" s="5" t="inlineStr">
        <is>
          <t>ROS, oxidative, or metabolic</t>
        </is>
      </c>
      <c r="H131" s="6" t="inlineStr">
        <is>
          <t>1</t>
        </is>
      </c>
      <c r="K131" s="5" t="inlineStr">
        <is>
          <t xml:space="preserve">; </t>
        </is>
      </c>
      <c r="M131" s="5" t="inlineStr">
        <is>
          <t>100.0</t>
        </is>
      </c>
      <c r="N131" s="5" t="inlineStr">
        <is>
          <t>YES</t>
        </is>
      </c>
    </row>
    <row r="132">
      <c r="A132" s="6" t="n">
        <v>225</v>
      </c>
      <c r="B132" s="5" t="inlineStr">
        <is>
          <t>S3</t>
        </is>
      </c>
      <c r="C132" s="5" t="inlineStr">
        <is>
          <t>7: Macrophage-state and cytokine-balancing matrices</t>
        </is>
      </c>
      <c r="D132" s="5" t="inlineStr">
        <is>
          <t>Immunoregulatory hydrogel decorated with Tannic acid/Ferric ion accelerates diabetic wound healing via regulating Macrophage polarization</t>
        </is>
      </c>
      <c r="E132" s="5" t="inlineStr">
        <is>
          <t>10.1016/j.cej.2023.143173</t>
        </is>
      </c>
      <c r="F132" s="5" t="inlineStr">
        <is>
          <t>Macrophage/cytokine-balancing matrices</t>
        </is>
      </c>
      <c r="G132" s="5" t="inlineStr">
        <is>
          <t>Immune, cytokine, or macrophage</t>
        </is>
      </c>
      <c r="H132" s="6" t="inlineStr">
        <is>
          <t>1</t>
        </is>
      </c>
      <c r="K132" s="5" t="inlineStr">
        <is>
          <t xml:space="preserve">; </t>
        </is>
      </c>
      <c r="M132" s="5" t="inlineStr">
        <is>
          <t>100.0</t>
        </is>
      </c>
      <c r="N132" s="5" t="inlineStr">
        <is>
          <t>YES</t>
        </is>
      </c>
    </row>
    <row r="133">
      <c r="A133" s="6" t="n">
        <v>225</v>
      </c>
      <c r="B133" s="5" t="inlineStr">
        <is>
          <t>S3</t>
        </is>
      </c>
      <c r="C133" s="5" t="inlineStr">
        <is>
          <t>7: Macrophage-state and cytokine-balancing matrices</t>
        </is>
      </c>
      <c r="D133" s="5" t="inlineStr">
        <is>
          <t>Immunoregulatory hydrogel decorated with Tannic acid/Ferric ion accelerates diabetic wound healing via regulating Macrophage polarization</t>
        </is>
      </c>
      <c r="E133" s="5" t="inlineStr">
        <is>
          <t>10.1016/j.cej.2023.143173</t>
        </is>
      </c>
      <c r="F133" s="5" t="inlineStr">
        <is>
          <t>Macrophage/cytokine-balancing matrices</t>
        </is>
      </c>
      <c r="G133" s="5" t="inlineStr">
        <is>
          <t>Angiogenic or vascular</t>
        </is>
      </c>
      <c r="H133" s="6" t="inlineStr">
        <is>
          <t>1</t>
        </is>
      </c>
      <c r="K133" s="5" t="inlineStr">
        <is>
          <t xml:space="preserve">; </t>
        </is>
      </c>
      <c r="M133" s="5" t="inlineStr">
        <is>
          <t>100.0</t>
        </is>
      </c>
      <c r="N133" s="5" t="inlineStr">
        <is>
          <t>YES</t>
        </is>
      </c>
    </row>
    <row r="134">
      <c r="A134" s="6" t="n">
        <v>225</v>
      </c>
      <c r="B134" s="5" t="inlineStr">
        <is>
          <t>S3</t>
        </is>
      </c>
      <c r="C134" s="5" t="inlineStr">
        <is>
          <t>7: Macrophage-state and cytokine-balancing matrices</t>
        </is>
      </c>
      <c r="D134" s="5" t="inlineStr">
        <is>
          <t>Immunoregulatory hydrogel decorated with Tannic acid/Ferric ion accelerates diabetic wound healing via regulating Macrophage polarization</t>
        </is>
      </c>
      <c r="E134" s="5" t="inlineStr">
        <is>
          <t>10.1016/j.cej.2023.143173</t>
        </is>
      </c>
      <c r="F134" s="5" t="inlineStr">
        <is>
          <t>Macrophage/cytokine-balancing matrices</t>
        </is>
      </c>
      <c r="G134" s="5" t="inlineStr">
        <is>
          <t>Histology, collagen, or matrix repair</t>
        </is>
      </c>
      <c r="H134" s="6" t="inlineStr">
        <is>
          <t>1</t>
        </is>
      </c>
      <c r="K134" s="5" t="inlineStr">
        <is>
          <t xml:space="preserve">; </t>
        </is>
      </c>
      <c r="M134" s="5" t="inlineStr">
        <is>
          <t>100.0</t>
        </is>
      </c>
      <c r="N134" s="5" t="inlineStr">
        <is>
          <t>YES</t>
        </is>
      </c>
    </row>
    <row r="135">
      <c r="A135" s="6" t="n">
        <v>225</v>
      </c>
      <c r="B135" s="5" t="inlineStr">
        <is>
          <t>S3</t>
        </is>
      </c>
      <c r="C135" s="5" t="inlineStr">
        <is>
          <t>7: Macrophage-state and cytokine-balancing matrices</t>
        </is>
      </c>
      <c r="D135" s="5" t="inlineStr">
        <is>
          <t>Immunoregulatory hydrogel decorated with Tannic acid/Ferric ion accelerates diabetic wound healing via regulating Macrophage polarization</t>
        </is>
      </c>
      <c r="E135" s="5" t="inlineStr">
        <is>
          <t>10.1016/j.cej.2023.143173</t>
        </is>
      </c>
      <c r="F135" s="5" t="inlineStr">
        <is>
          <t>Macrophage/cytokine-balancing matrices</t>
        </is>
      </c>
      <c r="G135" s="5" t="inlineStr">
        <is>
          <t>Wound-area trajectory</t>
        </is>
      </c>
      <c r="H135" s="6" t="inlineStr">
        <is>
          <t>1</t>
        </is>
      </c>
      <c r="K135" s="5" t="inlineStr">
        <is>
          <t xml:space="preserve">; </t>
        </is>
      </c>
      <c r="M135" s="5" t="inlineStr">
        <is>
          <t>100.0</t>
        </is>
      </c>
      <c r="N135" s="5" t="inlineStr">
        <is>
          <t>YES</t>
        </is>
      </c>
    </row>
    <row r="136">
      <c r="A136" s="6" t="n">
        <v>225</v>
      </c>
      <c r="B136" s="5" t="inlineStr">
        <is>
          <t>S3</t>
        </is>
      </c>
      <c r="C136" s="5" t="inlineStr">
        <is>
          <t>7: Macrophage-state and cytokine-balancing matrices</t>
        </is>
      </c>
      <c r="D136" s="5" t="inlineStr">
        <is>
          <t>Immunoregulatory hydrogel decorated with Tannic acid/Ferric ion accelerates diabetic wound healing via regulating Macrophage polarization</t>
        </is>
      </c>
      <c r="E136" s="5" t="inlineStr">
        <is>
          <t>10.1016/j.cej.2023.143173</t>
        </is>
      </c>
      <c r="F136" s="5" t="inlineStr">
        <is>
          <t>Macrophage/cytokine-balancing matrices</t>
        </is>
      </c>
      <c r="G136" s="5" t="inlineStr">
        <is>
          <t>Safety or cytocompatibility</t>
        </is>
      </c>
      <c r="H136" s="6" t="inlineStr">
        <is>
          <t>1</t>
        </is>
      </c>
      <c r="K136" s="5" t="inlineStr">
        <is>
          <t xml:space="preserve">; </t>
        </is>
      </c>
      <c r="M136" s="5" t="inlineStr">
        <is>
          <t>100.0</t>
        </is>
      </c>
      <c r="N136" s="5" t="inlineStr">
        <is>
          <t>YES</t>
        </is>
      </c>
    </row>
    <row r="137">
      <c r="A137" s="6" t="n">
        <v>226</v>
      </c>
      <c r="B137" s="5" t="inlineStr">
        <is>
          <t>S3</t>
        </is>
      </c>
      <c r="C137" s="5" t="inlineStr">
        <is>
          <t>7: Macrophage-state and cytokine-balancing matrices</t>
        </is>
      </c>
      <c r="D137" s="5" t="inlineStr">
        <is>
          <t>Extracellular matrix‐mimetic immunomodulatory hydrogel for accelerating wound healing</t>
        </is>
      </c>
      <c r="E137" s="5" t="inlineStr">
        <is>
          <t>10.1002/adhm.202301264</t>
        </is>
      </c>
      <c r="F137" s="5" t="inlineStr">
        <is>
          <t>Macrophage/cytokine-balancing matrices</t>
        </is>
      </c>
      <c r="G137" s="5" t="inlineStr">
        <is>
          <t>Material properties</t>
        </is>
      </c>
      <c r="H137" s="6" t="inlineStr">
        <is>
          <t>1</t>
        </is>
      </c>
      <c r="K137" s="5" t="inlineStr">
        <is>
          <t xml:space="preserve">; </t>
        </is>
      </c>
      <c r="M137" s="5" t="inlineStr">
        <is>
          <t>100.0</t>
        </is>
      </c>
      <c r="N137" s="5" t="inlineStr">
        <is>
          <t>YES</t>
        </is>
      </c>
    </row>
    <row r="138">
      <c r="A138" s="6" t="n">
        <v>226</v>
      </c>
      <c r="B138" s="5" t="inlineStr">
        <is>
          <t>S3</t>
        </is>
      </c>
      <c r="C138" s="5" t="inlineStr">
        <is>
          <t>7: Macrophage-state and cytokine-balancing matrices</t>
        </is>
      </c>
      <c r="D138" s="5" t="inlineStr">
        <is>
          <t>Extracellular matrix‐mimetic immunomodulatory hydrogel for accelerating wound healing</t>
        </is>
      </c>
      <c r="E138" s="5" t="inlineStr">
        <is>
          <t>10.1002/adhm.202301264</t>
        </is>
      </c>
      <c r="F138" s="5" t="inlineStr">
        <is>
          <t>Macrophage/cytokine-balancing matrices</t>
        </is>
      </c>
      <c r="G138" s="5" t="inlineStr">
        <is>
          <t>Release or activation kinetics</t>
        </is>
      </c>
      <c r="H138" s="6" t="inlineStr">
        <is>
          <t>1</t>
        </is>
      </c>
      <c r="K138" s="5" t="inlineStr">
        <is>
          <t xml:space="preserve">; </t>
        </is>
      </c>
      <c r="M138" s="5" t="inlineStr">
        <is>
          <t>100.0</t>
        </is>
      </c>
      <c r="N138" s="5" t="inlineStr">
        <is>
          <t>YES</t>
        </is>
      </c>
    </row>
    <row r="139">
      <c r="A139" s="6" t="n">
        <v>226</v>
      </c>
      <c r="B139" s="5" t="inlineStr">
        <is>
          <t>S3</t>
        </is>
      </c>
      <c r="C139" s="5" t="inlineStr">
        <is>
          <t>7: Macrophage-state and cytokine-balancing matrices</t>
        </is>
      </c>
      <c r="D139" s="5" t="inlineStr">
        <is>
          <t>Extracellular matrix‐mimetic immunomodulatory hydrogel for accelerating wound healing</t>
        </is>
      </c>
      <c r="E139" s="5" t="inlineStr">
        <is>
          <t>10.1002/adhm.202301264</t>
        </is>
      </c>
      <c r="F139" s="5" t="inlineStr">
        <is>
          <t>Macrophage/cytokine-balancing matrices</t>
        </is>
      </c>
      <c r="G139" s="5" t="inlineStr">
        <is>
          <t>Antimicrobial or biofilm</t>
        </is>
      </c>
      <c r="H139" s="6" t="inlineStr">
        <is>
          <t>1</t>
        </is>
      </c>
      <c r="K139" s="5" t="inlineStr">
        <is>
          <t xml:space="preserve">; </t>
        </is>
      </c>
      <c r="M139" s="5" t="inlineStr">
        <is>
          <t>100.0</t>
        </is>
      </c>
      <c r="N139" s="5" t="inlineStr">
        <is>
          <t>YES</t>
        </is>
      </c>
    </row>
    <row r="140">
      <c r="A140" s="6" t="n">
        <v>226</v>
      </c>
      <c r="B140" s="5" t="inlineStr">
        <is>
          <t>S3</t>
        </is>
      </c>
      <c r="C140" s="5" t="inlineStr">
        <is>
          <t>7: Macrophage-state and cytokine-balancing matrices</t>
        </is>
      </c>
      <c r="D140" s="5" t="inlineStr">
        <is>
          <t>Extracellular matrix‐mimetic immunomodulatory hydrogel for accelerating wound healing</t>
        </is>
      </c>
      <c r="E140" s="5" t="inlineStr">
        <is>
          <t>10.1002/adhm.202301264</t>
        </is>
      </c>
      <c r="F140" s="5" t="inlineStr">
        <is>
          <t>Macrophage/cytokine-balancing matrices</t>
        </is>
      </c>
      <c r="G140" s="5" t="inlineStr">
        <is>
          <t>ROS, oxidative, or metabolic</t>
        </is>
      </c>
      <c r="H140" s="6" t="inlineStr">
        <is>
          <t>0</t>
        </is>
      </c>
      <c r="K140" s="5" t="inlineStr">
        <is>
          <t xml:space="preserve">; </t>
        </is>
      </c>
      <c r="M140" s="5" t="inlineStr">
        <is>
          <t>100.0</t>
        </is>
      </c>
      <c r="N140" s="5" t="inlineStr">
        <is>
          <t>YES</t>
        </is>
      </c>
    </row>
    <row r="141">
      <c r="A141" s="6" t="n">
        <v>226</v>
      </c>
      <c r="B141" s="5" t="inlineStr">
        <is>
          <t>S3</t>
        </is>
      </c>
      <c r="C141" s="5" t="inlineStr">
        <is>
          <t>7: Macrophage-state and cytokine-balancing matrices</t>
        </is>
      </c>
      <c r="D141" s="5" t="inlineStr">
        <is>
          <t>Extracellular matrix‐mimetic immunomodulatory hydrogel for accelerating wound healing</t>
        </is>
      </c>
      <c r="E141" s="5" t="inlineStr">
        <is>
          <t>10.1002/adhm.202301264</t>
        </is>
      </c>
      <c r="F141" s="5" t="inlineStr">
        <is>
          <t>Macrophage/cytokine-balancing matrices</t>
        </is>
      </c>
      <c r="G141" s="5" t="inlineStr">
        <is>
          <t>Immune, cytokine, or macrophage</t>
        </is>
      </c>
      <c r="H141" s="6" t="inlineStr">
        <is>
          <t>1</t>
        </is>
      </c>
      <c r="K141" s="5" t="inlineStr">
        <is>
          <t xml:space="preserve">; </t>
        </is>
      </c>
      <c r="M141" s="5" t="inlineStr">
        <is>
          <t>100.0</t>
        </is>
      </c>
      <c r="N141" s="5" t="inlineStr">
        <is>
          <t>YES</t>
        </is>
      </c>
    </row>
    <row r="142">
      <c r="A142" s="6" t="n">
        <v>226</v>
      </c>
      <c r="B142" s="5" t="inlineStr">
        <is>
          <t>S3</t>
        </is>
      </c>
      <c r="C142" s="5" t="inlineStr">
        <is>
          <t>7: Macrophage-state and cytokine-balancing matrices</t>
        </is>
      </c>
      <c r="D142" s="5" t="inlineStr">
        <is>
          <t>Extracellular matrix‐mimetic immunomodulatory hydrogel for accelerating wound healing</t>
        </is>
      </c>
      <c r="E142" s="5" t="inlineStr">
        <is>
          <t>10.1002/adhm.202301264</t>
        </is>
      </c>
      <c r="F142" s="5" t="inlineStr">
        <is>
          <t>Macrophage/cytokine-balancing matrices</t>
        </is>
      </c>
      <c r="G142" s="5" t="inlineStr">
        <is>
          <t>Angiogenic or vascular</t>
        </is>
      </c>
      <c r="H142" s="6" t="inlineStr">
        <is>
          <t>1</t>
        </is>
      </c>
      <c r="K142" s="5" t="inlineStr">
        <is>
          <t xml:space="preserve">; </t>
        </is>
      </c>
      <c r="M142" s="5" t="inlineStr">
        <is>
          <t>100.0</t>
        </is>
      </c>
      <c r="N142" s="5" t="inlineStr">
        <is>
          <t>YES</t>
        </is>
      </c>
    </row>
    <row r="143">
      <c r="A143" s="6" t="n">
        <v>226</v>
      </c>
      <c r="B143" s="5" t="inlineStr">
        <is>
          <t>S3</t>
        </is>
      </c>
      <c r="C143" s="5" t="inlineStr">
        <is>
          <t>7: Macrophage-state and cytokine-balancing matrices</t>
        </is>
      </c>
      <c r="D143" s="5" t="inlineStr">
        <is>
          <t>Extracellular matrix‐mimetic immunomodulatory hydrogel for accelerating wound healing</t>
        </is>
      </c>
      <c r="E143" s="5" t="inlineStr">
        <is>
          <t>10.1002/adhm.202301264</t>
        </is>
      </c>
      <c r="F143" s="5" t="inlineStr">
        <is>
          <t>Macrophage/cytokine-balancing matrices</t>
        </is>
      </c>
      <c r="G143" s="5" t="inlineStr">
        <is>
          <t>Histology, collagen, or matrix repair</t>
        </is>
      </c>
      <c r="H143" s="6" t="inlineStr">
        <is>
          <t>1</t>
        </is>
      </c>
      <c r="K143" s="5" t="inlineStr">
        <is>
          <t xml:space="preserve">; </t>
        </is>
      </c>
      <c r="M143" s="5" t="inlineStr">
        <is>
          <t>100.0</t>
        </is>
      </c>
      <c r="N143" s="5" t="inlineStr">
        <is>
          <t>YES</t>
        </is>
      </c>
    </row>
    <row r="144">
      <c r="A144" s="6" t="n">
        <v>226</v>
      </c>
      <c r="B144" s="5" t="inlineStr">
        <is>
          <t>S3</t>
        </is>
      </c>
      <c r="C144" s="5" t="inlineStr">
        <is>
          <t>7: Macrophage-state and cytokine-balancing matrices</t>
        </is>
      </c>
      <c r="D144" s="5" t="inlineStr">
        <is>
          <t>Extracellular matrix‐mimetic immunomodulatory hydrogel for accelerating wound healing</t>
        </is>
      </c>
      <c r="E144" s="5" t="inlineStr">
        <is>
          <t>10.1002/adhm.202301264</t>
        </is>
      </c>
      <c r="F144" s="5" t="inlineStr">
        <is>
          <t>Macrophage/cytokine-balancing matrices</t>
        </is>
      </c>
      <c r="G144" s="5" t="inlineStr">
        <is>
          <t>Wound-area trajectory</t>
        </is>
      </c>
      <c r="H144" s="6" t="inlineStr">
        <is>
          <t>1</t>
        </is>
      </c>
      <c r="K144" s="5" t="inlineStr">
        <is>
          <t xml:space="preserve">; </t>
        </is>
      </c>
      <c r="M144" s="5" t="inlineStr">
        <is>
          <t>100.0</t>
        </is>
      </c>
      <c r="N144" s="5" t="inlineStr">
        <is>
          <t>YES</t>
        </is>
      </c>
    </row>
    <row r="145">
      <c r="A145" s="6" t="n">
        <v>226</v>
      </c>
      <c r="B145" s="5" t="inlineStr">
        <is>
          <t>S3</t>
        </is>
      </c>
      <c r="C145" s="5" t="inlineStr">
        <is>
          <t>7: Macrophage-state and cytokine-balancing matrices</t>
        </is>
      </c>
      <c r="D145" s="5" t="inlineStr">
        <is>
          <t>Extracellular matrix‐mimetic immunomodulatory hydrogel for accelerating wound healing</t>
        </is>
      </c>
      <c r="E145" s="5" t="inlineStr">
        <is>
          <t>10.1002/adhm.202301264</t>
        </is>
      </c>
      <c r="F145" s="5" t="inlineStr">
        <is>
          <t>Macrophage/cytokine-balancing matrices</t>
        </is>
      </c>
      <c r="G145" s="5" t="inlineStr">
        <is>
          <t>Safety or cytocompatibility</t>
        </is>
      </c>
      <c r="H145" s="6" t="inlineStr">
        <is>
          <t>1</t>
        </is>
      </c>
      <c r="K145" s="5" t="inlineStr">
        <is>
          <t xml:space="preserve">; </t>
        </is>
      </c>
      <c r="M145" s="5" t="inlineStr">
        <is>
          <t>100.0</t>
        </is>
      </c>
      <c r="N145" s="5" t="inlineStr">
        <is>
          <t>YES</t>
        </is>
      </c>
    </row>
    <row r="146">
      <c r="A146" s="6" t="n">
        <v>227</v>
      </c>
      <c r="B146" s="5" t="inlineStr">
        <is>
          <t>S3</t>
        </is>
      </c>
      <c r="C146" s="5" t="inlineStr">
        <is>
          <t>7: Macrophage-state and cytokine-balancing matrices</t>
        </is>
      </c>
      <c r="D146" s="5" t="inlineStr">
        <is>
          <t>Bioinspired design of mannose-decorated globular lysine dendrimers promotes diabetic wound healing by orchestrating appropriate macrophage polarization</t>
        </is>
      </c>
      <c r="E146" s="5" t="inlineStr">
        <is>
          <t>10.1016/j.biomaterials.2021.121323</t>
        </is>
      </c>
      <c r="F146" s="5" t="inlineStr">
        <is>
          <t>Macrophage/cytokine-balancing matrices</t>
        </is>
      </c>
      <c r="G146" s="5" t="inlineStr">
        <is>
          <t>Material properties</t>
        </is>
      </c>
      <c r="H146" s="6" t="inlineStr">
        <is>
          <t>0</t>
        </is>
      </c>
      <c r="K146" s="5" t="inlineStr">
        <is>
          <t xml:space="preserve">; </t>
        </is>
      </c>
      <c r="M146" s="5" t="inlineStr">
        <is>
          <t>100.0</t>
        </is>
      </c>
      <c r="N146" s="5" t="inlineStr">
        <is>
          <t>YES</t>
        </is>
      </c>
    </row>
    <row r="147">
      <c r="A147" s="6" t="n">
        <v>227</v>
      </c>
      <c r="B147" s="5" t="inlineStr">
        <is>
          <t>S3</t>
        </is>
      </c>
      <c r="C147" s="5" t="inlineStr">
        <is>
          <t>7: Macrophage-state and cytokine-balancing matrices</t>
        </is>
      </c>
      <c r="D147" s="5" t="inlineStr">
        <is>
          <t>Bioinspired design of mannose-decorated globular lysine dendrimers promotes diabetic wound healing by orchestrating appropriate macrophage polarization</t>
        </is>
      </c>
      <c r="E147" s="5" t="inlineStr">
        <is>
          <t>10.1016/j.biomaterials.2021.121323</t>
        </is>
      </c>
      <c r="F147" s="5" t="inlineStr">
        <is>
          <t>Macrophage/cytokine-balancing matrices</t>
        </is>
      </c>
      <c r="G147" s="5" t="inlineStr">
        <is>
          <t>Release or activation kinetics</t>
        </is>
      </c>
      <c r="H147" s="6" t="inlineStr">
        <is>
          <t>1</t>
        </is>
      </c>
      <c r="K147" s="5" t="inlineStr">
        <is>
          <t xml:space="preserve">; </t>
        </is>
      </c>
      <c r="M147" s="5" t="inlineStr">
        <is>
          <t>100.0</t>
        </is>
      </c>
      <c r="N147" s="5" t="inlineStr">
        <is>
          <t>YES</t>
        </is>
      </c>
    </row>
    <row r="148">
      <c r="A148" s="6" t="n">
        <v>227</v>
      </c>
      <c r="B148" s="5" t="inlineStr">
        <is>
          <t>S3</t>
        </is>
      </c>
      <c r="C148" s="5" t="inlineStr">
        <is>
          <t>7: Macrophage-state and cytokine-balancing matrices</t>
        </is>
      </c>
      <c r="D148" s="5" t="inlineStr">
        <is>
          <t>Bioinspired design of mannose-decorated globular lysine dendrimers promotes diabetic wound healing by orchestrating appropriate macrophage polarization</t>
        </is>
      </c>
      <c r="E148" s="5" t="inlineStr">
        <is>
          <t>10.1016/j.biomaterials.2021.121323</t>
        </is>
      </c>
      <c r="F148" s="5" t="inlineStr">
        <is>
          <t>Macrophage/cytokine-balancing matrices</t>
        </is>
      </c>
      <c r="G148" s="5" t="inlineStr">
        <is>
          <t>Antimicrobial or biofilm</t>
        </is>
      </c>
      <c r="H148" s="6" t="inlineStr">
        <is>
          <t>1</t>
        </is>
      </c>
      <c r="K148" s="5" t="inlineStr">
        <is>
          <t xml:space="preserve">; </t>
        </is>
      </c>
      <c r="M148" s="5" t="inlineStr">
        <is>
          <t>100.0</t>
        </is>
      </c>
      <c r="N148" s="5" t="inlineStr">
        <is>
          <t>YES</t>
        </is>
      </c>
    </row>
    <row r="149">
      <c r="A149" s="6" t="n">
        <v>227</v>
      </c>
      <c r="B149" s="5" t="inlineStr">
        <is>
          <t>S3</t>
        </is>
      </c>
      <c r="C149" s="5" t="inlineStr">
        <is>
          <t>7: Macrophage-state and cytokine-balancing matrices</t>
        </is>
      </c>
      <c r="D149" s="5" t="inlineStr">
        <is>
          <t>Bioinspired design of mannose-decorated globular lysine dendrimers promotes diabetic wound healing by orchestrating appropriate macrophage polarization</t>
        </is>
      </c>
      <c r="E149" s="5" t="inlineStr">
        <is>
          <t>10.1016/j.biomaterials.2021.121323</t>
        </is>
      </c>
      <c r="F149" s="5" t="inlineStr">
        <is>
          <t>Macrophage/cytokine-balancing matrices</t>
        </is>
      </c>
      <c r="G149" s="5" t="inlineStr">
        <is>
          <t>ROS, oxidative, or metabolic</t>
        </is>
      </c>
      <c r="H149" s="6" t="inlineStr">
        <is>
          <t>1</t>
        </is>
      </c>
      <c r="K149" s="5" t="inlineStr">
        <is>
          <t xml:space="preserve">; </t>
        </is>
      </c>
      <c r="M149" s="5" t="inlineStr">
        <is>
          <t>100.0</t>
        </is>
      </c>
      <c r="N149" s="5" t="inlineStr">
        <is>
          <t>YES</t>
        </is>
      </c>
    </row>
    <row r="150">
      <c r="A150" s="6" t="n">
        <v>227</v>
      </c>
      <c r="B150" s="5" t="inlineStr">
        <is>
          <t>S3</t>
        </is>
      </c>
      <c r="C150" s="5" t="inlineStr">
        <is>
          <t>7: Macrophage-state and cytokine-balancing matrices</t>
        </is>
      </c>
      <c r="D150" s="5" t="inlineStr">
        <is>
          <t>Bioinspired design of mannose-decorated globular lysine dendrimers promotes diabetic wound healing by orchestrating appropriate macrophage polarization</t>
        </is>
      </c>
      <c r="E150" s="5" t="inlineStr">
        <is>
          <t>10.1016/j.biomaterials.2021.121323</t>
        </is>
      </c>
      <c r="F150" s="5" t="inlineStr">
        <is>
          <t>Macrophage/cytokine-balancing matrices</t>
        </is>
      </c>
      <c r="G150" s="5" t="inlineStr">
        <is>
          <t>Immune, cytokine, or macrophage</t>
        </is>
      </c>
      <c r="H150" s="6" t="inlineStr">
        <is>
          <t>1</t>
        </is>
      </c>
      <c r="K150" s="5" t="inlineStr">
        <is>
          <t xml:space="preserve">; </t>
        </is>
      </c>
      <c r="M150" s="5" t="inlineStr">
        <is>
          <t>100.0</t>
        </is>
      </c>
      <c r="N150" s="5" t="inlineStr">
        <is>
          <t>YES</t>
        </is>
      </c>
    </row>
    <row r="151">
      <c r="A151" s="6" t="n">
        <v>227</v>
      </c>
      <c r="B151" s="5" t="inlineStr">
        <is>
          <t>S3</t>
        </is>
      </c>
      <c r="C151" s="5" t="inlineStr">
        <is>
          <t>7: Macrophage-state and cytokine-balancing matrices</t>
        </is>
      </c>
      <c r="D151" s="5" t="inlineStr">
        <is>
          <t>Bioinspired design of mannose-decorated globular lysine dendrimers promotes diabetic wound healing by orchestrating appropriate macrophage polarization</t>
        </is>
      </c>
      <c r="E151" s="5" t="inlineStr">
        <is>
          <t>10.1016/j.biomaterials.2021.121323</t>
        </is>
      </c>
      <c r="F151" s="5" t="inlineStr">
        <is>
          <t>Macrophage/cytokine-balancing matrices</t>
        </is>
      </c>
      <c r="G151" s="5" t="inlineStr">
        <is>
          <t>Angiogenic or vascular</t>
        </is>
      </c>
      <c r="H151" s="6" t="inlineStr">
        <is>
          <t>1</t>
        </is>
      </c>
      <c r="K151" s="5" t="inlineStr">
        <is>
          <t xml:space="preserve">; </t>
        </is>
      </c>
      <c r="M151" s="5" t="inlineStr">
        <is>
          <t>100.0</t>
        </is>
      </c>
      <c r="N151" s="5" t="inlineStr">
        <is>
          <t>YES</t>
        </is>
      </c>
    </row>
    <row r="152">
      <c r="A152" s="6" t="n">
        <v>227</v>
      </c>
      <c r="B152" s="5" t="inlineStr">
        <is>
          <t>S3</t>
        </is>
      </c>
      <c r="C152" s="5" t="inlineStr">
        <is>
          <t>7: Macrophage-state and cytokine-balancing matrices</t>
        </is>
      </c>
      <c r="D152" s="5" t="inlineStr">
        <is>
          <t>Bioinspired design of mannose-decorated globular lysine dendrimers promotes diabetic wound healing by orchestrating appropriate macrophage polarization</t>
        </is>
      </c>
      <c r="E152" s="5" t="inlineStr">
        <is>
          <t>10.1016/j.biomaterials.2021.121323</t>
        </is>
      </c>
      <c r="F152" s="5" t="inlineStr">
        <is>
          <t>Macrophage/cytokine-balancing matrices</t>
        </is>
      </c>
      <c r="G152" s="5" t="inlineStr">
        <is>
          <t>Histology, collagen, or matrix repair</t>
        </is>
      </c>
      <c r="H152" s="6" t="inlineStr">
        <is>
          <t>1</t>
        </is>
      </c>
      <c r="K152" s="5" t="inlineStr">
        <is>
          <t xml:space="preserve">; </t>
        </is>
      </c>
      <c r="M152" s="5" t="inlineStr">
        <is>
          <t>100.0</t>
        </is>
      </c>
      <c r="N152" s="5" t="inlineStr">
        <is>
          <t>YES</t>
        </is>
      </c>
    </row>
    <row r="153">
      <c r="A153" s="6" t="n">
        <v>227</v>
      </c>
      <c r="B153" s="5" t="inlineStr">
        <is>
          <t>S3</t>
        </is>
      </c>
      <c r="C153" s="5" t="inlineStr">
        <is>
          <t>7: Macrophage-state and cytokine-balancing matrices</t>
        </is>
      </c>
      <c r="D153" s="5" t="inlineStr">
        <is>
          <t>Bioinspired design of mannose-decorated globular lysine dendrimers promotes diabetic wound healing by orchestrating appropriate macrophage polarization</t>
        </is>
      </c>
      <c r="E153" s="5" t="inlineStr">
        <is>
          <t>10.1016/j.biomaterials.2021.121323</t>
        </is>
      </c>
      <c r="F153" s="5" t="inlineStr">
        <is>
          <t>Macrophage/cytokine-balancing matrices</t>
        </is>
      </c>
      <c r="G153" s="5" t="inlineStr">
        <is>
          <t>Wound-area trajectory</t>
        </is>
      </c>
      <c r="H153" s="6" t="inlineStr">
        <is>
          <t>1</t>
        </is>
      </c>
      <c r="K153" s="5" t="inlineStr">
        <is>
          <t xml:space="preserve">; </t>
        </is>
      </c>
      <c r="M153" s="5" t="inlineStr">
        <is>
          <t>100.0</t>
        </is>
      </c>
      <c r="N153" s="5" t="inlineStr">
        <is>
          <t>YES</t>
        </is>
      </c>
    </row>
    <row r="154">
      <c r="A154" s="6" t="n">
        <v>227</v>
      </c>
      <c r="B154" s="5" t="inlineStr">
        <is>
          <t>S3</t>
        </is>
      </c>
      <c r="C154" s="5" t="inlineStr">
        <is>
          <t>7: Macrophage-state and cytokine-balancing matrices</t>
        </is>
      </c>
      <c r="D154" s="5" t="inlineStr">
        <is>
          <t>Bioinspired design of mannose-decorated globular lysine dendrimers promotes diabetic wound healing by orchestrating appropriate macrophage polarization</t>
        </is>
      </c>
      <c r="E154" s="5" t="inlineStr">
        <is>
          <t>10.1016/j.biomaterials.2021.121323</t>
        </is>
      </c>
      <c r="F154" s="5" t="inlineStr">
        <is>
          <t>Macrophage/cytokine-balancing matrices</t>
        </is>
      </c>
      <c r="G154" s="5" t="inlineStr">
        <is>
          <t>Safety or cytocompatibility</t>
        </is>
      </c>
      <c r="H154" s="6" t="inlineStr">
        <is>
          <t>1</t>
        </is>
      </c>
      <c r="K154" s="5" t="inlineStr">
        <is>
          <t xml:space="preserve">; </t>
        </is>
      </c>
      <c r="M154" s="5" t="inlineStr">
        <is>
          <t>100.0</t>
        </is>
      </c>
      <c r="N154" s="5" t="inlineStr">
        <is>
          <t>YES</t>
        </is>
      </c>
    </row>
    <row r="155">
      <c r="A155" s="6" t="n">
        <v>230</v>
      </c>
      <c r="B155" s="5" t="inlineStr">
        <is>
          <t>S3</t>
        </is>
      </c>
      <c r="C155" s="5" t="inlineStr">
        <is>
          <t>2: Acidic pH-switching adhesive and release matrices</t>
        </is>
      </c>
      <c r="D155" s="5" t="inlineStr">
        <is>
          <t>Chitosan-based hydrogel dressings for diabetic wound healing via promoting M2 macrophage-polarization</t>
        </is>
      </c>
      <c r="E155" s="5" t="inlineStr">
        <is>
          <t>10.1016/j.carbpol.2024.121873</t>
        </is>
      </c>
      <c r="F155" s="5" t="inlineStr">
        <is>
          <t>Acidic pH-switching release matrices</t>
        </is>
      </c>
      <c r="G155" s="5" t="inlineStr">
        <is>
          <t>Material properties</t>
        </is>
      </c>
      <c r="H155" s="6" t="inlineStr">
        <is>
          <t>1</t>
        </is>
      </c>
      <c r="K155" s="5" t="inlineStr">
        <is>
          <t xml:space="preserve">; </t>
        </is>
      </c>
      <c r="M155" s="5" t="inlineStr">
        <is>
          <t>100.0</t>
        </is>
      </c>
      <c r="N155" s="5" t="inlineStr">
        <is>
          <t>YES</t>
        </is>
      </c>
    </row>
    <row r="156">
      <c r="A156" s="6" t="n">
        <v>230</v>
      </c>
      <c r="B156" s="5" t="inlineStr">
        <is>
          <t>S3</t>
        </is>
      </c>
      <c r="C156" s="5" t="inlineStr">
        <is>
          <t>2: Acidic pH-switching adhesive and release matrices</t>
        </is>
      </c>
      <c r="D156" s="5" t="inlineStr">
        <is>
          <t>Chitosan-based hydrogel dressings for diabetic wound healing via promoting M2 macrophage-polarization</t>
        </is>
      </c>
      <c r="E156" s="5" t="inlineStr">
        <is>
          <t>10.1016/j.carbpol.2024.121873</t>
        </is>
      </c>
      <c r="F156" s="5" t="inlineStr">
        <is>
          <t>Acidic pH-switching release matrices</t>
        </is>
      </c>
      <c r="G156" s="5" t="inlineStr">
        <is>
          <t>Release or activation kinetics</t>
        </is>
      </c>
      <c r="H156" s="6" t="inlineStr">
        <is>
          <t>1</t>
        </is>
      </c>
      <c r="K156" s="5" t="inlineStr">
        <is>
          <t xml:space="preserve">; </t>
        </is>
      </c>
      <c r="M156" s="5" t="inlineStr">
        <is>
          <t>100.0</t>
        </is>
      </c>
      <c r="N156" s="5" t="inlineStr">
        <is>
          <t>YES</t>
        </is>
      </c>
    </row>
    <row r="157">
      <c r="A157" s="6" t="n">
        <v>230</v>
      </c>
      <c r="B157" s="5" t="inlineStr">
        <is>
          <t>S3</t>
        </is>
      </c>
      <c r="C157" s="5" t="inlineStr">
        <is>
          <t>2: Acidic pH-switching adhesive and release matrices</t>
        </is>
      </c>
      <c r="D157" s="5" t="inlineStr">
        <is>
          <t>Chitosan-based hydrogel dressings for diabetic wound healing via promoting M2 macrophage-polarization</t>
        </is>
      </c>
      <c r="E157" s="5" t="inlineStr">
        <is>
          <t>10.1016/j.carbpol.2024.121873</t>
        </is>
      </c>
      <c r="F157" s="5" t="inlineStr">
        <is>
          <t>Acidic pH-switching release matrices</t>
        </is>
      </c>
      <c r="G157" s="5" t="inlineStr">
        <is>
          <t>Antimicrobial or biofilm</t>
        </is>
      </c>
      <c r="H157" s="6" t="inlineStr">
        <is>
          <t>1</t>
        </is>
      </c>
      <c r="K157" s="5" t="inlineStr">
        <is>
          <t xml:space="preserve">; </t>
        </is>
      </c>
      <c r="M157" s="5" t="inlineStr">
        <is>
          <t>100.0</t>
        </is>
      </c>
      <c r="N157" s="5" t="inlineStr">
        <is>
          <t>YES</t>
        </is>
      </c>
    </row>
    <row r="158">
      <c r="A158" s="6" t="n">
        <v>230</v>
      </c>
      <c r="B158" s="5" t="inlineStr">
        <is>
          <t>S3</t>
        </is>
      </c>
      <c r="C158" s="5" t="inlineStr">
        <is>
          <t>2: Acidic pH-switching adhesive and release matrices</t>
        </is>
      </c>
      <c r="D158" s="5" t="inlineStr">
        <is>
          <t>Chitosan-based hydrogel dressings for diabetic wound healing via promoting M2 macrophage-polarization</t>
        </is>
      </c>
      <c r="E158" s="5" t="inlineStr">
        <is>
          <t>10.1016/j.carbpol.2024.121873</t>
        </is>
      </c>
      <c r="F158" s="5" t="inlineStr">
        <is>
          <t>Acidic pH-switching release matrices</t>
        </is>
      </c>
      <c r="G158" s="5" t="inlineStr">
        <is>
          <t>ROS, oxidative, or metabolic</t>
        </is>
      </c>
      <c r="H158" s="6" t="inlineStr">
        <is>
          <t>1</t>
        </is>
      </c>
      <c r="K158" s="5" t="inlineStr">
        <is>
          <t xml:space="preserve">; </t>
        </is>
      </c>
      <c r="M158" s="5" t="inlineStr">
        <is>
          <t>100.0</t>
        </is>
      </c>
      <c r="N158" s="5" t="inlineStr">
        <is>
          <t>YES</t>
        </is>
      </c>
    </row>
    <row r="159">
      <c r="A159" s="6" t="n">
        <v>230</v>
      </c>
      <c r="B159" s="5" t="inlineStr">
        <is>
          <t>S3</t>
        </is>
      </c>
      <c r="C159" s="5" t="inlineStr">
        <is>
          <t>2: Acidic pH-switching adhesive and release matrices</t>
        </is>
      </c>
      <c r="D159" s="5" t="inlineStr">
        <is>
          <t>Chitosan-based hydrogel dressings for diabetic wound healing via promoting M2 macrophage-polarization</t>
        </is>
      </c>
      <c r="E159" s="5" t="inlineStr">
        <is>
          <t>10.1016/j.carbpol.2024.121873</t>
        </is>
      </c>
      <c r="F159" s="5" t="inlineStr">
        <is>
          <t>Acidic pH-switching release matrices</t>
        </is>
      </c>
      <c r="G159" s="5" t="inlineStr">
        <is>
          <t>Immune, cytokine, or macrophage</t>
        </is>
      </c>
      <c r="H159" s="6" t="inlineStr">
        <is>
          <t>1</t>
        </is>
      </c>
      <c r="K159" s="5" t="inlineStr">
        <is>
          <t xml:space="preserve">; </t>
        </is>
      </c>
      <c r="M159" s="5" t="inlineStr">
        <is>
          <t>100.0</t>
        </is>
      </c>
      <c r="N159" s="5" t="inlineStr">
        <is>
          <t>YES</t>
        </is>
      </c>
    </row>
    <row r="160">
      <c r="A160" s="6" t="n">
        <v>230</v>
      </c>
      <c r="B160" s="5" t="inlineStr">
        <is>
          <t>S3</t>
        </is>
      </c>
      <c r="C160" s="5" t="inlineStr">
        <is>
          <t>2: Acidic pH-switching adhesive and release matrices</t>
        </is>
      </c>
      <c r="D160" s="5" t="inlineStr">
        <is>
          <t>Chitosan-based hydrogel dressings for diabetic wound healing via promoting M2 macrophage-polarization</t>
        </is>
      </c>
      <c r="E160" s="5" t="inlineStr">
        <is>
          <t>10.1016/j.carbpol.2024.121873</t>
        </is>
      </c>
      <c r="F160" s="5" t="inlineStr">
        <is>
          <t>Acidic pH-switching release matrices</t>
        </is>
      </c>
      <c r="G160" s="5" t="inlineStr">
        <is>
          <t>Angiogenic or vascular</t>
        </is>
      </c>
      <c r="H160" s="6" t="inlineStr">
        <is>
          <t>1</t>
        </is>
      </c>
      <c r="K160" s="5" t="inlineStr">
        <is>
          <t xml:space="preserve">; </t>
        </is>
      </c>
      <c r="M160" s="5" t="inlineStr">
        <is>
          <t>100.0</t>
        </is>
      </c>
      <c r="N160" s="5" t="inlineStr">
        <is>
          <t>YES</t>
        </is>
      </c>
    </row>
    <row r="161">
      <c r="A161" s="6" t="n">
        <v>230</v>
      </c>
      <c r="B161" s="5" t="inlineStr">
        <is>
          <t>S3</t>
        </is>
      </c>
      <c r="C161" s="5" t="inlineStr">
        <is>
          <t>2: Acidic pH-switching adhesive and release matrices</t>
        </is>
      </c>
      <c r="D161" s="5" t="inlineStr">
        <is>
          <t>Chitosan-based hydrogel dressings for diabetic wound healing via promoting M2 macrophage-polarization</t>
        </is>
      </c>
      <c r="E161" s="5" t="inlineStr">
        <is>
          <t>10.1016/j.carbpol.2024.121873</t>
        </is>
      </c>
      <c r="F161" s="5" t="inlineStr">
        <is>
          <t>Acidic pH-switching release matrices</t>
        </is>
      </c>
      <c r="G161" s="5" t="inlineStr">
        <is>
          <t>Histology, collagen, or matrix repair</t>
        </is>
      </c>
      <c r="H161" s="6" t="inlineStr">
        <is>
          <t>1</t>
        </is>
      </c>
      <c r="K161" s="5" t="inlineStr">
        <is>
          <t xml:space="preserve">; </t>
        </is>
      </c>
      <c r="M161" s="5" t="inlineStr">
        <is>
          <t>100.0</t>
        </is>
      </c>
      <c r="N161" s="5" t="inlineStr">
        <is>
          <t>YES</t>
        </is>
      </c>
    </row>
    <row r="162">
      <c r="A162" s="6" t="n">
        <v>230</v>
      </c>
      <c r="B162" s="5" t="inlineStr">
        <is>
          <t>S3</t>
        </is>
      </c>
      <c r="C162" s="5" t="inlineStr">
        <is>
          <t>2: Acidic pH-switching adhesive and release matrices</t>
        </is>
      </c>
      <c r="D162" s="5" t="inlineStr">
        <is>
          <t>Chitosan-based hydrogel dressings for diabetic wound healing via promoting M2 macrophage-polarization</t>
        </is>
      </c>
      <c r="E162" s="5" t="inlineStr">
        <is>
          <t>10.1016/j.carbpol.2024.121873</t>
        </is>
      </c>
      <c r="F162" s="5" t="inlineStr">
        <is>
          <t>Acidic pH-switching release matrices</t>
        </is>
      </c>
      <c r="G162" s="5" t="inlineStr">
        <is>
          <t>Wound-area trajectory</t>
        </is>
      </c>
      <c r="H162" s="6" t="inlineStr">
        <is>
          <t>1</t>
        </is>
      </c>
      <c r="K162" s="5" t="inlineStr">
        <is>
          <t xml:space="preserve">; </t>
        </is>
      </c>
      <c r="M162" s="5" t="inlineStr">
        <is>
          <t>100.0</t>
        </is>
      </c>
      <c r="N162" s="5" t="inlineStr">
        <is>
          <t>YES</t>
        </is>
      </c>
    </row>
    <row r="163">
      <c r="A163" s="6" t="n">
        <v>230</v>
      </c>
      <c r="B163" s="5" t="inlineStr">
        <is>
          <t>S3</t>
        </is>
      </c>
      <c r="C163" s="5" t="inlineStr">
        <is>
          <t>2: Acidic pH-switching adhesive and release matrices</t>
        </is>
      </c>
      <c r="D163" s="5" t="inlineStr">
        <is>
          <t>Chitosan-based hydrogel dressings for diabetic wound healing via promoting M2 macrophage-polarization</t>
        </is>
      </c>
      <c r="E163" s="5" t="inlineStr">
        <is>
          <t>10.1016/j.carbpol.2024.121873</t>
        </is>
      </c>
      <c r="F163" s="5" t="inlineStr">
        <is>
          <t>Acidic pH-switching release matrices</t>
        </is>
      </c>
      <c r="G163" s="5" t="inlineStr">
        <is>
          <t>Safety or cytocompatibility</t>
        </is>
      </c>
      <c r="H163" s="6" t="inlineStr">
        <is>
          <t>1</t>
        </is>
      </c>
      <c r="K163" s="5" t="inlineStr">
        <is>
          <t xml:space="preserve">; </t>
        </is>
      </c>
      <c r="M163" s="5" t="inlineStr">
        <is>
          <t>100.0</t>
        </is>
      </c>
      <c r="N163" s="5" t="inlineStr">
        <is>
          <t>YES</t>
        </is>
      </c>
    </row>
    <row r="164">
      <c r="A164" s="6" t="n">
        <v>231</v>
      </c>
      <c r="B164" s="5" t="inlineStr">
        <is>
          <t>S3</t>
        </is>
      </c>
      <c r="C164" s="5" t="inlineStr">
        <is>
          <t>7: Macrophage-state and cytokine-balancing matrices</t>
        </is>
      </c>
      <c r="D164" s="5" t="inlineStr">
        <is>
          <t>Varying ratios of M/G in alginate to modulate macrophages polarization and its application for wound healing in diabetic</t>
        </is>
      </c>
      <c r="E164" s="5" t="inlineStr">
        <is>
          <t>10.1016/j.ijbiomac.2024.132387</t>
        </is>
      </c>
      <c r="F164" s="5" t="inlineStr">
        <is>
          <t>Macrophage/cytokine-balancing matrices</t>
        </is>
      </c>
      <c r="G164" s="5" t="inlineStr">
        <is>
          <t>Material properties</t>
        </is>
      </c>
      <c r="H164" s="6" t="inlineStr">
        <is>
          <t>1</t>
        </is>
      </c>
      <c r="K164" s="5" t="inlineStr">
        <is>
          <t xml:space="preserve">; </t>
        </is>
      </c>
      <c r="M164" s="5" t="inlineStr">
        <is>
          <t>100.0</t>
        </is>
      </c>
      <c r="N164" s="5" t="inlineStr">
        <is>
          <t>YES</t>
        </is>
      </c>
    </row>
    <row r="165">
      <c r="A165" s="6" t="n">
        <v>231</v>
      </c>
      <c r="B165" s="5" t="inlineStr">
        <is>
          <t>S3</t>
        </is>
      </c>
      <c r="C165" s="5" t="inlineStr">
        <is>
          <t>7: Macrophage-state and cytokine-balancing matrices</t>
        </is>
      </c>
      <c r="D165" s="5" t="inlineStr">
        <is>
          <t>Varying ratios of M/G in alginate to modulate macrophages polarization and its application for wound healing in diabetic</t>
        </is>
      </c>
      <c r="E165" s="5" t="inlineStr">
        <is>
          <t>10.1016/j.ijbiomac.2024.132387</t>
        </is>
      </c>
      <c r="F165" s="5" t="inlineStr">
        <is>
          <t>Macrophage/cytokine-balancing matrices</t>
        </is>
      </c>
      <c r="G165" s="5" t="inlineStr">
        <is>
          <t>Release or activation kinetics</t>
        </is>
      </c>
      <c r="H165" s="6" t="inlineStr">
        <is>
          <t>1</t>
        </is>
      </c>
      <c r="K165" s="5" t="inlineStr">
        <is>
          <t xml:space="preserve">; </t>
        </is>
      </c>
      <c r="M165" s="5" t="inlineStr">
        <is>
          <t>100.0</t>
        </is>
      </c>
      <c r="N165" s="5" t="inlineStr">
        <is>
          <t>YES</t>
        </is>
      </c>
    </row>
    <row r="166">
      <c r="A166" s="6" t="n">
        <v>231</v>
      </c>
      <c r="B166" s="5" t="inlineStr">
        <is>
          <t>S3</t>
        </is>
      </c>
      <c r="C166" s="5" t="inlineStr">
        <is>
          <t>7: Macrophage-state and cytokine-balancing matrices</t>
        </is>
      </c>
      <c r="D166" s="5" t="inlineStr">
        <is>
          <t>Varying ratios of M/G in alginate to modulate macrophages polarization and its application for wound healing in diabetic</t>
        </is>
      </c>
      <c r="E166" s="5" t="inlineStr">
        <is>
          <t>10.1016/j.ijbiomac.2024.132387</t>
        </is>
      </c>
      <c r="F166" s="5" t="inlineStr">
        <is>
          <t>Macrophage/cytokine-balancing matrices</t>
        </is>
      </c>
      <c r="G166" s="5" t="inlineStr">
        <is>
          <t>Antimicrobial or biofilm</t>
        </is>
      </c>
      <c r="H166" s="6" t="inlineStr">
        <is>
          <t>1</t>
        </is>
      </c>
      <c r="K166" s="5" t="inlineStr">
        <is>
          <t xml:space="preserve">; </t>
        </is>
      </c>
      <c r="M166" s="5" t="inlineStr">
        <is>
          <t>100.0</t>
        </is>
      </c>
      <c r="N166" s="5" t="inlineStr">
        <is>
          <t>YES</t>
        </is>
      </c>
    </row>
    <row r="167">
      <c r="A167" s="6" t="n">
        <v>231</v>
      </c>
      <c r="B167" s="5" t="inlineStr">
        <is>
          <t>S3</t>
        </is>
      </c>
      <c r="C167" s="5" t="inlineStr">
        <is>
          <t>7: Macrophage-state and cytokine-balancing matrices</t>
        </is>
      </c>
      <c r="D167" s="5" t="inlineStr">
        <is>
          <t>Varying ratios of M/G in alginate to modulate macrophages polarization and its application for wound healing in diabetic</t>
        </is>
      </c>
      <c r="E167" s="5" t="inlineStr">
        <is>
          <t>10.1016/j.ijbiomac.2024.132387</t>
        </is>
      </c>
      <c r="F167" s="5" t="inlineStr">
        <is>
          <t>Macrophage/cytokine-balancing matrices</t>
        </is>
      </c>
      <c r="G167" s="5" t="inlineStr">
        <is>
          <t>ROS, oxidative, or metabolic</t>
        </is>
      </c>
      <c r="H167" s="6" t="inlineStr">
        <is>
          <t>1</t>
        </is>
      </c>
      <c r="K167" s="5" t="inlineStr">
        <is>
          <t xml:space="preserve">; </t>
        </is>
      </c>
      <c r="M167" s="5" t="inlineStr">
        <is>
          <t>100.0</t>
        </is>
      </c>
      <c r="N167" s="5" t="inlineStr">
        <is>
          <t>YES</t>
        </is>
      </c>
    </row>
    <row r="168">
      <c r="A168" s="6" t="n">
        <v>231</v>
      </c>
      <c r="B168" s="5" t="inlineStr">
        <is>
          <t>S3</t>
        </is>
      </c>
      <c r="C168" s="5" t="inlineStr">
        <is>
          <t>7: Macrophage-state and cytokine-balancing matrices</t>
        </is>
      </c>
      <c r="D168" s="5" t="inlineStr">
        <is>
          <t>Varying ratios of M/G in alginate to modulate macrophages polarization and its application for wound healing in diabetic</t>
        </is>
      </c>
      <c r="E168" s="5" t="inlineStr">
        <is>
          <t>10.1016/j.ijbiomac.2024.132387</t>
        </is>
      </c>
      <c r="F168" s="5" t="inlineStr">
        <is>
          <t>Macrophage/cytokine-balancing matrices</t>
        </is>
      </c>
      <c r="G168" s="5" t="inlineStr">
        <is>
          <t>Immune, cytokine, or macrophage</t>
        </is>
      </c>
      <c r="H168" s="6" t="inlineStr">
        <is>
          <t>1</t>
        </is>
      </c>
      <c r="K168" s="5" t="inlineStr">
        <is>
          <t xml:space="preserve">; </t>
        </is>
      </c>
      <c r="M168" s="5" t="inlineStr">
        <is>
          <t>100.0</t>
        </is>
      </c>
      <c r="N168" s="5" t="inlineStr">
        <is>
          <t>YES</t>
        </is>
      </c>
    </row>
    <row r="169">
      <c r="A169" s="6" t="n">
        <v>231</v>
      </c>
      <c r="B169" s="5" t="inlineStr">
        <is>
          <t>S3</t>
        </is>
      </c>
      <c r="C169" s="5" t="inlineStr">
        <is>
          <t>7: Macrophage-state and cytokine-balancing matrices</t>
        </is>
      </c>
      <c r="D169" s="5" t="inlineStr">
        <is>
          <t>Varying ratios of M/G in alginate to modulate macrophages polarization and its application for wound healing in diabetic</t>
        </is>
      </c>
      <c r="E169" s="5" t="inlineStr">
        <is>
          <t>10.1016/j.ijbiomac.2024.132387</t>
        </is>
      </c>
      <c r="F169" s="5" t="inlineStr">
        <is>
          <t>Macrophage/cytokine-balancing matrices</t>
        </is>
      </c>
      <c r="G169" s="5" t="inlineStr">
        <is>
          <t>Angiogenic or vascular</t>
        </is>
      </c>
      <c r="H169" s="6" t="inlineStr">
        <is>
          <t>1</t>
        </is>
      </c>
      <c r="K169" s="5" t="inlineStr">
        <is>
          <t xml:space="preserve">; </t>
        </is>
      </c>
      <c r="M169" s="5" t="inlineStr">
        <is>
          <t>100.0</t>
        </is>
      </c>
      <c r="N169" s="5" t="inlineStr">
        <is>
          <t>YES</t>
        </is>
      </c>
    </row>
    <row r="170">
      <c r="A170" s="6" t="n">
        <v>231</v>
      </c>
      <c r="B170" s="5" t="inlineStr">
        <is>
          <t>S3</t>
        </is>
      </c>
      <c r="C170" s="5" t="inlineStr">
        <is>
          <t>7: Macrophage-state and cytokine-balancing matrices</t>
        </is>
      </c>
      <c r="D170" s="5" t="inlineStr">
        <is>
          <t>Varying ratios of M/G in alginate to modulate macrophages polarization and its application for wound healing in diabetic</t>
        </is>
      </c>
      <c r="E170" s="5" t="inlineStr">
        <is>
          <t>10.1016/j.ijbiomac.2024.132387</t>
        </is>
      </c>
      <c r="F170" s="5" t="inlineStr">
        <is>
          <t>Macrophage/cytokine-balancing matrices</t>
        </is>
      </c>
      <c r="G170" s="5" t="inlineStr">
        <is>
          <t>Histology, collagen, or matrix repair</t>
        </is>
      </c>
      <c r="H170" s="6" t="inlineStr">
        <is>
          <t>1</t>
        </is>
      </c>
      <c r="K170" s="5" t="inlineStr">
        <is>
          <t xml:space="preserve">; </t>
        </is>
      </c>
      <c r="M170" s="5" t="inlineStr">
        <is>
          <t>100.0</t>
        </is>
      </c>
      <c r="N170" s="5" t="inlineStr">
        <is>
          <t>YES</t>
        </is>
      </c>
    </row>
    <row r="171">
      <c r="A171" s="6" t="n">
        <v>231</v>
      </c>
      <c r="B171" s="5" t="inlineStr">
        <is>
          <t>S3</t>
        </is>
      </c>
      <c r="C171" s="5" t="inlineStr">
        <is>
          <t>7: Macrophage-state and cytokine-balancing matrices</t>
        </is>
      </c>
      <c r="D171" s="5" t="inlineStr">
        <is>
          <t>Varying ratios of M/G in alginate to modulate macrophages polarization and its application for wound healing in diabetic</t>
        </is>
      </c>
      <c r="E171" s="5" t="inlineStr">
        <is>
          <t>10.1016/j.ijbiomac.2024.132387</t>
        </is>
      </c>
      <c r="F171" s="5" t="inlineStr">
        <is>
          <t>Macrophage/cytokine-balancing matrices</t>
        </is>
      </c>
      <c r="G171" s="5" t="inlineStr">
        <is>
          <t>Wound-area trajectory</t>
        </is>
      </c>
      <c r="H171" s="6" t="inlineStr">
        <is>
          <t>1</t>
        </is>
      </c>
      <c r="K171" s="5" t="inlineStr">
        <is>
          <t xml:space="preserve">; </t>
        </is>
      </c>
      <c r="M171" s="5" t="inlineStr">
        <is>
          <t>100.0</t>
        </is>
      </c>
      <c r="N171" s="5" t="inlineStr">
        <is>
          <t>YES</t>
        </is>
      </c>
    </row>
    <row r="172">
      <c r="A172" s="6" t="n">
        <v>231</v>
      </c>
      <c r="B172" s="5" t="inlineStr">
        <is>
          <t>S3</t>
        </is>
      </c>
      <c r="C172" s="5" t="inlineStr">
        <is>
          <t>7: Macrophage-state and cytokine-balancing matrices</t>
        </is>
      </c>
      <c r="D172" s="5" t="inlineStr">
        <is>
          <t>Varying ratios of M/G in alginate to modulate macrophages polarization and its application for wound healing in diabetic</t>
        </is>
      </c>
      <c r="E172" s="5" t="inlineStr">
        <is>
          <t>10.1016/j.ijbiomac.2024.132387</t>
        </is>
      </c>
      <c r="F172" s="5" t="inlineStr">
        <is>
          <t>Macrophage/cytokine-balancing matrices</t>
        </is>
      </c>
      <c r="G172" s="5" t="inlineStr">
        <is>
          <t>Safety or cytocompatibility</t>
        </is>
      </c>
      <c r="H172" s="6" t="inlineStr">
        <is>
          <t>1</t>
        </is>
      </c>
      <c r="K172" s="5" t="inlineStr">
        <is>
          <t xml:space="preserve">; </t>
        </is>
      </c>
      <c r="M172" s="5" t="inlineStr">
        <is>
          <t>100.0</t>
        </is>
      </c>
      <c r="N172" s="5" t="inlineStr">
        <is>
          <t>YES</t>
        </is>
      </c>
    </row>
    <row r="173">
      <c r="A173" s="6" t="n">
        <v>232</v>
      </c>
      <c r="B173" s="5" t="inlineStr">
        <is>
          <t>S3</t>
        </is>
      </c>
      <c r="C173" s="5" t="inlineStr">
        <is>
          <t>7: Macrophage-state and cytokine-balancing matrices</t>
        </is>
      </c>
      <c r="D173" s="5" t="inlineStr">
        <is>
          <t>Programming of macrophage polarization in different stages for accelerating wound healing</t>
        </is>
      </c>
      <c r="E173" s="5" t="inlineStr">
        <is>
          <t>10.1016/j.cej.2024.152131</t>
        </is>
      </c>
      <c r="F173" s="5" t="inlineStr">
        <is>
          <t>Macrophage/cytokine-balancing matrices</t>
        </is>
      </c>
      <c r="G173" s="5" t="inlineStr">
        <is>
          <t>Material properties</t>
        </is>
      </c>
      <c r="H173" s="6" t="inlineStr">
        <is>
          <t>1</t>
        </is>
      </c>
      <c r="K173" s="5" t="inlineStr">
        <is>
          <t xml:space="preserve">; </t>
        </is>
      </c>
      <c r="M173" s="5" t="inlineStr">
        <is>
          <t>100.0</t>
        </is>
      </c>
      <c r="N173" s="5" t="inlineStr">
        <is>
          <t>YES</t>
        </is>
      </c>
    </row>
    <row r="174">
      <c r="A174" s="6" t="n">
        <v>232</v>
      </c>
      <c r="B174" s="5" t="inlineStr">
        <is>
          <t>S3</t>
        </is>
      </c>
      <c r="C174" s="5" t="inlineStr">
        <is>
          <t>7: Macrophage-state and cytokine-balancing matrices</t>
        </is>
      </c>
      <c r="D174" s="5" t="inlineStr">
        <is>
          <t>Programming of macrophage polarization in different stages for accelerating wound healing</t>
        </is>
      </c>
      <c r="E174" s="5" t="inlineStr">
        <is>
          <t>10.1016/j.cej.2024.152131</t>
        </is>
      </c>
      <c r="F174" s="5" t="inlineStr">
        <is>
          <t>Macrophage/cytokine-balancing matrices</t>
        </is>
      </c>
      <c r="G174" s="5" t="inlineStr">
        <is>
          <t>Release or activation kinetics</t>
        </is>
      </c>
      <c r="H174" s="6" t="inlineStr">
        <is>
          <t>1</t>
        </is>
      </c>
      <c r="K174" s="5" t="inlineStr">
        <is>
          <t xml:space="preserve">; </t>
        </is>
      </c>
      <c r="M174" s="5" t="inlineStr">
        <is>
          <t>100.0</t>
        </is>
      </c>
      <c r="N174" s="5" t="inlineStr">
        <is>
          <t>YES</t>
        </is>
      </c>
    </row>
    <row r="175">
      <c r="A175" s="6" t="n">
        <v>232</v>
      </c>
      <c r="B175" s="5" t="inlineStr">
        <is>
          <t>S3</t>
        </is>
      </c>
      <c r="C175" s="5" t="inlineStr">
        <is>
          <t>7: Macrophage-state and cytokine-balancing matrices</t>
        </is>
      </c>
      <c r="D175" s="5" t="inlineStr">
        <is>
          <t>Programming of macrophage polarization in different stages for accelerating wound healing</t>
        </is>
      </c>
      <c r="E175" s="5" t="inlineStr">
        <is>
          <t>10.1016/j.cej.2024.152131</t>
        </is>
      </c>
      <c r="F175" s="5" t="inlineStr">
        <is>
          <t>Macrophage/cytokine-balancing matrices</t>
        </is>
      </c>
      <c r="G175" s="5" t="inlineStr">
        <is>
          <t>Antimicrobial or biofilm</t>
        </is>
      </c>
      <c r="H175" s="6" t="inlineStr">
        <is>
          <t>1</t>
        </is>
      </c>
      <c r="K175" s="5" t="inlineStr">
        <is>
          <t xml:space="preserve">; </t>
        </is>
      </c>
      <c r="M175" s="5" t="inlineStr">
        <is>
          <t>100.0</t>
        </is>
      </c>
      <c r="N175" s="5" t="inlineStr">
        <is>
          <t>YES</t>
        </is>
      </c>
    </row>
    <row r="176">
      <c r="A176" s="6" t="n">
        <v>232</v>
      </c>
      <c r="B176" s="5" t="inlineStr">
        <is>
          <t>S3</t>
        </is>
      </c>
      <c r="C176" s="5" t="inlineStr">
        <is>
          <t>7: Macrophage-state and cytokine-balancing matrices</t>
        </is>
      </c>
      <c r="D176" s="5" t="inlineStr">
        <is>
          <t>Programming of macrophage polarization in different stages for accelerating wound healing</t>
        </is>
      </c>
      <c r="E176" s="5" t="inlineStr">
        <is>
          <t>10.1016/j.cej.2024.152131</t>
        </is>
      </c>
      <c r="F176" s="5" t="inlineStr">
        <is>
          <t>Macrophage/cytokine-balancing matrices</t>
        </is>
      </c>
      <c r="G176" s="5" t="inlineStr">
        <is>
          <t>ROS, oxidative, or metabolic</t>
        </is>
      </c>
      <c r="H176" s="6" t="inlineStr">
        <is>
          <t>1</t>
        </is>
      </c>
      <c r="K176" s="5" t="inlineStr">
        <is>
          <t xml:space="preserve">; </t>
        </is>
      </c>
      <c r="M176" s="5" t="inlineStr">
        <is>
          <t>100.0</t>
        </is>
      </c>
      <c r="N176" s="5" t="inlineStr">
        <is>
          <t>YES</t>
        </is>
      </c>
    </row>
    <row r="177">
      <c r="A177" s="6" t="n">
        <v>232</v>
      </c>
      <c r="B177" s="5" t="inlineStr">
        <is>
          <t>S3</t>
        </is>
      </c>
      <c r="C177" s="5" t="inlineStr">
        <is>
          <t>7: Macrophage-state and cytokine-balancing matrices</t>
        </is>
      </c>
      <c r="D177" s="5" t="inlineStr">
        <is>
          <t>Programming of macrophage polarization in different stages for accelerating wound healing</t>
        </is>
      </c>
      <c r="E177" s="5" t="inlineStr">
        <is>
          <t>10.1016/j.cej.2024.152131</t>
        </is>
      </c>
      <c r="F177" s="5" t="inlineStr">
        <is>
          <t>Macrophage/cytokine-balancing matrices</t>
        </is>
      </c>
      <c r="G177" s="5" t="inlineStr">
        <is>
          <t>Immune, cytokine, or macrophage</t>
        </is>
      </c>
      <c r="H177" s="6" t="inlineStr">
        <is>
          <t>1</t>
        </is>
      </c>
      <c r="K177" s="5" t="inlineStr">
        <is>
          <t xml:space="preserve">; </t>
        </is>
      </c>
      <c r="M177" s="5" t="inlineStr">
        <is>
          <t>100.0</t>
        </is>
      </c>
      <c r="N177" s="5" t="inlineStr">
        <is>
          <t>YES</t>
        </is>
      </c>
    </row>
    <row r="178">
      <c r="A178" s="6" t="n">
        <v>232</v>
      </c>
      <c r="B178" s="5" t="inlineStr">
        <is>
          <t>S3</t>
        </is>
      </c>
      <c r="C178" s="5" t="inlineStr">
        <is>
          <t>7: Macrophage-state and cytokine-balancing matrices</t>
        </is>
      </c>
      <c r="D178" s="5" t="inlineStr">
        <is>
          <t>Programming of macrophage polarization in different stages for accelerating wound healing</t>
        </is>
      </c>
      <c r="E178" s="5" t="inlineStr">
        <is>
          <t>10.1016/j.cej.2024.152131</t>
        </is>
      </c>
      <c r="F178" s="5" t="inlineStr">
        <is>
          <t>Macrophage/cytokine-balancing matrices</t>
        </is>
      </c>
      <c r="G178" s="5" t="inlineStr">
        <is>
          <t>Angiogenic or vascular</t>
        </is>
      </c>
      <c r="H178" s="6" t="inlineStr">
        <is>
          <t>1</t>
        </is>
      </c>
      <c r="K178" s="5" t="inlineStr">
        <is>
          <t xml:space="preserve">; </t>
        </is>
      </c>
      <c r="M178" s="5" t="inlineStr">
        <is>
          <t>100.0</t>
        </is>
      </c>
      <c r="N178" s="5" t="inlineStr">
        <is>
          <t>YES</t>
        </is>
      </c>
    </row>
    <row r="179">
      <c r="A179" s="6" t="n">
        <v>232</v>
      </c>
      <c r="B179" s="5" t="inlineStr">
        <is>
          <t>S3</t>
        </is>
      </c>
      <c r="C179" s="5" t="inlineStr">
        <is>
          <t>7: Macrophage-state and cytokine-balancing matrices</t>
        </is>
      </c>
      <c r="D179" s="5" t="inlineStr">
        <is>
          <t>Programming of macrophage polarization in different stages for accelerating wound healing</t>
        </is>
      </c>
      <c r="E179" s="5" t="inlineStr">
        <is>
          <t>10.1016/j.cej.2024.152131</t>
        </is>
      </c>
      <c r="F179" s="5" t="inlineStr">
        <is>
          <t>Macrophage/cytokine-balancing matrices</t>
        </is>
      </c>
      <c r="G179" s="5" t="inlineStr">
        <is>
          <t>Histology, collagen, or matrix repair</t>
        </is>
      </c>
      <c r="H179" s="6" t="inlineStr">
        <is>
          <t>1</t>
        </is>
      </c>
      <c r="K179" s="5" t="inlineStr">
        <is>
          <t xml:space="preserve">; </t>
        </is>
      </c>
      <c r="M179" s="5" t="inlineStr">
        <is>
          <t>100.0</t>
        </is>
      </c>
      <c r="N179" s="5" t="inlineStr">
        <is>
          <t>YES</t>
        </is>
      </c>
    </row>
    <row r="180">
      <c r="A180" s="6" t="n">
        <v>232</v>
      </c>
      <c r="B180" s="5" t="inlineStr">
        <is>
          <t>S3</t>
        </is>
      </c>
      <c r="C180" s="5" t="inlineStr">
        <is>
          <t>7: Macrophage-state and cytokine-balancing matrices</t>
        </is>
      </c>
      <c r="D180" s="5" t="inlineStr">
        <is>
          <t>Programming of macrophage polarization in different stages for accelerating wound healing</t>
        </is>
      </c>
      <c r="E180" s="5" t="inlineStr">
        <is>
          <t>10.1016/j.cej.2024.152131</t>
        </is>
      </c>
      <c r="F180" s="5" t="inlineStr">
        <is>
          <t>Macrophage/cytokine-balancing matrices</t>
        </is>
      </c>
      <c r="G180" s="5" t="inlineStr">
        <is>
          <t>Wound-area trajectory</t>
        </is>
      </c>
      <c r="H180" s="6" t="inlineStr">
        <is>
          <t>1</t>
        </is>
      </c>
      <c r="K180" s="5" t="inlineStr">
        <is>
          <t xml:space="preserve">; </t>
        </is>
      </c>
      <c r="M180" s="5" t="inlineStr">
        <is>
          <t>100.0</t>
        </is>
      </c>
      <c r="N180" s="5" t="inlineStr">
        <is>
          <t>YES</t>
        </is>
      </c>
    </row>
    <row r="181">
      <c r="A181" s="6" t="n">
        <v>232</v>
      </c>
      <c r="B181" s="5" t="inlineStr">
        <is>
          <t>S3</t>
        </is>
      </c>
      <c r="C181" s="5" t="inlineStr">
        <is>
          <t>7: Macrophage-state and cytokine-balancing matrices</t>
        </is>
      </c>
      <c r="D181" s="5" t="inlineStr">
        <is>
          <t>Programming of macrophage polarization in different stages for accelerating wound healing</t>
        </is>
      </c>
      <c r="E181" s="5" t="inlineStr">
        <is>
          <t>10.1016/j.cej.2024.152131</t>
        </is>
      </c>
      <c r="F181" s="5" t="inlineStr">
        <is>
          <t>Macrophage/cytokine-balancing matrices</t>
        </is>
      </c>
      <c r="G181" s="5" t="inlineStr">
        <is>
          <t>Safety or cytocompatibility</t>
        </is>
      </c>
      <c r="H181" s="6" t="inlineStr">
        <is>
          <t>1</t>
        </is>
      </c>
      <c r="K181" s="5" t="inlineStr">
        <is>
          <t xml:space="preserve">; </t>
        </is>
      </c>
      <c r="M181" s="5" t="inlineStr">
        <is>
          <t>100.0</t>
        </is>
      </c>
      <c r="N181" s="5" t="inlineStr">
        <is>
          <t>YES</t>
        </is>
      </c>
    </row>
    <row r="182">
      <c r="A182" s="6" t="n">
        <v>235</v>
      </c>
      <c r="B182" s="5" t="inlineStr">
        <is>
          <t>S3</t>
        </is>
      </c>
      <c r="C182" s="5" t="inlineStr">
        <is>
          <t>8: Antimicrobial and antibiofilm hydrogel depots</t>
        </is>
      </c>
      <c r="D182" s="5" t="inlineStr">
        <is>
          <t>Efficacy of a novel antimicrobial hydrogel for eradication of Staphylococcus epidermidis, Staphylococcus aureus and Cutibacterium acnes from preformed biofilm and treatment performance in an in vivo MRSA wound model</t>
        </is>
      </c>
      <c r="E182" s="5" t="inlineStr">
        <is>
          <t>10.1093/jacamr/dlab108</t>
        </is>
      </c>
      <c r="F182" s="5" t="inlineStr">
        <is>
          <t>Antimicrobial/antibiofilm depots</t>
        </is>
      </c>
      <c r="G182" s="5" t="inlineStr">
        <is>
          <t>Material properties</t>
        </is>
      </c>
      <c r="H182" s="6" t="inlineStr">
        <is>
          <t>1</t>
        </is>
      </c>
      <c r="K182" s="5" t="inlineStr">
        <is>
          <t xml:space="preserve">; </t>
        </is>
      </c>
      <c r="M182" s="5" t="inlineStr">
        <is>
          <t>100.0</t>
        </is>
      </c>
      <c r="N182" s="5" t="inlineStr">
        <is>
          <t>YES</t>
        </is>
      </c>
    </row>
    <row r="183">
      <c r="A183" s="6" t="n">
        <v>235</v>
      </c>
      <c r="B183" s="5" t="inlineStr">
        <is>
          <t>S3</t>
        </is>
      </c>
      <c r="C183" s="5" t="inlineStr">
        <is>
          <t>8: Antimicrobial and antibiofilm hydrogel depots</t>
        </is>
      </c>
      <c r="D183" s="5" t="inlineStr">
        <is>
          <t>Efficacy of a novel antimicrobial hydrogel for eradication of Staphylococcus epidermidis, Staphylococcus aureus and Cutibacterium acnes from preformed biofilm and treatment performance in an in vivo MRSA wound model</t>
        </is>
      </c>
      <c r="E183" s="5" t="inlineStr">
        <is>
          <t>10.1093/jacamr/dlab108</t>
        </is>
      </c>
      <c r="F183" s="5" t="inlineStr">
        <is>
          <t>Antimicrobial/antibiofilm depots</t>
        </is>
      </c>
      <c r="G183" s="5" t="inlineStr">
        <is>
          <t>Release or activation kinetics</t>
        </is>
      </c>
      <c r="H183" s="6" t="inlineStr">
        <is>
          <t>1</t>
        </is>
      </c>
      <c r="K183" s="5" t="inlineStr">
        <is>
          <t xml:space="preserve">; </t>
        </is>
      </c>
      <c r="M183" s="5" t="inlineStr">
        <is>
          <t>100.0</t>
        </is>
      </c>
      <c r="N183" s="5" t="inlineStr">
        <is>
          <t>YES</t>
        </is>
      </c>
    </row>
    <row r="184">
      <c r="A184" s="6" t="n">
        <v>235</v>
      </c>
      <c r="B184" s="5" t="inlineStr">
        <is>
          <t>S3</t>
        </is>
      </c>
      <c r="C184" s="5" t="inlineStr">
        <is>
          <t>8: Antimicrobial and antibiofilm hydrogel depots</t>
        </is>
      </c>
      <c r="D184" s="5" t="inlineStr">
        <is>
          <t>Efficacy of a novel antimicrobial hydrogel for eradication of Staphylococcus epidermidis, Staphylococcus aureus and Cutibacterium acnes from preformed biofilm and treatment performance in an in vivo MRSA wound model</t>
        </is>
      </c>
      <c r="E184" s="5" t="inlineStr">
        <is>
          <t>10.1093/jacamr/dlab108</t>
        </is>
      </c>
      <c r="F184" s="5" t="inlineStr">
        <is>
          <t>Antimicrobial/antibiofilm depots</t>
        </is>
      </c>
      <c r="G184" s="5" t="inlineStr">
        <is>
          <t>Antimicrobial or biofilm</t>
        </is>
      </c>
      <c r="H184" s="6" t="inlineStr">
        <is>
          <t>1</t>
        </is>
      </c>
      <c r="K184" s="5" t="inlineStr">
        <is>
          <t xml:space="preserve">; </t>
        </is>
      </c>
      <c r="M184" s="5" t="inlineStr">
        <is>
          <t>100.0</t>
        </is>
      </c>
      <c r="N184" s="5" t="inlineStr">
        <is>
          <t>YES</t>
        </is>
      </c>
    </row>
    <row r="185">
      <c r="A185" s="6" t="n">
        <v>235</v>
      </c>
      <c r="B185" s="5" t="inlineStr">
        <is>
          <t>S3</t>
        </is>
      </c>
      <c r="C185" s="5" t="inlineStr">
        <is>
          <t>8: Antimicrobial and antibiofilm hydrogel depots</t>
        </is>
      </c>
      <c r="D185" s="5" t="inlineStr">
        <is>
          <t>Efficacy of a novel antimicrobial hydrogel for eradication of Staphylococcus epidermidis, Staphylococcus aureus and Cutibacterium acnes from preformed biofilm and treatment performance in an in vivo MRSA wound model</t>
        </is>
      </c>
      <c r="E185" s="5" t="inlineStr">
        <is>
          <t>10.1093/jacamr/dlab108</t>
        </is>
      </c>
      <c r="F185" s="5" t="inlineStr">
        <is>
          <t>Antimicrobial/antibiofilm depots</t>
        </is>
      </c>
      <c r="G185" s="5" t="inlineStr">
        <is>
          <t>ROS, oxidative, or metabolic</t>
        </is>
      </c>
      <c r="H185" s="6" t="inlineStr">
        <is>
          <t>1</t>
        </is>
      </c>
      <c r="K185" s="5" t="inlineStr">
        <is>
          <t xml:space="preserve">; </t>
        </is>
      </c>
      <c r="M185" s="5" t="inlineStr">
        <is>
          <t>100.0</t>
        </is>
      </c>
      <c r="N185" s="5" t="inlineStr">
        <is>
          <t>YES</t>
        </is>
      </c>
    </row>
    <row r="186">
      <c r="A186" s="6" t="n">
        <v>235</v>
      </c>
      <c r="B186" s="5" t="inlineStr">
        <is>
          <t>S3</t>
        </is>
      </c>
      <c r="C186" s="5" t="inlineStr">
        <is>
          <t>8: Antimicrobial and antibiofilm hydrogel depots</t>
        </is>
      </c>
      <c r="D186" s="5" t="inlineStr">
        <is>
          <t>Efficacy of a novel antimicrobial hydrogel for eradication of Staphylococcus epidermidis, Staphylococcus aureus and Cutibacterium acnes from preformed biofilm and treatment performance in an in vivo MRSA wound model</t>
        </is>
      </c>
      <c r="E186" s="5" t="inlineStr">
        <is>
          <t>10.1093/jacamr/dlab108</t>
        </is>
      </c>
      <c r="F186" s="5" t="inlineStr">
        <is>
          <t>Antimicrobial/antibiofilm depots</t>
        </is>
      </c>
      <c r="G186" s="5" t="inlineStr">
        <is>
          <t>Immune, cytokine, or macrophage</t>
        </is>
      </c>
      <c r="H186" s="6" t="inlineStr">
        <is>
          <t>1</t>
        </is>
      </c>
      <c r="K186" s="5" t="inlineStr">
        <is>
          <t xml:space="preserve">; </t>
        </is>
      </c>
      <c r="M186" s="5" t="inlineStr">
        <is>
          <t>100.0</t>
        </is>
      </c>
      <c r="N186" s="5" t="inlineStr">
        <is>
          <t>YES</t>
        </is>
      </c>
    </row>
    <row r="187">
      <c r="A187" s="6" t="n">
        <v>235</v>
      </c>
      <c r="B187" s="5" t="inlineStr">
        <is>
          <t>S3</t>
        </is>
      </c>
      <c r="C187" s="5" t="inlineStr">
        <is>
          <t>8: Antimicrobial and antibiofilm hydrogel depots</t>
        </is>
      </c>
      <c r="D187" s="5" t="inlineStr">
        <is>
          <t>Efficacy of a novel antimicrobial hydrogel for eradication of Staphylococcus epidermidis, Staphylococcus aureus and Cutibacterium acnes from preformed biofilm and treatment performance in an in vivo MRSA wound model</t>
        </is>
      </c>
      <c r="E187" s="5" t="inlineStr">
        <is>
          <t>10.1093/jacamr/dlab108</t>
        </is>
      </c>
      <c r="F187" s="5" t="inlineStr">
        <is>
          <t>Antimicrobial/antibiofilm depots</t>
        </is>
      </c>
      <c r="G187" s="5" t="inlineStr">
        <is>
          <t>Angiogenic or vascular</t>
        </is>
      </c>
      <c r="H187" s="6" t="inlineStr">
        <is>
          <t>1</t>
        </is>
      </c>
      <c r="K187" s="5" t="inlineStr">
        <is>
          <t xml:space="preserve">; </t>
        </is>
      </c>
      <c r="M187" s="5" t="inlineStr">
        <is>
          <t>100.0</t>
        </is>
      </c>
      <c r="N187" s="5" t="inlineStr">
        <is>
          <t>YES</t>
        </is>
      </c>
    </row>
    <row r="188">
      <c r="A188" s="6" t="n">
        <v>235</v>
      </c>
      <c r="B188" s="5" t="inlineStr">
        <is>
          <t>S3</t>
        </is>
      </c>
      <c r="C188" s="5" t="inlineStr">
        <is>
          <t>8: Antimicrobial and antibiofilm hydrogel depots</t>
        </is>
      </c>
      <c r="D188" s="5" t="inlineStr">
        <is>
          <t>Efficacy of a novel antimicrobial hydrogel for eradication of Staphylococcus epidermidis, Staphylococcus aureus and Cutibacterium acnes from preformed biofilm and treatment performance in an in vivo MRSA wound model</t>
        </is>
      </c>
      <c r="E188" s="5" t="inlineStr">
        <is>
          <t>10.1093/jacamr/dlab108</t>
        </is>
      </c>
      <c r="F188" s="5" t="inlineStr">
        <is>
          <t>Antimicrobial/antibiofilm depots</t>
        </is>
      </c>
      <c r="G188" s="5" t="inlineStr">
        <is>
          <t>Histology, collagen, or matrix repair</t>
        </is>
      </c>
      <c r="H188" s="6" t="inlineStr">
        <is>
          <t>1</t>
        </is>
      </c>
      <c r="K188" s="5" t="inlineStr">
        <is>
          <t xml:space="preserve">; </t>
        </is>
      </c>
      <c r="M188" s="5" t="inlineStr">
        <is>
          <t>100.0</t>
        </is>
      </c>
      <c r="N188" s="5" t="inlineStr">
        <is>
          <t>YES</t>
        </is>
      </c>
    </row>
    <row r="189">
      <c r="A189" s="6" t="n">
        <v>235</v>
      </c>
      <c r="B189" s="5" t="inlineStr">
        <is>
          <t>S3</t>
        </is>
      </c>
      <c r="C189" s="5" t="inlineStr">
        <is>
          <t>8: Antimicrobial and antibiofilm hydrogel depots</t>
        </is>
      </c>
      <c r="D189" s="5" t="inlineStr">
        <is>
          <t>Efficacy of a novel antimicrobial hydrogel for eradication of Staphylococcus epidermidis, Staphylococcus aureus and Cutibacterium acnes from preformed biofilm and treatment performance in an in vivo MRSA wound model</t>
        </is>
      </c>
      <c r="E189" s="5" t="inlineStr">
        <is>
          <t>10.1093/jacamr/dlab108</t>
        </is>
      </c>
      <c r="F189" s="5" t="inlineStr">
        <is>
          <t>Antimicrobial/antibiofilm depots</t>
        </is>
      </c>
      <c r="G189" s="5" t="inlineStr">
        <is>
          <t>Wound-area trajectory</t>
        </is>
      </c>
      <c r="H189" s="6" t="inlineStr">
        <is>
          <t>0</t>
        </is>
      </c>
      <c r="K189" s="5" t="inlineStr">
        <is>
          <t xml:space="preserve">; </t>
        </is>
      </c>
      <c r="M189" s="5" t="inlineStr">
        <is>
          <t>100.0</t>
        </is>
      </c>
      <c r="N189" s="5" t="inlineStr">
        <is>
          <t>YES</t>
        </is>
      </c>
    </row>
    <row r="190">
      <c r="A190" s="6" t="n">
        <v>235</v>
      </c>
      <c r="B190" s="5" t="inlineStr">
        <is>
          <t>S3</t>
        </is>
      </c>
      <c r="C190" s="5" t="inlineStr">
        <is>
          <t>8: Antimicrobial and antibiofilm hydrogel depots</t>
        </is>
      </c>
      <c r="D190" s="5" t="inlineStr">
        <is>
          <t>Efficacy of a novel antimicrobial hydrogel for eradication of Staphylococcus epidermidis, Staphylococcus aureus and Cutibacterium acnes from preformed biofilm and treatment performance in an in vivo MRSA wound model</t>
        </is>
      </c>
      <c r="E190" s="5" t="inlineStr">
        <is>
          <t>10.1093/jacamr/dlab108</t>
        </is>
      </c>
      <c r="F190" s="5" t="inlineStr">
        <is>
          <t>Antimicrobial/antibiofilm depots</t>
        </is>
      </c>
      <c r="G190" s="5" t="inlineStr">
        <is>
          <t>Safety or cytocompatibility</t>
        </is>
      </c>
      <c r="H190" s="6" t="inlineStr">
        <is>
          <t>0</t>
        </is>
      </c>
      <c r="K190" s="5" t="inlineStr">
        <is>
          <t xml:space="preserve">; </t>
        </is>
      </c>
      <c r="M190" s="5" t="inlineStr">
        <is>
          <t>100.0</t>
        </is>
      </c>
      <c r="N190" s="5" t="inlineStr">
        <is>
          <t>YES</t>
        </is>
      </c>
    </row>
    <row r="191">
      <c r="A191" s="6" t="n">
        <v>238</v>
      </c>
      <c r="B191" s="5" t="inlineStr">
        <is>
          <t>S3</t>
        </is>
      </c>
      <c r="C191" s="5" t="inlineStr">
        <is>
          <t>8: Antimicrobial and antibiofilm hydrogel depots</t>
        </is>
      </c>
      <c r="D191" s="5" t="inlineStr">
        <is>
          <t>Sustained release of alginate hydrogel containing antimicrobial peptide Chol-37 (F34-R) in vitro and its effect on wound healing in murine model of Pseudomonas aeruginosa infection</t>
        </is>
      </c>
      <c r="E191" s="5" t="inlineStr">
        <is>
          <t>10.4142/jvs.22319</t>
        </is>
      </c>
      <c r="F191" s="5" t="inlineStr">
        <is>
          <t>Antimicrobial/antibiofilm depots</t>
        </is>
      </c>
      <c r="G191" s="5" t="inlineStr">
        <is>
          <t>Material properties</t>
        </is>
      </c>
      <c r="H191" s="6" t="inlineStr">
        <is>
          <t>1</t>
        </is>
      </c>
      <c r="K191" s="5" t="inlineStr">
        <is>
          <t xml:space="preserve">; </t>
        </is>
      </c>
      <c r="M191" s="5" t="inlineStr">
        <is>
          <t>100.0</t>
        </is>
      </c>
      <c r="N191" s="5" t="inlineStr">
        <is>
          <t>YES</t>
        </is>
      </c>
    </row>
    <row r="192">
      <c r="A192" s="6" t="n">
        <v>238</v>
      </c>
      <c r="B192" s="5" t="inlineStr">
        <is>
          <t>S3</t>
        </is>
      </c>
      <c r="C192" s="5" t="inlineStr">
        <is>
          <t>8: Antimicrobial and antibiofilm hydrogel depots</t>
        </is>
      </c>
      <c r="D192" s="5" t="inlineStr">
        <is>
          <t>Sustained release of alginate hydrogel containing antimicrobial peptide Chol-37 (F34-R) in vitro and its effect on wound healing in murine model of Pseudomonas aeruginosa infection</t>
        </is>
      </c>
      <c r="E192" s="5" t="inlineStr">
        <is>
          <t>10.4142/jvs.22319</t>
        </is>
      </c>
      <c r="F192" s="5" t="inlineStr">
        <is>
          <t>Antimicrobial/antibiofilm depots</t>
        </is>
      </c>
      <c r="G192" s="5" t="inlineStr">
        <is>
          <t>Release or activation kinetics</t>
        </is>
      </c>
      <c r="H192" s="6" t="inlineStr">
        <is>
          <t>1</t>
        </is>
      </c>
      <c r="K192" s="5" t="inlineStr">
        <is>
          <t xml:space="preserve">; </t>
        </is>
      </c>
      <c r="M192" s="5" t="inlineStr">
        <is>
          <t>100.0</t>
        </is>
      </c>
      <c r="N192" s="5" t="inlineStr">
        <is>
          <t>YES</t>
        </is>
      </c>
    </row>
    <row r="193">
      <c r="A193" s="6" t="n">
        <v>238</v>
      </c>
      <c r="B193" s="5" t="inlineStr">
        <is>
          <t>S3</t>
        </is>
      </c>
      <c r="C193" s="5" t="inlineStr">
        <is>
          <t>8: Antimicrobial and antibiofilm hydrogel depots</t>
        </is>
      </c>
      <c r="D193" s="5" t="inlineStr">
        <is>
          <t>Sustained release of alginate hydrogel containing antimicrobial peptide Chol-37 (F34-R) in vitro and its effect on wound healing in murine model of Pseudomonas aeruginosa infection</t>
        </is>
      </c>
      <c r="E193" s="5" t="inlineStr">
        <is>
          <t>10.4142/jvs.22319</t>
        </is>
      </c>
      <c r="F193" s="5" t="inlineStr">
        <is>
          <t>Antimicrobial/antibiofilm depots</t>
        </is>
      </c>
      <c r="G193" s="5" t="inlineStr">
        <is>
          <t>Antimicrobial or biofilm</t>
        </is>
      </c>
      <c r="H193" s="6" t="inlineStr">
        <is>
          <t>1</t>
        </is>
      </c>
      <c r="K193" s="5" t="inlineStr">
        <is>
          <t xml:space="preserve">; </t>
        </is>
      </c>
      <c r="M193" s="5" t="inlineStr">
        <is>
          <t>100.0</t>
        </is>
      </c>
      <c r="N193" s="5" t="inlineStr">
        <is>
          <t>YES</t>
        </is>
      </c>
    </row>
    <row r="194">
      <c r="A194" s="6" t="n">
        <v>238</v>
      </c>
      <c r="B194" s="5" t="inlineStr">
        <is>
          <t>S3</t>
        </is>
      </c>
      <c r="C194" s="5" t="inlineStr">
        <is>
          <t>8: Antimicrobial and antibiofilm hydrogel depots</t>
        </is>
      </c>
      <c r="D194" s="5" t="inlineStr">
        <is>
          <t>Sustained release of alginate hydrogel containing antimicrobial peptide Chol-37 (F34-R) in vitro and its effect on wound healing in murine model of Pseudomonas aeruginosa infection</t>
        </is>
      </c>
      <c r="E194" s="5" t="inlineStr">
        <is>
          <t>10.4142/jvs.22319</t>
        </is>
      </c>
      <c r="F194" s="5" t="inlineStr">
        <is>
          <t>Antimicrobial/antibiofilm depots</t>
        </is>
      </c>
      <c r="G194" s="5" t="inlineStr">
        <is>
          <t>ROS, oxidative, or metabolic</t>
        </is>
      </c>
      <c r="H194" s="6" t="inlineStr">
        <is>
          <t>0</t>
        </is>
      </c>
      <c r="K194" s="5" t="inlineStr">
        <is>
          <t xml:space="preserve">; </t>
        </is>
      </c>
      <c r="M194" s="5" t="inlineStr">
        <is>
          <t>100.0</t>
        </is>
      </c>
      <c r="N194" s="5" t="inlineStr">
        <is>
          <t>YES</t>
        </is>
      </c>
    </row>
    <row r="195">
      <c r="A195" s="6" t="n">
        <v>238</v>
      </c>
      <c r="B195" s="5" t="inlineStr">
        <is>
          <t>S3</t>
        </is>
      </c>
      <c r="C195" s="5" t="inlineStr">
        <is>
          <t>8: Antimicrobial and antibiofilm hydrogel depots</t>
        </is>
      </c>
      <c r="D195" s="5" t="inlineStr">
        <is>
          <t>Sustained release of alginate hydrogel containing antimicrobial peptide Chol-37 (F34-R) in vitro and its effect on wound healing in murine model of Pseudomonas aeruginosa infection</t>
        </is>
      </c>
      <c r="E195" s="5" t="inlineStr">
        <is>
          <t>10.4142/jvs.22319</t>
        </is>
      </c>
      <c r="F195" s="5" t="inlineStr">
        <is>
          <t>Antimicrobial/antibiofilm depots</t>
        </is>
      </c>
      <c r="G195" s="5" t="inlineStr">
        <is>
          <t>Immune, cytokine, or macrophage</t>
        </is>
      </c>
      <c r="H195" s="6" t="inlineStr">
        <is>
          <t>1</t>
        </is>
      </c>
      <c r="K195" s="5" t="inlineStr">
        <is>
          <t xml:space="preserve">; </t>
        </is>
      </c>
      <c r="M195" s="5" t="inlineStr">
        <is>
          <t>100.0</t>
        </is>
      </c>
      <c r="N195" s="5" t="inlineStr">
        <is>
          <t>YES</t>
        </is>
      </c>
    </row>
    <row r="196">
      <c r="A196" s="6" t="n">
        <v>238</v>
      </c>
      <c r="B196" s="5" t="inlineStr">
        <is>
          <t>S3</t>
        </is>
      </c>
      <c r="C196" s="5" t="inlineStr">
        <is>
          <t>8: Antimicrobial and antibiofilm hydrogel depots</t>
        </is>
      </c>
      <c r="D196" s="5" t="inlineStr">
        <is>
          <t>Sustained release of alginate hydrogel containing antimicrobial peptide Chol-37 (F34-R) in vitro and its effect on wound healing in murine model of Pseudomonas aeruginosa infection</t>
        </is>
      </c>
      <c r="E196" s="5" t="inlineStr">
        <is>
          <t>10.4142/jvs.22319</t>
        </is>
      </c>
      <c r="F196" s="5" t="inlineStr">
        <is>
          <t>Antimicrobial/antibiofilm depots</t>
        </is>
      </c>
      <c r="G196" s="5" t="inlineStr">
        <is>
          <t>Angiogenic or vascular</t>
        </is>
      </c>
      <c r="H196" s="6" t="inlineStr">
        <is>
          <t>0</t>
        </is>
      </c>
      <c r="K196" s="5" t="inlineStr">
        <is>
          <t xml:space="preserve">; </t>
        </is>
      </c>
      <c r="M196" s="5" t="inlineStr">
        <is>
          <t>100.0</t>
        </is>
      </c>
      <c r="N196" s="5" t="inlineStr">
        <is>
          <t>YES</t>
        </is>
      </c>
    </row>
    <row r="197">
      <c r="A197" s="6" t="n">
        <v>238</v>
      </c>
      <c r="B197" s="5" t="inlineStr">
        <is>
          <t>S3</t>
        </is>
      </c>
      <c r="C197" s="5" t="inlineStr">
        <is>
          <t>8: Antimicrobial and antibiofilm hydrogel depots</t>
        </is>
      </c>
      <c r="D197" s="5" t="inlineStr">
        <is>
          <t>Sustained release of alginate hydrogel containing antimicrobial peptide Chol-37 (F34-R) in vitro and its effect on wound healing in murine model of Pseudomonas aeruginosa infection</t>
        </is>
      </c>
      <c r="E197" s="5" t="inlineStr">
        <is>
          <t>10.4142/jvs.22319</t>
        </is>
      </c>
      <c r="F197" s="5" t="inlineStr">
        <is>
          <t>Antimicrobial/antibiofilm depots</t>
        </is>
      </c>
      <c r="G197" s="5" t="inlineStr">
        <is>
          <t>Histology, collagen, or matrix repair</t>
        </is>
      </c>
      <c r="H197" s="6" t="inlineStr">
        <is>
          <t>1</t>
        </is>
      </c>
      <c r="K197" s="5" t="inlineStr">
        <is>
          <t xml:space="preserve">; </t>
        </is>
      </c>
      <c r="M197" s="5" t="inlineStr">
        <is>
          <t>100.0</t>
        </is>
      </c>
      <c r="N197" s="5" t="inlineStr">
        <is>
          <t>YES</t>
        </is>
      </c>
    </row>
    <row r="198">
      <c r="A198" s="6" t="n">
        <v>238</v>
      </c>
      <c r="B198" s="5" t="inlineStr">
        <is>
          <t>S3</t>
        </is>
      </c>
      <c r="C198" s="5" t="inlineStr">
        <is>
          <t>8: Antimicrobial and antibiofilm hydrogel depots</t>
        </is>
      </c>
      <c r="D198" s="5" t="inlineStr">
        <is>
          <t>Sustained release of alginate hydrogel containing antimicrobial peptide Chol-37 (F34-R) in vitro and its effect on wound healing in murine model of Pseudomonas aeruginosa infection</t>
        </is>
      </c>
      <c r="E198" s="5" t="inlineStr">
        <is>
          <t>10.4142/jvs.22319</t>
        </is>
      </c>
      <c r="F198" s="5" t="inlineStr">
        <is>
          <t>Antimicrobial/antibiofilm depots</t>
        </is>
      </c>
      <c r="G198" s="5" t="inlineStr">
        <is>
          <t>Wound-area trajectory</t>
        </is>
      </c>
      <c r="H198" s="6" t="inlineStr">
        <is>
          <t>1</t>
        </is>
      </c>
      <c r="K198" s="5" t="inlineStr">
        <is>
          <t xml:space="preserve">; </t>
        </is>
      </c>
      <c r="M198" s="5" t="inlineStr">
        <is>
          <t>100.0</t>
        </is>
      </c>
      <c r="N198" s="5" t="inlineStr">
        <is>
          <t>YES</t>
        </is>
      </c>
    </row>
    <row r="199">
      <c r="A199" s="6" t="n">
        <v>238</v>
      </c>
      <c r="B199" s="5" t="inlineStr">
        <is>
          <t>S3</t>
        </is>
      </c>
      <c r="C199" s="5" t="inlineStr">
        <is>
          <t>8: Antimicrobial and antibiofilm hydrogel depots</t>
        </is>
      </c>
      <c r="D199" s="5" t="inlineStr">
        <is>
          <t>Sustained release of alginate hydrogel containing antimicrobial peptide Chol-37 (F34-R) in vitro and its effect on wound healing in murine model of Pseudomonas aeruginosa infection</t>
        </is>
      </c>
      <c r="E199" s="5" t="inlineStr">
        <is>
          <t>10.4142/jvs.22319</t>
        </is>
      </c>
      <c r="F199" s="5" t="inlineStr">
        <is>
          <t>Antimicrobial/antibiofilm depots</t>
        </is>
      </c>
      <c r="G199" s="5" t="inlineStr">
        <is>
          <t>Safety or cytocompatibility</t>
        </is>
      </c>
      <c r="H199" s="6" t="inlineStr">
        <is>
          <t>0</t>
        </is>
      </c>
      <c r="K199" s="5" t="inlineStr">
        <is>
          <t xml:space="preserve">; </t>
        </is>
      </c>
      <c r="M199" s="5" t="inlineStr">
        <is>
          <t>100.0</t>
        </is>
      </c>
      <c r="N199" s="5" t="inlineStr">
        <is>
          <t>YES</t>
        </is>
      </c>
    </row>
    <row r="200">
      <c r="A200" s="6" t="n">
        <v>239</v>
      </c>
      <c r="B200" s="5" t="inlineStr">
        <is>
          <t>S3</t>
        </is>
      </c>
      <c r="C200" s="5" t="inlineStr">
        <is>
          <t>5: Thermogelling and externally actuated antimicrobial-regenerative systems</t>
        </is>
      </c>
      <c r="D200" s="5" t="inlineStr">
        <is>
          <t>A photo-modulated nitric oxide delivering hydrogel for the accelerated healing of biofilm infected chronic wounds</t>
        </is>
      </c>
      <c r="E200" s="5" t="inlineStr">
        <is>
          <t>10.1016/j.actbio.2024.09.017</t>
        </is>
      </c>
      <c r="F200" s="5" t="inlineStr">
        <is>
          <t>Thermogelling or externally actuated systems</t>
        </is>
      </c>
      <c r="G200" s="5" t="inlineStr">
        <is>
          <t>Material properties</t>
        </is>
      </c>
      <c r="H200" s="6" t="inlineStr">
        <is>
          <t>1</t>
        </is>
      </c>
      <c r="K200" s="5" t="inlineStr">
        <is>
          <t xml:space="preserve">; </t>
        </is>
      </c>
      <c r="M200" s="5" t="inlineStr">
        <is>
          <t>100.0</t>
        </is>
      </c>
      <c r="N200" s="5" t="inlineStr">
        <is>
          <t>YES</t>
        </is>
      </c>
    </row>
    <row r="201">
      <c r="A201" s="6" t="n">
        <v>239</v>
      </c>
      <c r="B201" s="5" t="inlineStr">
        <is>
          <t>S3</t>
        </is>
      </c>
      <c r="C201" s="5" t="inlineStr">
        <is>
          <t>5: Thermogelling and externally actuated antimicrobial-regenerative systems</t>
        </is>
      </c>
      <c r="D201" s="5" t="inlineStr">
        <is>
          <t>A photo-modulated nitric oxide delivering hydrogel for the accelerated healing of biofilm infected chronic wounds</t>
        </is>
      </c>
      <c r="E201" s="5" t="inlineStr">
        <is>
          <t>10.1016/j.actbio.2024.09.017</t>
        </is>
      </c>
      <c r="F201" s="5" t="inlineStr">
        <is>
          <t>Thermogelling or externally actuated systems</t>
        </is>
      </c>
      <c r="G201" s="5" t="inlineStr">
        <is>
          <t>Release or activation kinetics</t>
        </is>
      </c>
      <c r="H201" s="6" t="inlineStr">
        <is>
          <t>1</t>
        </is>
      </c>
      <c r="K201" s="5" t="inlineStr">
        <is>
          <t xml:space="preserve">; </t>
        </is>
      </c>
      <c r="M201" s="5" t="inlineStr">
        <is>
          <t>100.0</t>
        </is>
      </c>
      <c r="N201" s="5" t="inlineStr">
        <is>
          <t>YES</t>
        </is>
      </c>
    </row>
    <row r="202">
      <c r="A202" s="6" t="n">
        <v>239</v>
      </c>
      <c r="B202" s="5" t="inlineStr">
        <is>
          <t>S3</t>
        </is>
      </c>
      <c r="C202" s="5" t="inlineStr">
        <is>
          <t>5: Thermogelling and externally actuated antimicrobial-regenerative systems</t>
        </is>
      </c>
      <c r="D202" s="5" t="inlineStr">
        <is>
          <t>A photo-modulated nitric oxide delivering hydrogel for the accelerated healing of biofilm infected chronic wounds</t>
        </is>
      </c>
      <c r="E202" s="5" t="inlineStr">
        <is>
          <t>10.1016/j.actbio.2024.09.017</t>
        </is>
      </c>
      <c r="F202" s="5" t="inlineStr">
        <is>
          <t>Thermogelling or externally actuated systems</t>
        </is>
      </c>
      <c r="G202" s="5" t="inlineStr">
        <is>
          <t>Antimicrobial or biofilm</t>
        </is>
      </c>
      <c r="H202" s="6" t="inlineStr">
        <is>
          <t>1</t>
        </is>
      </c>
      <c r="K202" s="5" t="inlineStr">
        <is>
          <t xml:space="preserve">; </t>
        </is>
      </c>
      <c r="M202" s="5" t="inlineStr">
        <is>
          <t>100.0</t>
        </is>
      </c>
      <c r="N202" s="5" t="inlineStr">
        <is>
          <t>YES</t>
        </is>
      </c>
    </row>
    <row r="203">
      <c r="A203" s="6" t="n">
        <v>239</v>
      </c>
      <c r="B203" s="5" t="inlineStr">
        <is>
          <t>S3</t>
        </is>
      </c>
      <c r="C203" s="5" t="inlineStr">
        <is>
          <t>5: Thermogelling and externally actuated antimicrobial-regenerative systems</t>
        </is>
      </c>
      <c r="D203" s="5" t="inlineStr">
        <is>
          <t>A photo-modulated nitric oxide delivering hydrogel for the accelerated healing of biofilm infected chronic wounds</t>
        </is>
      </c>
      <c r="E203" s="5" t="inlineStr">
        <is>
          <t>10.1016/j.actbio.2024.09.017</t>
        </is>
      </c>
      <c r="F203" s="5" t="inlineStr">
        <is>
          <t>Thermogelling or externally actuated systems</t>
        </is>
      </c>
      <c r="G203" s="5" t="inlineStr">
        <is>
          <t>ROS, oxidative, or metabolic</t>
        </is>
      </c>
      <c r="H203" s="6" t="inlineStr">
        <is>
          <t>0</t>
        </is>
      </c>
      <c r="K203" s="5" t="inlineStr">
        <is>
          <t xml:space="preserve">; </t>
        </is>
      </c>
      <c r="M203" s="5" t="inlineStr">
        <is>
          <t>100.0</t>
        </is>
      </c>
      <c r="N203" s="5" t="inlineStr">
        <is>
          <t>YES</t>
        </is>
      </c>
    </row>
    <row r="204">
      <c r="A204" s="6" t="n">
        <v>239</v>
      </c>
      <c r="B204" s="5" t="inlineStr">
        <is>
          <t>S3</t>
        </is>
      </c>
      <c r="C204" s="5" t="inlineStr">
        <is>
          <t>5: Thermogelling and externally actuated antimicrobial-regenerative systems</t>
        </is>
      </c>
      <c r="D204" s="5" t="inlineStr">
        <is>
          <t>A photo-modulated nitric oxide delivering hydrogel for the accelerated healing of biofilm infected chronic wounds</t>
        </is>
      </c>
      <c r="E204" s="5" t="inlineStr">
        <is>
          <t>10.1016/j.actbio.2024.09.017</t>
        </is>
      </c>
      <c r="F204" s="5" t="inlineStr">
        <is>
          <t>Thermogelling or externally actuated systems</t>
        </is>
      </c>
      <c r="G204" s="5" t="inlineStr">
        <is>
          <t>Immune, cytokine, or macrophage</t>
        </is>
      </c>
      <c r="H204" s="6" t="inlineStr">
        <is>
          <t>1</t>
        </is>
      </c>
      <c r="K204" s="5" t="inlineStr">
        <is>
          <t xml:space="preserve">; </t>
        </is>
      </c>
      <c r="M204" s="5" t="inlineStr">
        <is>
          <t>100.0</t>
        </is>
      </c>
      <c r="N204" s="5" t="inlineStr">
        <is>
          <t>YES</t>
        </is>
      </c>
    </row>
    <row r="205">
      <c r="A205" s="6" t="n">
        <v>239</v>
      </c>
      <c r="B205" s="5" t="inlineStr">
        <is>
          <t>S3</t>
        </is>
      </c>
      <c r="C205" s="5" t="inlineStr">
        <is>
          <t>5: Thermogelling and externally actuated antimicrobial-regenerative systems</t>
        </is>
      </c>
      <c r="D205" s="5" t="inlineStr">
        <is>
          <t>A photo-modulated nitric oxide delivering hydrogel for the accelerated healing of biofilm infected chronic wounds</t>
        </is>
      </c>
      <c r="E205" s="5" t="inlineStr">
        <is>
          <t>10.1016/j.actbio.2024.09.017</t>
        </is>
      </c>
      <c r="F205" s="5" t="inlineStr">
        <is>
          <t>Thermogelling or externally actuated systems</t>
        </is>
      </c>
      <c r="G205" s="5" t="inlineStr">
        <is>
          <t>Angiogenic or vascular</t>
        </is>
      </c>
      <c r="H205" s="6" t="inlineStr">
        <is>
          <t>1</t>
        </is>
      </c>
      <c r="K205" s="5" t="inlineStr">
        <is>
          <t xml:space="preserve">; </t>
        </is>
      </c>
      <c r="M205" s="5" t="inlineStr">
        <is>
          <t>100.0</t>
        </is>
      </c>
      <c r="N205" s="5" t="inlineStr">
        <is>
          <t>YES</t>
        </is>
      </c>
    </row>
    <row r="206">
      <c r="A206" s="6" t="n">
        <v>239</v>
      </c>
      <c r="B206" s="5" t="inlineStr">
        <is>
          <t>S3</t>
        </is>
      </c>
      <c r="C206" s="5" t="inlineStr">
        <is>
          <t>5: Thermogelling and externally actuated antimicrobial-regenerative systems</t>
        </is>
      </c>
      <c r="D206" s="5" t="inlineStr">
        <is>
          <t>A photo-modulated nitric oxide delivering hydrogel for the accelerated healing of biofilm infected chronic wounds</t>
        </is>
      </c>
      <c r="E206" s="5" t="inlineStr">
        <is>
          <t>10.1016/j.actbio.2024.09.017</t>
        </is>
      </c>
      <c r="F206" s="5" t="inlineStr">
        <is>
          <t>Thermogelling or externally actuated systems</t>
        </is>
      </c>
      <c r="G206" s="5" t="inlineStr">
        <is>
          <t>Histology, collagen, or matrix repair</t>
        </is>
      </c>
      <c r="H206" s="6" t="inlineStr">
        <is>
          <t>1</t>
        </is>
      </c>
      <c r="K206" s="5" t="inlineStr">
        <is>
          <t xml:space="preserve">; </t>
        </is>
      </c>
      <c r="M206" s="5" t="inlineStr">
        <is>
          <t>100.0</t>
        </is>
      </c>
      <c r="N206" s="5" t="inlineStr">
        <is>
          <t>YES</t>
        </is>
      </c>
    </row>
    <row r="207">
      <c r="A207" s="6" t="n">
        <v>239</v>
      </c>
      <c r="B207" s="5" t="inlineStr">
        <is>
          <t>S3</t>
        </is>
      </c>
      <c r="C207" s="5" t="inlineStr">
        <is>
          <t>5: Thermogelling and externally actuated antimicrobial-regenerative systems</t>
        </is>
      </c>
      <c r="D207" s="5" t="inlineStr">
        <is>
          <t>A photo-modulated nitric oxide delivering hydrogel for the accelerated healing of biofilm infected chronic wounds</t>
        </is>
      </c>
      <c r="E207" s="5" t="inlineStr">
        <is>
          <t>10.1016/j.actbio.2024.09.017</t>
        </is>
      </c>
      <c r="F207" s="5" t="inlineStr">
        <is>
          <t>Thermogelling or externally actuated systems</t>
        </is>
      </c>
      <c r="G207" s="5" t="inlineStr">
        <is>
          <t>Wound-area trajectory</t>
        </is>
      </c>
      <c r="H207" s="6" t="inlineStr">
        <is>
          <t>1</t>
        </is>
      </c>
      <c r="K207" s="5" t="inlineStr">
        <is>
          <t xml:space="preserve">; </t>
        </is>
      </c>
      <c r="M207" s="5" t="inlineStr">
        <is>
          <t>100.0</t>
        </is>
      </c>
      <c r="N207" s="5" t="inlineStr">
        <is>
          <t>YES</t>
        </is>
      </c>
    </row>
    <row r="208">
      <c r="A208" s="6" t="n">
        <v>239</v>
      </c>
      <c r="B208" s="5" t="inlineStr">
        <is>
          <t>S3</t>
        </is>
      </c>
      <c r="C208" s="5" t="inlineStr">
        <is>
          <t>5: Thermogelling and externally actuated antimicrobial-regenerative systems</t>
        </is>
      </c>
      <c r="D208" s="5" t="inlineStr">
        <is>
          <t>A photo-modulated nitric oxide delivering hydrogel for the accelerated healing of biofilm infected chronic wounds</t>
        </is>
      </c>
      <c r="E208" s="5" t="inlineStr">
        <is>
          <t>10.1016/j.actbio.2024.09.017</t>
        </is>
      </c>
      <c r="F208" s="5" t="inlineStr">
        <is>
          <t>Thermogelling or externally actuated systems</t>
        </is>
      </c>
      <c r="G208" s="5" t="inlineStr">
        <is>
          <t>Safety or cytocompatibility</t>
        </is>
      </c>
      <c r="H208" s="6" t="inlineStr">
        <is>
          <t>1</t>
        </is>
      </c>
      <c r="K208" s="5" t="inlineStr">
        <is>
          <t xml:space="preserve">; </t>
        </is>
      </c>
      <c r="M208" s="5" t="inlineStr">
        <is>
          <t>100.0</t>
        </is>
      </c>
      <c r="N208" s="5" t="inlineStr">
        <is>
          <t>YES</t>
        </is>
      </c>
    </row>
    <row r="209">
      <c r="A209" s="6" t="n">
        <v>241</v>
      </c>
      <c r="B209" s="5" t="inlineStr">
        <is>
          <t>S3</t>
        </is>
      </c>
      <c r="C209" s="5" t="inlineStr">
        <is>
          <t>8: Antimicrobial and antibiofilm hydrogel depots</t>
        </is>
      </c>
      <c r="D209" s="5" t="inlineStr">
        <is>
          <t>Photo‐Crosslinked Antimicrobial Hydrogel Exhibiting Wound Healing Ability and Curing Infections In Vivo</t>
        </is>
      </c>
      <c r="E209" s="5" t="inlineStr">
        <is>
          <t>10.1002/adhm.202200536</t>
        </is>
      </c>
      <c r="F209" s="5" t="inlineStr">
        <is>
          <t>Antimicrobial/antibiofilm depots</t>
        </is>
      </c>
      <c r="G209" s="5" t="inlineStr">
        <is>
          <t>Material properties</t>
        </is>
      </c>
      <c r="H209" s="6" t="inlineStr">
        <is>
          <t>1</t>
        </is>
      </c>
      <c r="K209" s="5" t="inlineStr">
        <is>
          <t xml:space="preserve">; </t>
        </is>
      </c>
      <c r="M209" s="5" t="inlineStr">
        <is>
          <t>100.0</t>
        </is>
      </c>
      <c r="N209" s="5" t="inlineStr">
        <is>
          <t>YES</t>
        </is>
      </c>
    </row>
    <row r="210">
      <c r="A210" s="6" t="n">
        <v>241</v>
      </c>
      <c r="B210" s="5" t="inlineStr">
        <is>
          <t>S3</t>
        </is>
      </c>
      <c r="C210" s="5" t="inlineStr">
        <is>
          <t>8: Antimicrobial and antibiofilm hydrogel depots</t>
        </is>
      </c>
      <c r="D210" s="5" t="inlineStr">
        <is>
          <t>Photo‐Crosslinked Antimicrobial Hydrogel Exhibiting Wound Healing Ability and Curing Infections In Vivo</t>
        </is>
      </c>
      <c r="E210" s="5" t="inlineStr">
        <is>
          <t>10.1002/adhm.202200536</t>
        </is>
      </c>
      <c r="F210" s="5" t="inlineStr">
        <is>
          <t>Antimicrobial/antibiofilm depots</t>
        </is>
      </c>
      <c r="G210" s="5" t="inlineStr">
        <is>
          <t>Release or activation kinetics</t>
        </is>
      </c>
      <c r="H210" s="6" t="inlineStr">
        <is>
          <t>1</t>
        </is>
      </c>
      <c r="K210" s="5" t="inlineStr">
        <is>
          <t xml:space="preserve">; </t>
        </is>
      </c>
      <c r="M210" s="5" t="inlineStr">
        <is>
          <t>100.0</t>
        </is>
      </c>
      <c r="N210" s="5" t="inlineStr">
        <is>
          <t>YES</t>
        </is>
      </c>
    </row>
    <row r="211">
      <c r="A211" s="6" t="n">
        <v>241</v>
      </c>
      <c r="B211" s="5" t="inlineStr">
        <is>
          <t>S3</t>
        </is>
      </c>
      <c r="C211" s="5" t="inlineStr">
        <is>
          <t>8: Antimicrobial and antibiofilm hydrogel depots</t>
        </is>
      </c>
      <c r="D211" s="5" t="inlineStr">
        <is>
          <t>Photo‐Crosslinked Antimicrobial Hydrogel Exhibiting Wound Healing Ability and Curing Infections In Vivo</t>
        </is>
      </c>
      <c r="E211" s="5" t="inlineStr">
        <is>
          <t>10.1002/adhm.202200536</t>
        </is>
      </c>
      <c r="F211" s="5" t="inlineStr">
        <is>
          <t>Antimicrobial/antibiofilm depots</t>
        </is>
      </c>
      <c r="G211" s="5" t="inlineStr">
        <is>
          <t>Antimicrobial or biofilm</t>
        </is>
      </c>
      <c r="H211" s="6" t="inlineStr">
        <is>
          <t>1</t>
        </is>
      </c>
      <c r="K211" s="5" t="inlineStr">
        <is>
          <t xml:space="preserve">; </t>
        </is>
      </c>
      <c r="M211" s="5" t="inlineStr">
        <is>
          <t>100.0</t>
        </is>
      </c>
      <c r="N211" s="5" t="inlineStr">
        <is>
          <t>YES</t>
        </is>
      </c>
    </row>
    <row r="212">
      <c r="A212" s="6" t="n">
        <v>241</v>
      </c>
      <c r="B212" s="5" t="inlineStr">
        <is>
          <t>S3</t>
        </is>
      </c>
      <c r="C212" s="5" t="inlineStr">
        <is>
          <t>8: Antimicrobial and antibiofilm hydrogel depots</t>
        </is>
      </c>
      <c r="D212" s="5" t="inlineStr">
        <is>
          <t>Photo‐Crosslinked Antimicrobial Hydrogel Exhibiting Wound Healing Ability and Curing Infections In Vivo</t>
        </is>
      </c>
      <c r="E212" s="5" t="inlineStr">
        <is>
          <t>10.1002/adhm.202200536</t>
        </is>
      </c>
      <c r="F212" s="5" t="inlineStr">
        <is>
          <t>Antimicrobial/antibiofilm depots</t>
        </is>
      </c>
      <c r="G212" s="5" t="inlineStr">
        <is>
          <t>ROS, oxidative, or metabolic</t>
        </is>
      </c>
      <c r="H212" s="6" t="inlineStr">
        <is>
          <t>1</t>
        </is>
      </c>
      <c r="K212" s="5" t="inlineStr">
        <is>
          <t xml:space="preserve">; </t>
        </is>
      </c>
      <c r="M212" s="5" t="inlineStr">
        <is>
          <t>100.0</t>
        </is>
      </c>
      <c r="N212" s="5" t="inlineStr">
        <is>
          <t>YES</t>
        </is>
      </c>
    </row>
    <row r="213">
      <c r="A213" s="6" t="n">
        <v>241</v>
      </c>
      <c r="B213" s="5" t="inlineStr">
        <is>
          <t>S3</t>
        </is>
      </c>
      <c r="C213" s="5" t="inlineStr">
        <is>
          <t>8: Antimicrobial and antibiofilm hydrogel depots</t>
        </is>
      </c>
      <c r="D213" s="5" t="inlineStr">
        <is>
          <t>Photo‐Crosslinked Antimicrobial Hydrogel Exhibiting Wound Healing Ability and Curing Infections In Vivo</t>
        </is>
      </c>
      <c r="E213" s="5" t="inlineStr">
        <is>
          <t>10.1002/adhm.202200536</t>
        </is>
      </c>
      <c r="F213" s="5" t="inlineStr">
        <is>
          <t>Antimicrobial/antibiofilm depots</t>
        </is>
      </c>
      <c r="G213" s="5" t="inlineStr">
        <is>
          <t>Immune, cytokine, or macrophage</t>
        </is>
      </c>
      <c r="H213" s="6" t="inlineStr">
        <is>
          <t>1</t>
        </is>
      </c>
      <c r="K213" s="5" t="inlineStr">
        <is>
          <t xml:space="preserve">; </t>
        </is>
      </c>
      <c r="M213" s="5" t="inlineStr">
        <is>
          <t>100.0</t>
        </is>
      </c>
      <c r="N213" s="5" t="inlineStr">
        <is>
          <t>YES</t>
        </is>
      </c>
    </row>
    <row r="214">
      <c r="A214" s="6" t="n">
        <v>241</v>
      </c>
      <c r="B214" s="5" t="inlineStr">
        <is>
          <t>S3</t>
        </is>
      </c>
      <c r="C214" s="5" t="inlineStr">
        <is>
          <t>8: Antimicrobial and antibiofilm hydrogel depots</t>
        </is>
      </c>
      <c r="D214" s="5" t="inlineStr">
        <is>
          <t>Photo‐Crosslinked Antimicrobial Hydrogel Exhibiting Wound Healing Ability and Curing Infections In Vivo</t>
        </is>
      </c>
      <c r="E214" s="5" t="inlineStr">
        <is>
          <t>10.1002/adhm.202200536</t>
        </is>
      </c>
      <c r="F214" s="5" t="inlineStr">
        <is>
          <t>Antimicrobial/antibiofilm depots</t>
        </is>
      </c>
      <c r="G214" s="5" t="inlineStr">
        <is>
          <t>Angiogenic or vascular</t>
        </is>
      </c>
      <c r="H214" s="6" t="inlineStr">
        <is>
          <t>0</t>
        </is>
      </c>
      <c r="K214" s="5" t="inlineStr">
        <is>
          <t xml:space="preserve">; </t>
        </is>
      </c>
      <c r="M214" s="5" t="inlineStr">
        <is>
          <t>100.0</t>
        </is>
      </c>
      <c r="N214" s="5" t="inlineStr">
        <is>
          <t>YES</t>
        </is>
      </c>
    </row>
    <row r="215">
      <c r="A215" s="6" t="n">
        <v>241</v>
      </c>
      <c r="B215" s="5" t="inlineStr">
        <is>
          <t>S3</t>
        </is>
      </c>
      <c r="C215" s="5" t="inlineStr">
        <is>
          <t>8: Antimicrobial and antibiofilm hydrogel depots</t>
        </is>
      </c>
      <c r="D215" s="5" t="inlineStr">
        <is>
          <t>Photo‐Crosslinked Antimicrobial Hydrogel Exhibiting Wound Healing Ability and Curing Infections In Vivo</t>
        </is>
      </c>
      <c r="E215" s="5" t="inlineStr">
        <is>
          <t>10.1002/adhm.202200536</t>
        </is>
      </c>
      <c r="F215" s="5" t="inlineStr">
        <is>
          <t>Antimicrobial/antibiofilm depots</t>
        </is>
      </c>
      <c r="G215" s="5" t="inlineStr">
        <is>
          <t>Histology, collagen, or matrix repair</t>
        </is>
      </c>
      <c r="H215" s="6" t="inlineStr">
        <is>
          <t>1</t>
        </is>
      </c>
      <c r="K215" s="5" t="inlineStr">
        <is>
          <t xml:space="preserve">; </t>
        </is>
      </c>
      <c r="M215" s="5" t="inlineStr">
        <is>
          <t>100.0</t>
        </is>
      </c>
      <c r="N215" s="5" t="inlineStr">
        <is>
          <t>YES</t>
        </is>
      </c>
    </row>
    <row r="216">
      <c r="A216" s="6" t="n">
        <v>241</v>
      </c>
      <c r="B216" s="5" t="inlineStr">
        <is>
          <t>S3</t>
        </is>
      </c>
      <c r="C216" s="5" t="inlineStr">
        <is>
          <t>8: Antimicrobial and antibiofilm hydrogel depots</t>
        </is>
      </c>
      <c r="D216" s="5" t="inlineStr">
        <is>
          <t>Photo‐Crosslinked Antimicrobial Hydrogel Exhibiting Wound Healing Ability and Curing Infections In Vivo</t>
        </is>
      </c>
      <c r="E216" s="5" t="inlineStr">
        <is>
          <t>10.1002/adhm.202200536</t>
        </is>
      </c>
      <c r="F216" s="5" t="inlineStr">
        <is>
          <t>Antimicrobial/antibiofilm depots</t>
        </is>
      </c>
      <c r="G216" s="5" t="inlineStr">
        <is>
          <t>Wound-area trajectory</t>
        </is>
      </c>
      <c r="H216" s="6" t="inlineStr">
        <is>
          <t>1</t>
        </is>
      </c>
      <c r="K216" s="5" t="inlineStr">
        <is>
          <t xml:space="preserve">; </t>
        </is>
      </c>
      <c r="M216" s="5" t="inlineStr">
        <is>
          <t>100.0</t>
        </is>
      </c>
      <c r="N216" s="5" t="inlineStr">
        <is>
          <t>YES</t>
        </is>
      </c>
    </row>
    <row r="217">
      <c r="A217" s="6" t="n">
        <v>241</v>
      </c>
      <c r="B217" s="5" t="inlineStr">
        <is>
          <t>S3</t>
        </is>
      </c>
      <c r="C217" s="5" t="inlineStr">
        <is>
          <t>8: Antimicrobial and antibiofilm hydrogel depots</t>
        </is>
      </c>
      <c r="D217" s="5" t="inlineStr">
        <is>
          <t>Photo‐Crosslinked Antimicrobial Hydrogel Exhibiting Wound Healing Ability and Curing Infections In Vivo</t>
        </is>
      </c>
      <c r="E217" s="5" t="inlineStr">
        <is>
          <t>10.1002/adhm.202200536</t>
        </is>
      </c>
      <c r="F217" s="5" t="inlineStr">
        <is>
          <t>Antimicrobial/antibiofilm depots</t>
        </is>
      </c>
      <c r="G217" s="5" t="inlineStr">
        <is>
          <t>Safety or cytocompatibility</t>
        </is>
      </c>
      <c r="H217" s="6" t="inlineStr">
        <is>
          <t>1</t>
        </is>
      </c>
      <c r="K217" s="5" t="inlineStr">
        <is>
          <t xml:space="preserve">; </t>
        </is>
      </c>
      <c r="M217" s="5" t="inlineStr">
        <is>
          <t>100.0</t>
        </is>
      </c>
      <c r="N217" s="5" t="inlineStr">
        <is>
          <t>YES</t>
        </is>
      </c>
    </row>
    <row r="218">
      <c r="A218" s="6" t="n">
        <v>243</v>
      </c>
      <c r="B218" s="5" t="inlineStr">
        <is>
          <t>S3</t>
        </is>
      </c>
      <c r="C218" s="5" t="inlineStr">
        <is>
          <t>8: Antimicrobial and antibiofilm hydrogel depots</t>
        </is>
      </c>
      <c r="D218" s="5" t="inlineStr">
        <is>
          <t>Eradication of Mature Bacterial Biofilms with Concurrent Improvement in Chronic Wound Healing Using Silver Nanoparticle Hydrogel Treatment</t>
        </is>
      </c>
      <c r="E218" s="5" t="inlineStr">
        <is>
          <t>10.3390/biomedicines9091182</t>
        </is>
      </c>
      <c r="F218" s="5" t="inlineStr">
        <is>
          <t>Antimicrobial/antibiofilm depots</t>
        </is>
      </c>
      <c r="G218" s="5" t="inlineStr">
        <is>
          <t>Material properties</t>
        </is>
      </c>
      <c r="H218" s="6" t="inlineStr">
        <is>
          <t>1</t>
        </is>
      </c>
      <c r="K218" s="5" t="inlineStr">
        <is>
          <t xml:space="preserve">; </t>
        </is>
      </c>
      <c r="M218" s="5" t="inlineStr">
        <is>
          <t>100.0</t>
        </is>
      </c>
      <c r="N218" s="5" t="inlineStr">
        <is>
          <t>YES</t>
        </is>
      </c>
    </row>
    <row r="219">
      <c r="A219" s="6" t="n">
        <v>243</v>
      </c>
      <c r="B219" s="5" t="inlineStr">
        <is>
          <t>S3</t>
        </is>
      </c>
      <c r="C219" s="5" t="inlineStr">
        <is>
          <t>8: Antimicrobial and antibiofilm hydrogel depots</t>
        </is>
      </c>
      <c r="D219" s="5" t="inlineStr">
        <is>
          <t>Eradication of Mature Bacterial Biofilms with Concurrent Improvement in Chronic Wound Healing Using Silver Nanoparticle Hydrogel Treatment</t>
        </is>
      </c>
      <c r="E219" s="5" t="inlineStr">
        <is>
          <t>10.3390/biomedicines9091182</t>
        </is>
      </c>
      <c r="F219" s="5" t="inlineStr">
        <is>
          <t>Antimicrobial/antibiofilm depots</t>
        </is>
      </c>
      <c r="G219" s="5" t="inlineStr">
        <is>
          <t>Release or activation kinetics</t>
        </is>
      </c>
      <c r="H219" s="6" t="inlineStr">
        <is>
          <t>1</t>
        </is>
      </c>
      <c r="K219" s="5" t="inlineStr">
        <is>
          <t xml:space="preserve">; </t>
        </is>
      </c>
      <c r="M219" s="5" t="inlineStr">
        <is>
          <t>100.0</t>
        </is>
      </c>
      <c r="N219" s="5" t="inlineStr">
        <is>
          <t>YES</t>
        </is>
      </c>
    </row>
    <row r="220">
      <c r="A220" s="6" t="n">
        <v>243</v>
      </c>
      <c r="B220" s="5" t="inlineStr">
        <is>
          <t>S3</t>
        </is>
      </c>
      <c r="C220" s="5" t="inlineStr">
        <is>
          <t>8: Antimicrobial and antibiofilm hydrogel depots</t>
        </is>
      </c>
      <c r="D220" s="5" t="inlineStr">
        <is>
          <t>Eradication of Mature Bacterial Biofilms with Concurrent Improvement in Chronic Wound Healing Using Silver Nanoparticle Hydrogel Treatment</t>
        </is>
      </c>
      <c r="E220" s="5" t="inlineStr">
        <is>
          <t>10.3390/biomedicines9091182</t>
        </is>
      </c>
      <c r="F220" s="5" t="inlineStr">
        <is>
          <t>Antimicrobial/antibiofilm depots</t>
        </is>
      </c>
      <c r="G220" s="5" t="inlineStr">
        <is>
          <t>Antimicrobial or biofilm</t>
        </is>
      </c>
      <c r="H220" s="6" t="inlineStr">
        <is>
          <t>1</t>
        </is>
      </c>
      <c r="K220" s="5" t="inlineStr">
        <is>
          <t xml:space="preserve">; </t>
        </is>
      </c>
      <c r="M220" s="5" t="inlineStr">
        <is>
          <t>100.0</t>
        </is>
      </c>
      <c r="N220" s="5" t="inlineStr">
        <is>
          <t>YES</t>
        </is>
      </c>
    </row>
    <row r="221">
      <c r="A221" s="6" t="n">
        <v>243</v>
      </c>
      <c r="B221" s="5" t="inlineStr">
        <is>
          <t>S3</t>
        </is>
      </c>
      <c r="C221" s="5" t="inlineStr">
        <is>
          <t>8: Antimicrobial and antibiofilm hydrogel depots</t>
        </is>
      </c>
      <c r="D221" s="5" t="inlineStr">
        <is>
          <t>Eradication of Mature Bacterial Biofilms with Concurrent Improvement in Chronic Wound Healing Using Silver Nanoparticle Hydrogel Treatment</t>
        </is>
      </c>
      <c r="E221" s="5" t="inlineStr">
        <is>
          <t>10.3390/biomedicines9091182</t>
        </is>
      </c>
      <c r="F221" s="5" t="inlineStr">
        <is>
          <t>Antimicrobial/antibiofilm depots</t>
        </is>
      </c>
      <c r="G221" s="5" t="inlineStr">
        <is>
          <t>ROS, oxidative, or metabolic</t>
        </is>
      </c>
      <c r="H221" s="6" t="inlineStr">
        <is>
          <t>0</t>
        </is>
      </c>
      <c r="K221" s="5" t="inlineStr">
        <is>
          <t xml:space="preserve">; </t>
        </is>
      </c>
      <c r="M221" s="5" t="inlineStr">
        <is>
          <t>100.0</t>
        </is>
      </c>
      <c r="N221" s="5" t="inlineStr">
        <is>
          <t>YES</t>
        </is>
      </c>
    </row>
    <row r="222">
      <c r="A222" s="6" t="n">
        <v>243</v>
      </c>
      <c r="B222" s="5" t="inlineStr">
        <is>
          <t>S3</t>
        </is>
      </c>
      <c r="C222" s="5" t="inlineStr">
        <is>
          <t>8: Antimicrobial and antibiofilm hydrogel depots</t>
        </is>
      </c>
      <c r="D222" s="5" t="inlineStr">
        <is>
          <t>Eradication of Mature Bacterial Biofilms with Concurrent Improvement in Chronic Wound Healing Using Silver Nanoparticle Hydrogel Treatment</t>
        </is>
      </c>
      <c r="E222" s="5" t="inlineStr">
        <is>
          <t>10.3390/biomedicines9091182</t>
        </is>
      </c>
      <c r="F222" s="5" t="inlineStr">
        <is>
          <t>Antimicrobial/antibiofilm depots</t>
        </is>
      </c>
      <c r="G222" s="5" t="inlineStr">
        <is>
          <t>Immune, cytokine, or macrophage</t>
        </is>
      </c>
      <c r="H222" s="6" t="inlineStr">
        <is>
          <t>0</t>
        </is>
      </c>
      <c r="K222" s="5" t="inlineStr">
        <is>
          <t xml:space="preserve">; </t>
        </is>
      </c>
      <c r="M222" s="5" t="inlineStr">
        <is>
          <t>100.0</t>
        </is>
      </c>
      <c r="N222" s="5" t="inlineStr">
        <is>
          <t>YES</t>
        </is>
      </c>
    </row>
    <row r="223">
      <c r="A223" s="6" t="n">
        <v>243</v>
      </c>
      <c r="B223" s="5" t="inlineStr">
        <is>
          <t>S3</t>
        </is>
      </c>
      <c r="C223" s="5" t="inlineStr">
        <is>
          <t>8: Antimicrobial and antibiofilm hydrogel depots</t>
        </is>
      </c>
      <c r="D223" s="5" t="inlineStr">
        <is>
          <t>Eradication of Mature Bacterial Biofilms with Concurrent Improvement in Chronic Wound Healing Using Silver Nanoparticle Hydrogel Treatment</t>
        </is>
      </c>
      <c r="E223" s="5" t="inlineStr">
        <is>
          <t>10.3390/biomedicines9091182</t>
        </is>
      </c>
      <c r="F223" s="5" t="inlineStr">
        <is>
          <t>Antimicrobial/antibiofilm depots</t>
        </is>
      </c>
      <c r="G223" s="5" t="inlineStr">
        <is>
          <t>Angiogenic or vascular</t>
        </is>
      </c>
      <c r="H223" s="6" t="inlineStr">
        <is>
          <t>0</t>
        </is>
      </c>
      <c r="K223" s="5" t="inlineStr">
        <is>
          <t xml:space="preserve">; </t>
        </is>
      </c>
      <c r="M223" s="5" t="inlineStr">
        <is>
          <t>100.0</t>
        </is>
      </c>
      <c r="N223" s="5" t="inlineStr">
        <is>
          <t>YES</t>
        </is>
      </c>
    </row>
    <row r="224">
      <c r="A224" s="6" t="n">
        <v>243</v>
      </c>
      <c r="B224" s="5" t="inlineStr">
        <is>
          <t>S3</t>
        </is>
      </c>
      <c r="C224" s="5" t="inlineStr">
        <is>
          <t>8: Antimicrobial and antibiofilm hydrogel depots</t>
        </is>
      </c>
      <c r="D224" s="5" t="inlineStr">
        <is>
          <t>Eradication of Mature Bacterial Biofilms with Concurrent Improvement in Chronic Wound Healing Using Silver Nanoparticle Hydrogel Treatment</t>
        </is>
      </c>
      <c r="E224" s="5" t="inlineStr">
        <is>
          <t>10.3390/biomedicines9091182</t>
        </is>
      </c>
      <c r="F224" s="5" t="inlineStr">
        <is>
          <t>Antimicrobial/antibiofilm depots</t>
        </is>
      </c>
      <c r="G224" s="5" t="inlineStr">
        <is>
          <t>Histology, collagen, or matrix repair</t>
        </is>
      </c>
      <c r="H224" s="6" t="inlineStr">
        <is>
          <t>1</t>
        </is>
      </c>
      <c r="K224" s="5" t="inlineStr">
        <is>
          <t xml:space="preserve">; </t>
        </is>
      </c>
      <c r="M224" s="5" t="inlineStr">
        <is>
          <t>100.0</t>
        </is>
      </c>
      <c r="N224" s="5" t="inlineStr">
        <is>
          <t>YES</t>
        </is>
      </c>
    </row>
    <row r="225">
      <c r="A225" s="6" t="n">
        <v>243</v>
      </c>
      <c r="B225" s="5" t="inlineStr">
        <is>
          <t>S3</t>
        </is>
      </c>
      <c r="C225" s="5" t="inlineStr">
        <is>
          <t>8: Antimicrobial and antibiofilm hydrogel depots</t>
        </is>
      </c>
      <c r="D225" s="5" t="inlineStr">
        <is>
          <t>Eradication of Mature Bacterial Biofilms with Concurrent Improvement in Chronic Wound Healing Using Silver Nanoparticle Hydrogel Treatment</t>
        </is>
      </c>
      <c r="E225" s="5" t="inlineStr">
        <is>
          <t>10.3390/biomedicines9091182</t>
        </is>
      </c>
      <c r="F225" s="5" t="inlineStr">
        <is>
          <t>Antimicrobial/antibiofilm depots</t>
        </is>
      </c>
      <c r="G225" s="5" t="inlineStr">
        <is>
          <t>Wound-area trajectory</t>
        </is>
      </c>
      <c r="H225" s="6" t="inlineStr">
        <is>
          <t>1</t>
        </is>
      </c>
      <c r="K225" s="5" t="inlineStr">
        <is>
          <t xml:space="preserve">; </t>
        </is>
      </c>
      <c r="M225" s="5" t="inlineStr">
        <is>
          <t>100.0</t>
        </is>
      </c>
      <c r="N225" s="5" t="inlineStr">
        <is>
          <t>YES</t>
        </is>
      </c>
    </row>
    <row r="226">
      <c r="A226" s="6" t="n">
        <v>243</v>
      </c>
      <c r="B226" s="5" t="inlineStr">
        <is>
          <t>S3</t>
        </is>
      </c>
      <c r="C226" s="5" t="inlineStr">
        <is>
          <t>8: Antimicrobial and antibiofilm hydrogel depots</t>
        </is>
      </c>
      <c r="D226" s="5" t="inlineStr">
        <is>
          <t>Eradication of Mature Bacterial Biofilms with Concurrent Improvement in Chronic Wound Healing Using Silver Nanoparticle Hydrogel Treatment</t>
        </is>
      </c>
      <c r="E226" s="5" t="inlineStr">
        <is>
          <t>10.3390/biomedicines9091182</t>
        </is>
      </c>
      <c r="F226" s="5" t="inlineStr">
        <is>
          <t>Antimicrobial/antibiofilm depots</t>
        </is>
      </c>
      <c r="G226" s="5" t="inlineStr">
        <is>
          <t>Safety or cytocompatibility</t>
        </is>
      </c>
      <c r="H226" s="6" t="inlineStr">
        <is>
          <t>1</t>
        </is>
      </c>
      <c r="K226" s="5" t="inlineStr">
        <is>
          <t xml:space="preserve">; </t>
        </is>
      </c>
      <c r="M226" s="5" t="inlineStr">
        <is>
          <t>100.0</t>
        </is>
      </c>
      <c r="N226" s="5" t="inlineStr">
        <is>
          <t>YES</t>
        </is>
      </c>
    </row>
    <row r="227">
      <c r="A227" s="6" t="n">
        <v>244</v>
      </c>
      <c r="B227" s="5" t="inlineStr">
        <is>
          <t>S3</t>
        </is>
      </c>
      <c r="C227" s="5" t="inlineStr">
        <is>
          <t>8: Antimicrobial and antibiofilm hydrogel depots</t>
        </is>
      </c>
      <c r="D227" s="5" t="inlineStr">
        <is>
          <t>TA-AgNPs/Alginate Hydrogel and Its potential application as a promising antibiofilm material against polymicrobial wound biofilms using a unique biofilm flow model</t>
        </is>
      </c>
      <c r="E227" s="5" t="inlineStr">
        <is>
          <t>10.3390/microorganisms10112279</t>
        </is>
      </c>
      <c r="F227" s="5" t="inlineStr">
        <is>
          <t>Antimicrobial/antibiofilm depots</t>
        </is>
      </c>
      <c r="G227" s="5" t="inlineStr">
        <is>
          <t>Material properties</t>
        </is>
      </c>
      <c r="H227" s="6" t="inlineStr">
        <is>
          <t>1</t>
        </is>
      </c>
      <c r="K227" s="5" t="inlineStr">
        <is>
          <t xml:space="preserve">; </t>
        </is>
      </c>
      <c r="M227" s="5" t="inlineStr">
        <is>
          <t>100.0</t>
        </is>
      </c>
      <c r="N227" s="5" t="inlineStr">
        <is>
          <t>YES</t>
        </is>
      </c>
    </row>
    <row r="228">
      <c r="A228" s="6" t="n">
        <v>244</v>
      </c>
      <c r="B228" s="5" t="inlineStr">
        <is>
          <t>S3</t>
        </is>
      </c>
      <c r="C228" s="5" t="inlineStr">
        <is>
          <t>8: Antimicrobial and antibiofilm hydrogel depots</t>
        </is>
      </c>
      <c r="D228" s="5" t="inlineStr">
        <is>
          <t>TA-AgNPs/Alginate Hydrogel and Its potential application as a promising antibiofilm material against polymicrobial wound biofilms using a unique biofilm flow model</t>
        </is>
      </c>
      <c r="E228" s="5" t="inlineStr">
        <is>
          <t>10.3390/microorganisms10112279</t>
        </is>
      </c>
      <c r="F228" s="5" t="inlineStr">
        <is>
          <t>Antimicrobial/antibiofilm depots</t>
        </is>
      </c>
      <c r="G228" s="5" t="inlineStr">
        <is>
          <t>Release or activation kinetics</t>
        </is>
      </c>
      <c r="H228" s="6" t="inlineStr">
        <is>
          <t>1</t>
        </is>
      </c>
      <c r="K228" s="5" t="inlineStr">
        <is>
          <t xml:space="preserve">; </t>
        </is>
      </c>
      <c r="M228" s="5" t="inlineStr">
        <is>
          <t>100.0</t>
        </is>
      </c>
      <c r="N228" s="5" t="inlineStr">
        <is>
          <t>YES</t>
        </is>
      </c>
    </row>
    <row r="229">
      <c r="A229" s="6" t="n">
        <v>244</v>
      </c>
      <c r="B229" s="5" t="inlineStr">
        <is>
          <t>S3</t>
        </is>
      </c>
      <c r="C229" s="5" t="inlineStr">
        <is>
          <t>8: Antimicrobial and antibiofilm hydrogel depots</t>
        </is>
      </c>
      <c r="D229" s="5" t="inlineStr">
        <is>
          <t>TA-AgNPs/Alginate Hydrogel and Its potential application as a promising antibiofilm material against polymicrobial wound biofilms using a unique biofilm flow model</t>
        </is>
      </c>
      <c r="E229" s="5" t="inlineStr">
        <is>
          <t>10.3390/microorganisms10112279</t>
        </is>
      </c>
      <c r="F229" s="5" t="inlineStr">
        <is>
          <t>Antimicrobial/antibiofilm depots</t>
        </is>
      </c>
      <c r="G229" s="5" t="inlineStr">
        <is>
          <t>Antimicrobial or biofilm</t>
        </is>
      </c>
      <c r="H229" s="6" t="inlineStr">
        <is>
          <t>1</t>
        </is>
      </c>
      <c r="K229" s="5" t="inlineStr">
        <is>
          <t xml:space="preserve">; </t>
        </is>
      </c>
      <c r="M229" s="5" t="inlineStr">
        <is>
          <t>100.0</t>
        </is>
      </c>
      <c r="N229" s="5" t="inlineStr">
        <is>
          <t>YES</t>
        </is>
      </c>
    </row>
    <row r="230">
      <c r="A230" s="6" t="n">
        <v>244</v>
      </c>
      <c r="B230" s="5" t="inlineStr">
        <is>
          <t>S3</t>
        </is>
      </c>
      <c r="C230" s="5" t="inlineStr">
        <is>
          <t>8: Antimicrobial and antibiofilm hydrogel depots</t>
        </is>
      </c>
      <c r="D230" s="5" t="inlineStr">
        <is>
          <t>TA-AgNPs/Alginate Hydrogel and Its potential application as a promising antibiofilm material against polymicrobial wound biofilms using a unique biofilm flow model</t>
        </is>
      </c>
      <c r="E230" s="5" t="inlineStr">
        <is>
          <t>10.3390/microorganisms10112279</t>
        </is>
      </c>
      <c r="F230" s="5" t="inlineStr">
        <is>
          <t>Antimicrobial/antibiofilm depots</t>
        </is>
      </c>
      <c r="G230" s="5" t="inlineStr">
        <is>
          <t>ROS, oxidative, or metabolic</t>
        </is>
      </c>
      <c r="H230" s="6" t="inlineStr">
        <is>
          <t>1</t>
        </is>
      </c>
      <c r="K230" s="5" t="inlineStr">
        <is>
          <t xml:space="preserve">; </t>
        </is>
      </c>
      <c r="M230" s="5" t="inlineStr">
        <is>
          <t>100.0</t>
        </is>
      </c>
      <c r="N230" s="5" t="inlineStr">
        <is>
          <t>YES</t>
        </is>
      </c>
    </row>
    <row r="231">
      <c r="A231" s="6" t="n">
        <v>244</v>
      </c>
      <c r="B231" s="5" t="inlineStr">
        <is>
          <t>S3</t>
        </is>
      </c>
      <c r="C231" s="5" t="inlineStr">
        <is>
          <t>8: Antimicrobial and antibiofilm hydrogel depots</t>
        </is>
      </c>
      <c r="D231" s="5" t="inlineStr">
        <is>
          <t>TA-AgNPs/Alginate Hydrogel and Its potential application as a promising antibiofilm material against polymicrobial wound biofilms using a unique biofilm flow model</t>
        </is>
      </c>
      <c r="E231" s="5" t="inlineStr">
        <is>
          <t>10.3390/microorganisms10112279</t>
        </is>
      </c>
      <c r="F231" s="5" t="inlineStr">
        <is>
          <t>Antimicrobial/antibiofilm depots</t>
        </is>
      </c>
      <c r="G231" s="5" t="inlineStr">
        <is>
          <t>Immune, cytokine, or macrophage</t>
        </is>
      </c>
      <c r="H231" s="6" t="inlineStr">
        <is>
          <t>1</t>
        </is>
      </c>
      <c r="K231" s="5" t="inlineStr">
        <is>
          <t xml:space="preserve">; </t>
        </is>
      </c>
      <c r="M231" s="5" t="inlineStr">
        <is>
          <t>100.0</t>
        </is>
      </c>
      <c r="N231" s="5" t="inlineStr">
        <is>
          <t>YES</t>
        </is>
      </c>
    </row>
    <row r="232">
      <c r="A232" s="6" t="n">
        <v>244</v>
      </c>
      <c r="B232" s="5" t="inlineStr">
        <is>
          <t>S3</t>
        </is>
      </c>
      <c r="C232" s="5" t="inlineStr">
        <is>
          <t>8: Antimicrobial and antibiofilm hydrogel depots</t>
        </is>
      </c>
      <c r="D232" s="5" t="inlineStr">
        <is>
          <t>TA-AgNPs/Alginate Hydrogel and Its potential application as a promising antibiofilm material against polymicrobial wound biofilms using a unique biofilm flow model</t>
        </is>
      </c>
      <c r="E232" s="5" t="inlineStr">
        <is>
          <t>10.3390/microorganisms10112279</t>
        </is>
      </c>
      <c r="F232" s="5" t="inlineStr">
        <is>
          <t>Antimicrobial/antibiofilm depots</t>
        </is>
      </c>
      <c r="G232" s="5" t="inlineStr">
        <is>
          <t>Angiogenic or vascular</t>
        </is>
      </c>
      <c r="H232" s="6" t="inlineStr">
        <is>
          <t>1</t>
        </is>
      </c>
      <c r="K232" s="5" t="inlineStr">
        <is>
          <t xml:space="preserve">; </t>
        </is>
      </c>
      <c r="M232" s="5" t="inlineStr">
        <is>
          <t>100.0</t>
        </is>
      </c>
      <c r="N232" s="5" t="inlineStr">
        <is>
          <t>YES</t>
        </is>
      </c>
    </row>
    <row r="233">
      <c r="A233" s="6" t="n">
        <v>244</v>
      </c>
      <c r="B233" s="5" t="inlineStr">
        <is>
          <t>S3</t>
        </is>
      </c>
      <c r="C233" s="5" t="inlineStr">
        <is>
          <t>8: Antimicrobial and antibiofilm hydrogel depots</t>
        </is>
      </c>
      <c r="D233" s="5" t="inlineStr">
        <is>
          <t>TA-AgNPs/Alginate Hydrogel and Its potential application as a promising antibiofilm material against polymicrobial wound biofilms using a unique biofilm flow model</t>
        </is>
      </c>
      <c r="E233" s="5" t="inlineStr">
        <is>
          <t>10.3390/microorganisms10112279</t>
        </is>
      </c>
      <c r="F233" s="5" t="inlineStr">
        <is>
          <t>Antimicrobial/antibiofilm depots</t>
        </is>
      </c>
      <c r="G233" s="5" t="inlineStr">
        <is>
          <t>Histology, collagen, or matrix repair</t>
        </is>
      </c>
      <c r="H233" s="6" t="inlineStr">
        <is>
          <t>1</t>
        </is>
      </c>
      <c r="K233" s="5" t="inlineStr">
        <is>
          <t xml:space="preserve">; </t>
        </is>
      </c>
      <c r="M233" s="5" t="inlineStr">
        <is>
          <t>100.0</t>
        </is>
      </c>
      <c r="N233" s="5" t="inlineStr">
        <is>
          <t>YES</t>
        </is>
      </c>
    </row>
    <row r="234">
      <c r="A234" s="6" t="n">
        <v>244</v>
      </c>
      <c r="B234" s="5" t="inlineStr">
        <is>
          <t>S3</t>
        </is>
      </c>
      <c r="C234" s="5" t="inlineStr">
        <is>
          <t>8: Antimicrobial and antibiofilm hydrogel depots</t>
        </is>
      </c>
      <c r="D234" s="5" t="inlineStr">
        <is>
          <t>TA-AgNPs/Alginate Hydrogel and Its potential application as a promising antibiofilm material against polymicrobial wound biofilms using a unique biofilm flow model</t>
        </is>
      </c>
      <c r="E234" s="5" t="inlineStr">
        <is>
          <t>10.3390/microorganisms10112279</t>
        </is>
      </c>
      <c r="F234" s="5" t="inlineStr">
        <is>
          <t>Antimicrobial/antibiofilm depots</t>
        </is>
      </c>
      <c r="G234" s="5" t="inlineStr">
        <is>
          <t>Wound-area trajectory</t>
        </is>
      </c>
      <c r="H234" s="6" t="inlineStr">
        <is>
          <t>1</t>
        </is>
      </c>
      <c r="K234" s="5" t="inlineStr">
        <is>
          <t xml:space="preserve">; </t>
        </is>
      </c>
      <c r="M234" s="5" t="inlineStr">
        <is>
          <t>100.0</t>
        </is>
      </c>
      <c r="N234" s="5" t="inlineStr">
        <is>
          <t>YES</t>
        </is>
      </c>
    </row>
    <row r="235">
      <c r="A235" s="6" t="n">
        <v>244</v>
      </c>
      <c r="B235" s="5" t="inlineStr">
        <is>
          <t>S3</t>
        </is>
      </c>
      <c r="C235" s="5" t="inlineStr">
        <is>
          <t>8: Antimicrobial and antibiofilm hydrogel depots</t>
        </is>
      </c>
      <c r="D235" s="5" t="inlineStr">
        <is>
          <t>TA-AgNPs/Alginate Hydrogel and Its potential application as a promising antibiofilm material against polymicrobial wound biofilms using a unique biofilm flow model</t>
        </is>
      </c>
      <c r="E235" s="5" t="inlineStr">
        <is>
          <t>10.3390/microorganisms10112279</t>
        </is>
      </c>
      <c r="F235" s="5" t="inlineStr">
        <is>
          <t>Antimicrobial/antibiofilm depots</t>
        </is>
      </c>
      <c r="G235" s="5" t="inlineStr">
        <is>
          <t>Safety or cytocompatibility</t>
        </is>
      </c>
      <c r="H235" s="6" t="inlineStr">
        <is>
          <t>0</t>
        </is>
      </c>
      <c r="K235" s="5" t="inlineStr">
        <is>
          <t xml:space="preserve">; </t>
        </is>
      </c>
      <c r="M235" s="5" t="inlineStr">
        <is>
          <t>100.0</t>
        </is>
      </c>
      <c r="N235" s="5" t="inlineStr">
        <is>
          <t>YES</t>
        </is>
      </c>
    </row>
    <row r="236">
      <c r="A236" s="6" t="n">
        <v>245</v>
      </c>
      <c r="B236" s="5" t="inlineStr">
        <is>
          <t>S3</t>
        </is>
      </c>
      <c r="C236" s="5" t="inlineStr">
        <is>
          <t>5: Thermogelling and externally actuated antimicrobial-regenerative systems</t>
        </is>
      </c>
      <c r="D236" s="5" t="inlineStr">
        <is>
          <t>Multifunctional ultrasmall AgNP hydrogel accelerates healing of S. aureus infected wounds</t>
        </is>
      </c>
      <c r="E236" s="5" t="inlineStr">
        <is>
          <t>10.1016/j.actbio.2021.04.007</t>
        </is>
      </c>
      <c r="F236" s="5" t="inlineStr">
        <is>
          <t>Thermogelling or externally actuated systems</t>
        </is>
      </c>
      <c r="G236" s="5" t="inlineStr">
        <is>
          <t>Material properties</t>
        </is>
      </c>
      <c r="H236" s="6" t="inlineStr">
        <is>
          <t>1</t>
        </is>
      </c>
      <c r="K236" s="5" t="inlineStr">
        <is>
          <t xml:space="preserve">; </t>
        </is>
      </c>
      <c r="M236" s="5" t="inlineStr">
        <is>
          <t>100.0</t>
        </is>
      </c>
      <c r="N236" s="5" t="inlineStr">
        <is>
          <t>YES</t>
        </is>
      </c>
    </row>
    <row r="237">
      <c r="A237" s="6" t="n">
        <v>245</v>
      </c>
      <c r="B237" s="5" t="inlineStr">
        <is>
          <t>S3</t>
        </is>
      </c>
      <c r="C237" s="5" t="inlineStr">
        <is>
          <t>5: Thermogelling and externally actuated antimicrobial-regenerative systems</t>
        </is>
      </c>
      <c r="D237" s="5" t="inlineStr">
        <is>
          <t>Multifunctional ultrasmall AgNP hydrogel accelerates healing of S. aureus infected wounds</t>
        </is>
      </c>
      <c r="E237" s="5" t="inlineStr">
        <is>
          <t>10.1016/j.actbio.2021.04.007</t>
        </is>
      </c>
      <c r="F237" s="5" t="inlineStr">
        <is>
          <t>Thermogelling or externally actuated systems</t>
        </is>
      </c>
      <c r="G237" s="5" t="inlineStr">
        <is>
          <t>Release or activation kinetics</t>
        </is>
      </c>
      <c r="H237" s="6" t="inlineStr">
        <is>
          <t>1</t>
        </is>
      </c>
      <c r="K237" s="5" t="inlineStr">
        <is>
          <t xml:space="preserve">; </t>
        </is>
      </c>
      <c r="M237" s="5" t="inlineStr">
        <is>
          <t>100.0</t>
        </is>
      </c>
      <c r="N237" s="5" t="inlineStr">
        <is>
          <t>YES</t>
        </is>
      </c>
    </row>
    <row r="238">
      <c r="A238" s="6" t="n">
        <v>245</v>
      </c>
      <c r="B238" s="5" t="inlineStr">
        <is>
          <t>S3</t>
        </is>
      </c>
      <c r="C238" s="5" t="inlineStr">
        <is>
          <t>5: Thermogelling and externally actuated antimicrobial-regenerative systems</t>
        </is>
      </c>
      <c r="D238" s="5" t="inlineStr">
        <is>
          <t>Multifunctional ultrasmall AgNP hydrogel accelerates healing of S. aureus infected wounds</t>
        </is>
      </c>
      <c r="E238" s="5" t="inlineStr">
        <is>
          <t>10.1016/j.actbio.2021.04.007</t>
        </is>
      </c>
      <c r="F238" s="5" t="inlineStr">
        <is>
          <t>Thermogelling or externally actuated systems</t>
        </is>
      </c>
      <c r="G238" s="5" t="inlineStr">
        <is>
          <t>Antimicrobial or biofilm</t>
        </is>
      </c>
      <c r="H238" s="6" t="inlineStr">
        <is>
          <t>1</t>
        </is>
      </c>
      <c r="K238" s="5" t="inlineStr">
        <is>
          <t xml:space="preserve">; </t>
        </is>
      </c>
      <c r="M238" s="5" t="inlineStr">
        <is>
          <t>100.0</t>
        </is>
      </c>
      <c r="N238" s="5" t="inlineStr">
        <is>
          <t>YES</t>
        </is>
      </c>
    </row>
    <row r="239">
      <c r="A239" s="6" t="n">
        <v>245</v>
      </c>
      <c r="B239" s="5" t="inlineStr">
        <is>
          <t>S3</t>
        </is>
      </c>
      <c r="C239" s="5" t="inlineStr">
        <is>
          <t>5: Thermogelling and externally actuated antimicrobial-regenerative systems</t>
        </is>
      </c>
      <c r="D239" s="5" t="inlineStr">
        <is>
          <t>Multifunctional ultrasmall AgNP hydrogel accelerates healing of S. aureus infected wounds</t>
        </is>
      </c>
      <c r="E239" s="5" t="inlineStr">
        <is>
          <t>10.1016/j.actbio.2021.04.007</t>
        </is>
      </c>
      <c r="F239" s="5" t="inlineStr">
        <is>
          <t>Thermogelling or externally actuated systems</t>
        </is>
      </c>
      <c r="G239" s="5" t="inlineStr">
        <is>
          <t>ROS, oxidative, or metabolic</t>
        </is>
      </c>
      <c r="H239" s="6" t="inlineStr">
        <is>
          <t>0</t>
        </is>
      </c>
      <c r="K239" s="5" t="inlineStr">
        <is>
          <t xml:space="preserve">; </t>
        </is>
      </c>
      <c r="M239" s="5" t="inlineStr">
        <is>
          <t>100.0</t>
        </is>
      </c>
      <c r="N239" s="5" t="inlineStr">
        <is>
          <t>YES</t>
        </is>
      </c>
    </row>
    <row r="240">
      <c r="A240" s="6" t="n">
        <v>245</v>
      </c>
      <c r="B240" s="5" t="inlineStr">
        <is>
          <t>S3</t>
        </is>
      </c>
      <c r="C240" s="5" t="inlineStr">
        <is>
          <t>5: Thermogelling and externally actuated antimicrobial-regenerative systems</t>
        </is>
      </c>
      <c r="D240" s="5" t="inlineStr">
        <is>
          <t>Multifunctional ultrasmall AgNP hydrogel accelerates healing of S. aureus infected wounds</t>
        </is>
      </c>
      <c r="E240" s="5" t="inlineStr">
        <is>
          <t>10.1016/j.actbio.2021.04.007</t>
        </is>
      </c>
      <c r="F240" s="5" t="inlineStr">
        <is>
          <t>Thermogelling or externally actuated systems</t>
        </is>
      </c>
      <c r="G240" s="5" t="inlineStr">
        <is>
          <t>Immune, cytokine, or macrophage</t>
        </is>
      </c>
      <c r="H240" s="6" t="inlineStr">
        <is>
          <t>1</t>
        </is>
      </c>
      <c r="K240" s="5" t="inlineStr">
        <is>
          <t xml:space="preserve">; </t>
        </is>
      </c>
      <c r="M240" s="5" t="inlineStr">
        <is>
          <t>100.0</t>
        </is>
      </c>
      <c r="N240" s="5" t="inlineStr">
        <is>
          <t>YES</t>
        </is>
      </c>
    </row>
    <row r="241">
      <c r="A241" s="6" t="n">
        <v>245</v>
      </c>
      <c r="B241" s="5" t="inlineStr">
        <is>
          <t>S3</t>
        </is>
      </c>
      <c r="C241" s="5" t="inlineStr">
        <is>
          <t>5: Thermogelling and externally actuated antimicrobial-regenerative systems</t>
        </is>
      </c>
      <c r="D241" s="5" t="inlineStr">
        <is>
          <t>Multifunctional ultrasmall AgNP hydrogel accelerates healing of S. aureus infected wounds</t>
        </is>
      </c>
      <c r="E241" s="5" t="inlineStr">
        <is>
          <t>10.1016/j.actbio.2021.04.007</t>
        </is>
      </c>
      <c r="F241" s="5" t="inlineStr">
        <is>
          <t>Thermogelling or externally actuated systems</t>
        </is>
      </c>
      <c r="G241" s="5" t="inlineStr">
        <is>
          <t>Angiogenic or vascular</t>
        </is>
      </c>
      <c r="H241" s="6" t="inlineStr">
        <is>
          <t>0</t>
        </is>
      </c>
      <c r="K241" s="5" t="inlineStr">
        <is>
          <t xml:space="preserve">; </t>
        </is>
      </c>
      <c r="M241" s="5" t="inlineStr">
        <is>
          <t>100.0</t>
        </is>
      </c>
      <c r="N241" s="5" t="inlineStr">
        <is>
          <t>YES</t>
        </is>
      </c>
    </row>
    <row r="242">
      <c r="A242" s="6" t="n">
        <v>245</v>
      </c>
      <c r="B242" s="5" t="inlineStr">
        <is>
          <t>S3</t>
        </is>
      </c>
      <c r="C242" s="5" t="inlineStr">
        <is>
          <t>5: Thermogelling and externally actuated antimicrobial-regenerative systems</t>
        </is>
      </c>
      <c r="D242" s="5" t="inlineStr">
        <is>
          <t>Multifunctional ultrasmall AgNP hydrogel accelerates healing of S. aureus infected wounds</t>
        </is>
      </c>
      <c r="E242" s="5" t="inlineStr">
        <is>
          <t>10.1016/j.actbio.2021.04.007</t>
        </is>
      </c>
      <c r="F242" s="5" t="inlineStr">
        <is>
          <t>Thermogelling or externally actuated systems</t>
        </is>
      </c>
      <c r="G242" s="5" t="inlineStr">
        <is>
          <t>Histology, collagen, or matrix repair</t>
        </is>
      </c>
      <c r="H242" s="6" t="inlineStr">
        <is>
          <t>1</t>
        </is>
      </c>
      <c r="K242" s="5" t="inlineStr">
        <is>
          <t xml:space="preserve">; </t>
        </is>
      </c>
      <c r="M242" s="5" t="inlineStr">
        <is>
          <t>100.0</t>
        </is>
      </c>
      <c r="N242" s="5" t="inlineStr">
        <is>
          <t>YES</t>
        </is>
      </c>
    </row>
    <row r="243">
      <c r="A243" s="6" t="n">
        <v>245</v>
      </c>
      <c r="B243" s="5" t="inlineStr">
        <is>
          <t>S3</t>
        </is>
      </c>
      <c r="C243" s="5" t="inlineStr">
        <is>
          <t>5: Thermogelling and externally actuated antimicrobial-regenerative systems</t>
        </is>
      </c>
      <c r="D243" s="5" t="inlineStr">
        <is>
          <t>Multifunctional ultrasmall AgNP hydrogel accelerates healing of S. aureus infected wounds</t>
        </is>
      </c>
      <c r="E243" s="5" t="inlineStr">
        <is>
          <t>10.1016/j.actbio.2021.04.007</t>
        </is>
      </c>
      <c r="F243" s="5" t="inlineStr">
        <is>
          <t>Thermogelling or externally actuated systems</t>
        </is>
      </c>
      <c r="G243" s="5" t="inlineStr">
        <is>
          <t>Wound-area trajectory</t>
        </is>
      </c>
      <c r="H243" s="6" t="inlineStr">
        <is>
          <t>1</t>
        </is>
      </c>
      <c r="K243" s="5" t="inlineStr">
        <is>
          <t xml:space="preserve">; </t>
        </is>
      </c>
      <c r="M243" s="5" t="inlineStr">
        <is>
          <t>100.0</t>
        </is>
      </c>
      <c r="N243" s="5" t="inlineStr">
        <is>
          <t>YES</t>
        </is>
      </c>
    </row>
    <row r="244">
      <c r="A244" s="6" t="n">
        <v>245</v>
      </c>
      <c r="B244" s="5" t="inlineStr">
        <is>
          <t>S3</t>
        </is>
      </c>
      <c r="C244" s="5" t="inlineStr">
        <is>
          <t>5: Thermogelling and externally actuated antimicrobial-regenerative systems</t>
        </is>
      </c>
      <c r="D244" s="5" t="inlineStr">
        <is>
          <t>Multifunctional ultrasmall AgNP hydrogel accelerates healing of S. aureus infected wounds</t>
        </is>
      </c>
      <c r="E244" s="5" t="inlineStr">
        <is>
          <t>10.1016/j.actbio.2021.04.007</t>
        </is>
      </c>
      <c r="F244" s="5" t="inlineStr">
        <is>
          <t>Thermogelling or externally actuated systems</t>
        </is>
      </c>
      <c r="G244" s="5" t="inlineStr">
        <is>
          <t>Safety or cytocompatibility</t>
        </is>
      </c>
      <c r="H244" s="6" t="inlineStr">
        <is>
          <t>1</t>
        </is>
      </c>
      <c r="K244" s="5" t="inlineStr">
        <is>
          <t xml:space="preserve">; </t>
        </is>
      </c>
      <c r="M244" s="5" t="inlineStr">
        <is>
          <t>100.0</t>
        </is>
      </c>
      <c r="N244" s="5" t="inlineStr">
        <is>
          <t>YES</t>
        </is>
      </c>
    </row>
    <row r="245">
      <c r="A245" s="6" t="n">
        <v>248</v>
      </c>
      <c r="B245" s="5" t="inlineStr">
        <is>
          <t>S3</t>
        </is>
      </c>
      <c r="C245" s="5" t="inlineStr">
        <is>
          <t>10: Growth-factor and protein delivery depots</t>
        </is>
      </c>
      <c r="D245" s="5" t="inlineStr">
        <is>
          <t>Sustained release of insulin-like growth factor-1 from Bombyx mori L. silk fibroin delivery for diabetic wound therapy</t>
        </is>
      </c>
      <c r="E245" s="5" t="inlineStr">
        <is>
          <t>10.3390/ijms22126267</t>
        </is>
      </c>
      <c r="F245" s="5" t="inlineStr">
        <is>
          <t>Growth-factor/protein delivery depots</t>
        </is>
      </c>
      <c r="G245" s="5" t="inlineStr">
        <is>
          <t>Material properties</t>
        </is>
      </c>
      <c r="H245" s="6" t="inlineStr">
        <is>
          <t>0</t>
        </is>
      </c>
      <c r="K245" s="5" t="inlineStr">
        <is>
          <t xml:space="preserve">; </t>
        </is>
      </c>
      <c r="M245" s="5" t="inlineStr">
        <is>
          <t>100.0</t>
        </is>
      </c>
      <c r="N245" s="5" t="inlineStr">
        <is>
          <t>YES</t>
        </is>
      </c>
    </row>
    <row r="246">
      <c r="A246" s="6" t="n">
        <v>248</v>
      </c>
      <c r="B246" s="5" t="inlineStr">
        <is>
          <t>S3</t>
        </is>
      </c>
      <c r="C246" s="5" t="inlineStr">
        <is>
          <t>10: Growth-factor and protein delivery depots</t>
        </is>
      </c>
      <c r="D246" s="5" t="inlineStr">
        <is>
          <t>Sustained release of insulin-like growth factor-1 from Bombyx mori L. silk fibroin delivery for diabetic wound therapy</t>
        </is>
      </c>
      <c r="E246" s="5" t="inlineStr">
        <is>
          <t>10.3390/ijms22126267</t>
        </is>
      </c>
      <c r="F246" s="5" t="inlineStr">
        <is>
          <t>Growth-factor/protein delivery depots</t>
        </is>
      </c>
      <c r="G246" s="5" t="inlineStr">
        <is>
          <t>Release or activation kinetics</t>
        </is>
      </c>
      <c r="H246" s="6" t="inlineStr">
        <is>
          <t>1</t>
        </is>
      </c>
      <c r="K246" s="5" t="inlineStr">
        <is>
          <t xml:space="preserve">; </t>
        </is>
      </c>
      <c r="M246" s="5" t="inlineStr">
        <is>
          <t>100.0</t>
        </is>
      </c>
      <c r="N246" s="5" t="inlineStr">
        <is>
          <t>YES</t>
        </is>
      </c>
    </row>
    <row r="247">
      <c r="A247" s="6" t="n">
        <v>248</v>
      </c>
      <c r="B247" s="5" t="inlineStr">
        <is>
          <t>S3</t>
        </is>
      </c>
      <c r="C247" s="5" t="inlineStr">
        <is>
          <t>10: Growth-factor and protein delivery depots</t>
        </is>
      </c>
      <c r="D247" s="5" t="inlineStr">
        <is>
          <t>Sustained release of insulin-like growth factor-1 from Bombyx mori L. silk fibroin delivery for diabetic wound therapy</t>
        </is>
      </c>
      <c r="E247" s="5" t="inlineStr">
        <is>
          <t>10.3390/ijms22126267</t>
        </is>
      </c>
      <c r="F247" s="5" t="inlineStr">
        <is>
          <t>Growth-factor/protein delivery depots</t>
        </is>
      </c>
      <c r="G247" s="5" t="inlineStr">
        <is>
          <t>Antimicrobial or biofilm</t>
        </is>
      </c>
      <c r="H247" s="6" t="inlineStr">
        <is>
          <t>1</t>
        </is>
      </c>
      <c r="K247" s="5" t="inlineStr">
        <is>
          <t xml:space="preserve">; </t>
        </is>
      </c>
      <c r="M247" s="5" t="inlineStr">
        <is>
          <t>100.0</t>
        </is>
      </c>
      <c r="N247" s="5" t="inlineStr">
        <is>
          <t>YES</t>
        </is>
      </c>
    </row>
    <row r="248">
      <c r="A248" s="6" t="n">
        <v>248</v>
      </c>
      <c r="B248" s="5" t="inlineStr">
        <is>
          <t>S3</t>
        </is>
      </c>
      <c r="C248" s="5" t="inlineStr">
        <is>
          <t>10: Growth-factor and protein delivery depots</t>
        </is>
      </c>
      <c r="D248" s="5" t="inlineStr">
        <is>
          <t>Sustained release of insulin-like growth factor-1 from Bombyx mori L. silk fibroin delivery for diabetic wound therapy</t>
        </is>
      </c>
      <c r="E248" s="5" t="inlineStr">
        <is>
          <t>10.3390/ijms22126267</t>
        </is>
      </c>
      <c r="F248" s="5" t="inlineStr">
        <is>
          <t>Growth-factor/protein delivery depots</t>
        </is>
      </c>
      <c r="G248" s="5" t="inlineStr">
        <is>
          <t>ROS, oxidative, or metabolic</t>
        </is>
      </c>
      <c r="H248" s="6" t="inlineStr">
        <is>
          <t>1</t>
        </is>
      </c>
      <c r="K248" s="5" t="inlineStr">
        <is>
          <t xml:space="preserve">; </t>
        </is>
      </c>
      <c r="M248" s="5" t="inlineStr">
        <is>
          <t>100.0</t>
        </is>
      </c>
      <c r="N248" s="5" t="inlineStr">
        <is>
          <t>YES</t>
        </is>
      </c>
    </row>
    <row r="249">
      <c r="A249" s="6" t="n">
        <v>248</v>
      </c>
      <c r="B249" s="5" t="inlineStr">
        <is>
          <t>S3</t>
        </is>
      </c>
      <c r="C249" s="5" t="inlineStr">
        <is>
          <t>10: Growth-factor and protein delivery depots</t>
        </is>
      </c>
      <c r="D249" s="5" t="inlineStr">
        <is>
          <t>Sustained release of insulin-like growth factor-1 from Bombyx mori L. silk fibroin delivery for diabetic wound therapy</t>
        </is>
      </c>
      <c r="E249" s="5" t="inlineStr">
        <is>
          <t>10.3390/ijms22126267</t>
        </is>
      </c>
      <c r="F249" s="5" t="inlineStr">
        <is>
          <t>Growth-factor/protein delivery depots</t>
        </is>
      </c>
      <c r="G249" s="5" t="inlineStr">
        <is>
          <t>Immune, cytokine, or macrophage</t>
        </is>
      </c>
      <c r="H249" s="6" t="inlineStr">
        <is>
          <t>0</t>
        </is>
      </c>
      <c r="K249" s="5" t="inlineStr">
        <is>
          <t xml:space="preserve">; </t>
        </is>
      </c>
      <c r="M249" s="5" t="inlineStr">
        <is>
          <t>100.0</t>
        </is>
      </c>
      <c r="N249" s="5" t="inlineStr">
        <is>
          <t>YES</t>
        </is>
      </c>
    </row>
    <row r="250">
      <c r="A250" s="6" t="n">
        <v>248</v>
      </c>
      <c r="B250" s="5" t="inlineStr">
        <is>
          <t>S3</t>
        </is>
      </c>
      <c r="C250" s="5" t="inlineStr">
        <is>
          <t>10: Growth-factor and protein delivery depots</t>
        </is>
      </c>
      <c r="D250" s="5" t="inlineStr">
        <is>
          <t>Sustained release of insulin-like growth factor-1 from Bombyx mori L. silk fibroin delivery for diabetic wound therapy</t>
        </is>
      </c>
      <c r="E250" s="5" t="inlineStr">
        <is>
          <t>10.3390/ijms22126267</t>
        </is>
      </c>
      <c r="F250" s="5" t="inlineStr">
        <is>
          <t>Growth-factor/protein delivery depots</t>
        </is>
      </c>
      <c r="G250" s="5" t="inlineStr">
        <is>
          <t>Angiogenic or vascular</t>
        </is>
      </c>
      <c r="H250" s="6" t="inlineStr">
        <is>
          <t>1</t>
        </is>
      </c>
      <c r="K250" s="5" t="inlineStr">
        <is>
          <t xml:space="preserve">; </t>
        </is>
      </c>
      <c r="M250" s="5" t="inlineStr">
        <is>
          <t>100.0</t>
        </is>
      </c>
      <c r="N250" s="5" t="inlineStr">
        <is>
          <t>YES</t>
        </is>
      </c>
    </row>
    <row r="251">
      <c r="A251" s="6" t="n">
        <v>248</v>
      </c>
      <c r="B251" s="5" t="inlineStr">
        <is>
          <t>S3</t>
        </is>
      </c>
      <c r="C251" s="5" t="inlineStr">
        <is>
          <t>10: Growth-factor and protein delivery depots</t>
        </is>
      </c>
      <c r="D251" s="5" t="inlineStr">
        <is>
          <t>Sustained release of insulin-like growth factor-1 from Bombyx mori L. silk fibroin delivery for diabetic wound therapy</t>
        </is>
      </c>
      <c r="E251" s="5" t="inlineStr">
        <is>
          <t>10.3390/ijms22126267</t>
        </is>
      </c>
      <c r="F251" s="5" t="inlineStr">
        <is>
          <t>Growth-factor/protein delivery depots</t>
        </is>
      </c>
      <c r="G251" s="5" t="inlineStr">
        <is>
          <t>Histology, collagen, or matrix repair</t>
        </is>
      </c>
      <c r="H251" s="6" t="inlineStr">
        <is>
          <t>1</t>
        </is>
      </c>
      <c r="K251" s="5" t="inlineStr">
        <is>
          <t xml:space="preserve">; </t>
        </is>
      </c>
      <c r="M251" s="5" t="inlineStr">
        <is>
          <t>100.0</t>
        </is>
      </c>
      <c r="N251" s="5" t="inlineStr">
        <is>
          <t>YES</t>
        </is>
      </c>
    </row>
    <row r="252">
      <c r="A252" s="6" t="n">
        <v>248</v>
      </c>
      <c r="B252" s="5" t="inlineStr">
        <is>
          <t>S3</t>
        </is>
      </c>
      <c r="C252" s="5" t="inlineStr">
        <is>
          <t>10: Growth-factor and protein delivery depots</t>
        </is>
      </c>
      <c r="D252" s="5" t="inlineStr">
        <is>
          <t>Sustained release of insulin-like growth factor-1 from Bombyx mori L. silk fibroin delivery for diabetic wound therapy</t>
        </is>
      </c>
      <c r="E252" s="5" t="inlineStr">
        <is>
          <t>10.3390/ijms22126267</t>
        </is>
      </c>
      <c r="F252" s="5" t="inlineStr">
        <is>
          <t>Growth-factor/protein delivery depots</t>
        </is>
      </c>
      <c r="G252" s="5" t="inlineStr">
        <is>
          <t>Wound-area trajectory</t>
        </is>
      </c>
      <c r="H252" s="6" t="inlineStr">
        <is>
          <t>1</t>
        </is>
      </c>
      <c r="K252" s="5" t="inlineStr">
        <is>
          <t xml:space="preserve">; </t>
        </is>
      </c>
      <c r="M252" s="5" t="inlineStr">
        <is>
          <t>100.0</t>
        </is>
      </c>
      <c r="N252" s="5" t="inlineStr">
        <is>
          <t>YES</t>
        </is>
      </c>
    </row>
    <row r="253">
      <c r="A253" s="6" t="n">
        <v>248</v>
      </c>
      <c r="B253" s="5" t="inlineStr">
        <is>
          <t>S3</t>
        </is>
      </c>
      <c r="C253" s="5" t="inlineStr">
        <is>
          <t>10: Growth-factor and protein delivery depots</t>
        </is>
      </c>
      <c r="D253" s="5" t="inlineStr">
        <is>
          <t>Sustained release of insulin-like growth factor-1 from Bombyx mori L. silk fibroin delivery for diabetic wound therapy</t>
        </is>
      </c>
      <c r="E253" s="5" t="inlineStr">
        <is>
          <t>10.3390/ijms22126267</t>
        </is>
      </c>
      <c r="F253" s="5" t="inlineStr">
        <is>
          <t>Growth-factor/protein delivery depots</t>
        </is>
      </c>
      <c r="G253" s="5" t="inlineStr">
        <is>
          <t>Safety or cytocompatibility</t>
        </is>
      </c>
      <c r="H253" s="6" t="inlineStr">
        <is>
          <t>1</t>
        </is>
      </c>
      <c r="K253" s="5" t="inlineStr">
        <is>
          <t xml:space="preserve">; </t>
        </is>
      </c>
      <c r="M253" s="5" t="inlineStr">
        <is>
          <t>100.0</t>
        </is>
      </c>
      <c r="N253" s="5" t="inlineStr">
        <is>
          <t>YES</t>
        </is>
      </c>
    </row>
    <row r="254">
      <c r="A254" s="6" t="n">
        <v>249</v>
      </c>
      <c r="B254" s="5" t="inlineStr">
        <is>
          <t>S3</t>
        </is>
      </c>
      <c r="C254" s="5" t="inlineStr">
        <is>
          <t>10: Growth-factor and protein delivery depots</t>
        </is>
      </c>
      <c r="D254" s="5" t="inlineStr">
        <is>
          <t>Controlled platelet-derived growth factor delivery by hyaluronic acid hydrogels with tunable crosslinking for accelerated chronic wound healing</t>
        </is>
      </c>
      <c r="E254" s="5" t="inlineStr">
        <is>
          <t>10.1016/j.ijbiomac.2025.140710</t>
        </is>
      </c>
      <c r="F254" s="5" t="inlineStr">
        <is>
          <t>Growth-factor/protein delivery depots</t>
        </is>
      </c>
      <c r="G254" s="5" t="inlineStr">
        <is>
          <t>Material properties</t>
        </is>
      </c>
      <c r="H254" s="6" t="inlineStr">
        <is>
          <t>1</t>
        </is>
      </c>
      <c r="K254" s="5" t="inlineStr">
        <is>
          <t xml:space="preserve">; </t>
        </is>
      </c>
      <c r="M254" s="5" t="inlineStr">
        <is>
          <t>100.0</t>
        </is>
      </c>
      <c r="N254" s="5" t="inlineStr">
        <is>
          <t>YES</t>
        </is>
      </c>
    </row>
    <row r="255">
      <c r="A255" s="6" t="n">
        <v>249</v>
      </c>
      <c r="B255" s="5" t="inlineStr">
        <is>
          <t>S3</t>
        </is>
      </c>
      <c r="C255" s="5" t="inlineStr">
        <is>
          <t>10: Growth-factor and protein delivery depots</t>
        </is>
      </c>
      <c r="D255" s="5" t="inlineStr">
        <is>
          <t>Controlled platelet-derived growth factor delivery by hyaluronic acid hydrogels with tunable crosslinking for accelerated chronic wound healing</t>
        </is>
      </c>
      <c r="E255" s="5" t="inlineStr">
        <is>
          <t>10.1016/j.ijbiomac.2025.140710</t>
        </is>
      </c>
      <c r="F255" s="5" t="inlineStr">
        <is>
          <t>Growth-factor/protein delivery depots</t>
        </is>
      </c>
      <c r="G255" s="5" t="inlineStr">
        <is>
          <t>Release or activation kinetics</t>
        </is>
      </c>
      <c r="H255" s="6" t="inlineStr">
        <is>
          <t>1</t>
        </is>
      </c>
      <c r="K255" s="5" t="inlineStr">
        <is>
          <t xml:space="preserve">; </t>
        </is>
      </c>
      <c r="M255" s="5" t="inlineStr">
        <is>
          <t>100.0</t>
        </is>
      </c>
      <c r="N255" s="5" t="inlineStr">
        <is>
          <t>YES</t>
        </is>
      </c>
    </row>
    <row r="256">
      <c r="A256" s="6" t="n">
        <v>249</v>
      </c>
      <c r="B256" s="5" t="inlineStr">
        <is>
          <t>S3</t>
        </is>
      </c>
      <c r="C256" s="5" t="inlineStr">
        <is>
          <t>10: Growth-factor and protein delivery depots</t>
        </is>
      </c>
      <c r="D256" s="5" t="inlineStr">
        <is>
          <t>Controlled platelet-derived growth factor delivery by hyaluronic acid hydrogels with tunable crosslinking for accelerated chronic wound healing</t>
        </is>
      </c>
      <c r="E256" s="5" t="inlineStr">
        <is>
          <t>10.1016/j.ijbiomac.2025.140710</t>
        </is>
      </c>
      <c r="F256" s="5" t="inlineStr">
        <is>
          <t>Growth-factor/protein delivery depots</t>
        </is>
      </c>
      <c r="G256" s="5" t="inlineStr">
        <is>
          <t>Antimicrobial or biofilm</t>
        </is>
      </c>
      <c r="H256" s="6" t="inlineStr">
        <is>
          <t>0</t>
        </is>
      </c>
      <c r="K256" s="5" t="inlineStr">
        <is>
          <t xml:space="preserve">; </t>
        </is>
      </c>
      <c r="M256" s="5" t="inlineStr">
        <is>
          <t>100.0</t>
        </is>
      </c>
      <c r="N256" s="5" t="inlineStr">
        <is>
          <t>YES</t>
        </is>
      </c>
    </row>
    <row r="257">
      <c r="A257" s="6" t="n">
        <v>249</v>
      </c>
      <c r="B257" s="5" t="inlineStr">
        <is>
          <t>S3</t>
        </is>
      </c>
      <c r="C257" s="5" t="inlineStr">
        <is>
          <t>10: Growth-factor and protein delivery depots</t>
        </is>
      </c>
      <c r="D257" s="5" t="inlineStr">
        <is>
          <t>Controlled platelet-derived growth factor delivery by hyaluronic acid hydrogels with tunable crosslinking for accelerated chronic wound healing</t>
        </is>
      </c>
      <c r="E257" s="5" t="inlineStr">
        <is>
          <t>10.1016/j.ijbiomac.2025.140710</t>
        </is>
      </c>
      <c r="F257" s="5" t="inlineStr">
        <is>
          <t>Growth-factor/protein delivery depots</t>
        </is>
      </c>
      <c r="G257" s="5" t="inlineStr">
        <is>
          <t>ROS, oxidative, or metabolic</t>
        </is>
      </c>
      <c r="H257" s="6" t="inlineStr">
        <is>
          <t>1</t>
        </is>
      </c>
      <c r="K257" s="5" t="inlineStr">
        <is>
          <t xml:space="preserve">; </t>
        </is>
      </c>
      <c r="M257" s="5" t="inlineStr">
        <is>
          <t>100.0</t>
        </is>
      </c>
      <c r="N257" s="5" t="inlineStr">
        <is>
          <t>YES</t>
        </is>
      </c>
    </row>
    <row r="258">
      <c r="A258" s="6" t="n">
        <v>249</v>
      </c>
      <c r="B258" s="5" t="inlineStr">
        <is>
          <t>S3</t>
        </is>
      </c>
      <c r="C258" s="5" t="inlineStr">
        <is>
          <t>10: Growth-factor and protein delivery depots</t>
        </is>
      </c>
      <c r="D258" s="5" t="inlineStr">
        <is>
          <t>Controlled platelet-derived growth factor delivery by hyaluronic acid hydrogels with tunable crosslinking for accelerated chronic wound healing</t>
        </is>
      </c>
      <c r="E258" s="5" t="inlineStr">
        <is>
          <t>10.1016/j.ijbiomac.2025.140710</t>
        </is>
      </c>
      <c r="F258" s="5" t="inlineStr">
        <is>
          <t>Growth-factor/protein delivery depots</t>
        </is>
      </c>
      <c r="G258" s="5" t="inlineStr">
        <is>
          <t>Immune, cytokine, or macrophage</t>
        </is>
      </c>
      <c r="H258" s="6" t="inlineStr">
        <is>
          <t>1</t>
        </is>
      </c>
      <c r="K258" s="5" t="inlineStr">
        <is>
          <t xml:space="preserve">; </t>
        </is>
      </c>
      <c r="M258" s="5" t="inlineStr">
        <is>
          <t>100.0</t>
        </is>
      </c>
      <c r="N258" s="5" t="inlineStr">
        <is>
          <t>YES</t>
        </is>
      </c>
    </row>
    <row r="259">
      <c r="A259" s="6" t="n">
        <v>249</v>
      </c>
      <c r="B259" s="5" t="inlineStr">
        <is>
          <t>S3</t>
        </is>
      </c>
      <c r="C259" s="5" t="inlineStr">
        <is>
          <t>10: Growth-factor and protein delivery depots</t>
        </is>
      </c>
      <c r="D259" s="5" t="inlineStr">
        <is>
          <t>Controlled platelet-derived growth factor delivery by hyaluronic acid hydrogels with tunable crosslinking for accelerated chronic wound healing</t>
        </is>
      </c>
      <c r="E259" s="5" t="inlineStr">
        <is>
          <t>10.1016/j.ijbiomac.2025.140710</t>
        </is>
      </c>
      <c r="F259" s="5" t="inlineStr">
        <is>
          <t>Growth-factor/protein delivery depots</t>
        </is>
      </c>
      <c r="G259" s="5" t="inlineStr">
        <is>
          <t>Angiogenic or vascular</t>
        </is>
      </c>
      <c r="H259" s="6" t="inlineStr">
        <is>
          <t>1</t>
        </is>
      </c>
      <c r="K259" s="5" t="inlineStr">
        <is>
          <t xml:space="preserve">; </t>
        </is>
      </c>
      <c r="M259" s="5" t="inlineStr">
        <is>
          <t>100.0</t>
        </is>
      </c>
      <c r="N259" s="5" t="inlineStr">
        <is>
          <t>YES</t>
        </is>
      </c>
    </row>
    <row r="260">
      <c r="A260" s="6" t="n">
        <v>249</v>
      </c>
      <c r="B260" s="5" t="inlineStr">
        <is>
          <t>S3</t>
        </is>
      </c>
      <c r="C260" s="5" t="inlineStr">
        <is>
          <t>10: Growth-factor and protein delivery depots</t>
        </is>
      </c>
      <c r="D260" s="5" t="inlineStr">
        <is>
          <t>Controlled platelet-derived growth factor delivery by hyaluronic acid hydrogels with tunable crosslinking for accelerated chronic wound healing</t>
        </is>
      </c>
      <c r="E260" s="5" t="inlineStr">
        <is>
          <t>10.1016/j.ijbiomac.2025.140710</t>
        </is>
      </c>
      <c r="F260" s="5" t="inlineStr">
        <is>
          <t>Growth-factor/protein delivery depots</t>
        </is>
      </c>
      <c r="G260" s="5" t="inlineStr">
        <is>
          <t>Histology, collagen, or matrix repair</t>
        </is>
      </c>
      <c r="H260" s="6" t="inlineStr">
        <is>
          <t>1</t>
        </is>
      </c>
      <c r="K260" s="5" t="inlineStr">
        <is>
          <t xml:space="preserve">; </t>
        </is>
      </c>
      <c r="M260" s="5" t="inlineStr">
        <is>
          <t>100.0</t>
        </is>
      </c>
      <c r="N260" s="5" t="inlineStr">
        <is>
          <t>YES</t>
        </is>
      </c>
    </row>
    <row r="261">
      <c r="A261" s="6" t="n">
        <v>249</v>
      </c>
      <c r="B261" s="5" t="inlineStr">
        <is>
          <t>S3</t>
        </is>
      </c>
      <c r="C261" s="5" t="inlineStr">
        <is>
          <t>10: Growth-factor and protein delivery depots</t>
        </is>
      </c>
      <c r="D261" s="5" t="inlineStr">
        <is>
          <t>Controlled platelet-derived growth factor delivery by hyaluronic acid hydrogels with tunable crosslinking for accelerated chronic wound healing</t>
        </is>
      </c>
      <c r="E261" s="5" t="inlineStr">
        <is>
          <t>10.1016/j.ijbiomac.2025.140710</t>
        </is>
      </c>
      <c r="F261" s="5" t="inlineStr">
        <is>
          <t>Growth-factor/protein delivery depots</t>
        </is>
      </c>
      <c r="G261" s="5" t="inlineStr">
        <is>
          <t>Wound-area trajectory</t>
        </is>
      </c>
      <c r="H261" s="6" t="inlineStr">
        <is>
          <t>1</t>
        </is>
      </c>
      <c r="K261" s="5" t="inlineStr">
        <is>
          <t xml:space="preserve">; </t>
        </is>
      </c>
      <c r="M261" s="5" t="inlineStr">
        <is>
          <t>100.0</t>
        </is>
      </c>
      <c r="N261" s="5" t="inlineStr">
        <is>
          <t>YES</t>
        </is>
      </c>
    </row>
    <row r="262">
      <c r="A262" s="6" t="n">
        <v>249</v>
      </c>
      <c r="B262" s="5" t="inlineStr">
        <is>
          <t>S3</t>
        </is>
      </c>
      <c r="C262" s="5" t="inlineStr">
        <is>
          <t>10: Growth-factor and protein delivery depots</t>
        </is>
      </c>
      <c r="D262" s="5" t="inlineStr">
        <is>
          <t>Controlled platelet-derived growth factor delivery by hyaluronic acid hydrogels with tunable crosslinking for accelerated chronic wound healing</t>
        </is>
      </c>
      <c r="E262" s="5" t="inlineStr">
        <is>
          <t>10.1016/j.ijbiomac.2025.140710</t>
        </is>
      </c>
      <c r="F262" s="5" t="inlineStr">
        <is>
          <t>Growth-factor/protein delivery depots</t>
        </is>
      </c>
      <c r="G262" s="5" t="inlineStr">
        <is>
          <t>Safety or cytocompatibility</t>
        </is>
      </c>
      <c r="H262" s="6" t="inlineStr">
        <is>
          <t>1</t>
        </is>
      </c>
      <c r="K262" s="5" t="inlineStr">
        <is>
          <t xml:space="preserve">; </t>
        </is>
      </c>
      <c r="M262" s="5" t="inlineStr">
        <is>
          <t>100.0</t>
        </is>
      </c>
      <c r="N262" s="5" t="inlineStr">
        <is>
          <t>YES</t>
        </is>
      </c>
    </row>
    <row r="263">
      <c r="A263" s="6" t="n">
        <v>250</v>
      </c>
      <c r="B263" s="5" t="inlineStr">
        <is>
          <t>S3</t>
        </is>
      </c>
      <c r="C263" s="5" t="inlineStr">
        <is>
          <t>10: Growth-factor and protein delivery depots</t>
        </is>
      </c>
      <c r="D263" s="5" t="inlineStr">
        <is>
          <t>Platelet‐derived growth factor nanocapsules with tunable controlled release for chronic wound healing</t>
        </is>
      </c>
      <c r="E263" s="5" t="inlineStr">
        <is>
          <t>10.1002/smll.202310743</t>
        </is>
      </c>
      <c r="F263" s="5" t="inlineStr">
        <is>
          <t>Growth-factor/protein delivery depots</t>
        </is>
      </c>
      <c r="G263" s="5" t="inlineStr">
        <is>
          <t>Material properties</t>
        </is>
      </c>
      <c r="H263" s="6" t="inlineStr">
        <is>
          <t>1</t>
        </is>
      </c>
      <c r="K263" s="5" t="inlineStr">
        <is>
          <t xml:space="preserve">; </t>
        </is>
      </c>
      <c r="M263" s="5" t="inlineStr">
        <is>
          <t>100.0</t>
        </is>
      </c>
      <c r="N263" s="5" t="inlineStr">
        <is>
          <t>YES</t>
        </is>
      </c>
    </row>
    <row r="264">
      <c r="A264" s="6" t="n">
        <v>250</v>
      </c>
      <c r="B264" s="5" t="inlineStr">
        <is>
          <t>S3</t>
        </is>
      </c>
      <c r="C264" s="5" t="inlineStr">
        <is>
          <t>10: Growth-factor and protein delivery depots</t>
        </is>
      </c>
      <c r="D264" s="5" t="inlineStr">
        <is>
          <t>Platelet‐derived growth factor nanocapsules with tunable controlled release for chronic wound healing</t>
        </is>
      </c>
      <c r="E264" s="5" t="inlineStr">
        <is>
          <t>10.1002/smll.202310743</t>
        </is>
      </c>
      <c r="F264" s="5" t="inlineStr">
        <is>
          <t>Growth-factor/protein delivery depots</t>
        </is>
      </c>
      <c r="G264" s="5" t="inlineStr">
        <is>
          <t>Release or activation kinetics</t>
        </is>
      </c>
      <c r="H264" s="6" t="inlineStr">
        <is>
          <t>1</t>
        </is>
      </c>
      <c r="K264" s="5" t="inlineStr">
        <is>
          <t xml:space="preserve">; </t>
        </is>
      </c>
      <c r="M264" s="5" t="inlineStr">
        <is>
          <t>100.0</t>
        </is>
      </c>
      <c r="N264" s="5" t="inlineStr">
        <is>
          <t>YES</t>
        </is>
      </c>
    </row>
    <row r="265">
      <c r="A265" s="6" t="n">
        <v>250</v>
      </c>
      <c r="B265" s="5" t="inlineStr">
        <is>
          <t>S3</t>
        </is>
      </c>
      <c r="C265" s="5" t="inlineStr">
        <is>
          <t>10: Growth-factor and protein delivery depots</t>
        </is>
      </c>
      <c r="D265" s="5" t="inlineStr">
        <is>
          <t>Platelet‐derived growth factor nanocapsules with tunable controlled release for chronic wound healing</t>
        </is>
      </c>
      <c r="E265" s="5" t="inlineStr">
        <is>
          <t>10.1002/smll.202310743</t>
        </is>
      </c>
      <c r="F265" s="5" t="inlineStr">
        <is>
          <t>Growth-factor/protein delivery depots</t>
        </is>
      </c>
      <c r="G265" s="5" t="inlineStr">
        <is>
          <t>Antimicrobial or biofilm</t>
        </is>
      </c>
      <c r="H265" s="6" t="inlineStr">
        <is>
          <t>1</t>
        </is>
      </c>
      <c r="K265" s="5" t="inlineStr">
        <is>
          <t xml:space="preserve">; </t>
        </is>
      </c>
      <c r="M265" s="5" t="inlineStr">
        <is>
          <t>100.0</t>
        </is>
      </c>
      <c r="N265" s="5" t="inlineStr">
        <is>
          <t>YES</t>
        </is>
      </c>
    </row>
    <row r="266">
      <c r="A266" s="6" t="n">
        <v>250</v>
      </c>
      <c r="B266" s="5" t="inlineStr">
        <is>
          <t>S3</t>
        </is>
      </c>
      <c r="C266" s="5" t="inlineStr">
        <is>
          <t>10: Growth-factor and protein delivery depots</t>
        </is>
      </c>
      <c r="D266" s="5" t="inlineStr">
        <is>
          <t>Platelet‐derived growth factor nanocapsules with tunable controlled release for chronic wound healing</t>
        </is>
      </c>
      <c r="E266" s="5" t="inlineStr">
        <is>
          <t>10.1002/smll.202310743</t>
        </is>
      </c>
      <c r="F266" s="5" t="inlineStr">
        <is>
          <t>Growth-factor/protein delivery depots</t>
        </is>
      </c>
      <c r="G266" s="5" t="inlineStr">
        <is>
          <t>ROS, oxidative, or metabolic</t>
        </is>
      </c>
      <c r="H266" s="6" t="inlineStr">
        <is>
          <t>1</t>
        </is>
      </c>
      <c r="K266" s="5" t="inlineStr">
        <is>
          <t xml:space="preserve">; </t>
        </is>
      </c>
      <c r="M266" s="5" t="inlineStr">
        <is>
          <t>100.0</t>
        </is>
      </c>
      <c r="N266" s="5" t="inlineStr">
        <is>
          <t>YES</t>
        </is>
      </c>
    </row>
    <row r="267">
      <c r="A267" s="6" t="n">
        <v>250</v>
      </c>
      <c r="B267" s="5" t="inlineStr">
        <is>
          <t>S3</t>
        </is>
      </c>
      <c r="C267" s="5" t="inlineStr">
        <is>
          <t>10: Growth-factor and protein delivery depots</t>
        </is>
      </c>
      <c r="D267" s="5" t="inlineStr">
        <is>
          <t>Platelet‐derived growth factor nanocapsules with tunable controlled release for chronic wound healing</t>
        </is>
      </c>
      <c r="E267" s="5" t="inlineStr">
        <is>
          <t>10.1002/smll.202310743</t>
        </is>
      </c>
      <c r="F267" s="5" t="inlineStr">
        <is>
          <t>Growth-factor/protein delivery depots</t>
        </is>
      </c>
      <c r="G267" s="5" t="inlineStr">
        <is>
          <t>Immune, cytokine, or macrophage</t>
        </is>
      </c>
      <c r="H267" s="6" t="inlineStr">
        <is>
          <t>1</t>
        </is>
      </c>
      <c r="K267" s="5" t="inlineStr">
        <is>
          <t xml:space="preserve">; </t>
        </is>
      </c>
      <c r="M267" s="5" t="inlineStr">
        <is>
          <t>100.0</t>
        </is>
      </c>
      <c r="N267" s="5" t="inlineStr">
        <is>
          <t>YES</t>
        </is>
      </c>
    </row>
    <row r="268">
      <c r="A268" s="6" t="n">
        <v>250</v>
      </c>
      <c r="B268" s="5" t="inlineStr">
        <is>
          <t>S3</t>
        </is>
      </c>
      <c r="C268" s="5" t="inlineStr">
        <is>
          <t>10: Growth-factor and protein delivery depots</t>
        </is>
      </c>
      <c r="D268" s="5" t="inlineStr">
        <is>
          <t>Platelet‐derived growth factor nanocapsules with tunable controlled release for chronic wound healing</t>
        </is>
      </c>
      <c r="E268" s="5" t="inlineStr">
        <is>
          <t>10.1002/smll.202310743</t>
        </is>
      </c>
      <c r="F268" s="5" t="inlineStr">
        <is>
          <t>Growth-factor/protein delivery depots</t>
        </is>
      </c>
      <c r="G268" s="5" t="inlineStr">
        <is>
          <t>Angiogenic or vascular</t>
        </is>
      </c>
      <c r="H268" s="6" t="inlineStr">
        <is>
          <t>1</t>
        </is>
      </c>
      <c r="K268" s="5" t="inlineStr">
        <is>
          <t xml:space="preserve">; </t>
        </is>
      </c>
      <c r="M268" s="5" t="inlineStr">
        <is>
          <t>100.0</t>
        </is>
      </c>
      <c r="N268" s="5" t="inlineStr">
        <is>
          <t>YES</t>
        </is>
      </c>
    </row>
    <row r="269">
      <c r="A269" s="6" t="n">
        <v>250</v>
      </c>
      <c r="B269" s="5" t="inlineStr">
        <is>
          <t>S3</t>
        </is>
      </c>
      <c r="C269" s="5" t="inlineStr">
        <is>
          <t>10: Growth-factor and protein delivery depots</t>
        </is>
      </c>
      <c r="D269" s="5" t="inlineStr">
        <is>
          <t>Platelet‐derived growth factor nanocapsules with tunable controlled release for chronic wound healing</t>
        </is>
      </c>
      <c r="E269" s="5" t="inlineStr">
        <is>
          <t>10.1002/smll.202310743</t>
        </is>
      </c>
      <c r="F269" s="5" t="inlineStr">
        <is>
          <t>Growth-factor/protein delivery depots</t>
        </is>
      </c>
      <c r="G269" s="5" t="inlineStr">
        <is>
          <t>Histology, collagen, or matrix repair</t>
        </is>
      </c>
      <c r="H269" s="6" t="inlineStr">
        <is>
          <t>1</t>
        </is>
      </c>
      <c r="K269" s="5" t="inlineStr">
        <is>
          <t xml:space="preserve">; </t>
        </is>
      </c>
      <c r="M269" s="5" t="inlineStr">
        <is>
          <t>100.0</t>
        </is>
      </c>
      <c r="N269" s="5" t="inlineStr">
        <is>
          <t>YES</t>
        </is>
      </c>
    </row>
    <row r="270">
      <c r="A270" s="6" t="n">
        <v>250</v>
      </c>
      <c r="B270" s="5" t="inlineStr">
        <is>
          <t>S3</t>
        </is>
      </c>
      <c r="C270" s="5" t="inlineStr">
        <is>
          <t>10: Growth-factor and protein delivery depots</t>
        </is>
      </c>
      <c r="D270" s="5" t="inlineStr">
        <is>
          <t>Platelet‐derived growth factor nanocapsules with tunable controlled release for chronic wound healing</t>
        </is>
      </c>
      <c r="E270" s="5" t="inlineStr">
        <is>
          <t>10.1002/smll.202310743</t>
        </is>
      </c>
      <c r="F270" s="5" t="inlineStr">
        <is>
          <t>Growth-factor/protein delivery depots</t>
        </is>
      </c>
      <c r="G270" s="5" t="inlineStr">
        <is>
          <t>Wound-area trajectory</t>
        </is>
      </c>
      <c r="H270" s="6" t="inlineStr">
        <is>
          <t>1</t>
        </is>
      </c>
      <c r="K270" s="5" t="inlineStr">
        <is>
          <t xml:space="preserve">; </t>
        </is>
      </c>
      <c r="M270" s="5" t="inlineStr">
        <is>
          <t>100.0</t>
        </is>
      </c>
      <c r="N270" s="5" t="inlineStr">
        <is>
          <t>YES</t>
        </is>
      </c>
    </row>
    <row r="271">
      <c r="A271" s="6" t="n">
        <v>250</v>
      </c>
      <c r="B271" s="5" t="inlineStr">
        <is>
          <t>S3</t>
        </is>
      </c>
      <c r="C271" s="5" t="inlineStr">
        <is>
          <t>10: Growth-factor and protein delivery depots</t>
        </is>
      </c>
      <c r="D271" s="5" t="inlineStr">
        <is>
          <t>Platelet‐derived growth factor nanocapsules with tunable controlled release for chronic wound healing</t>
        </is>
      </c>
      <c r="E271" s="5" t="inlineStr">
        <is>
          <t>10.1002/smll.202310743</t>
        </is>
      </c>
      <c r="F271" s="5" t="inlineStr">
        <is>
          <t>Growth-factor/protein delivery depots</t>
        </is>
      </c>
      <c r="G271" s="5" t="inlineStr">
        <is>
          <t>Safety or cytocompatibility</t>
        </is>
      </c>
      <c r="H271" s="6" t="inlineStr">
        <is>
          <t>1</t>
        </is>
      </c>
      <c r="K271" s="5" t="inlineStr">
        <is>
          <t xml:space="preserve">; </t>
        </is>
      </c>
      <c r="M271" s="5" t="inlineStr">
        <is>
          <t>100.0</t>
        </is>
      </c>
      <c r="N271" s="5" t="inlineStr">
        <is>
          <t>YES</t>
        </is>
      </c>
    </row>
    <row r="272">
      <c r="A272" s="6" t="n">
        <v>252</v>
      </c>
      <c r="B272" s="5" t="inlineStr">
        <is>
          <t>S3</t>
        </is>
      </c>
      <c r="C272" s="5" t="inlineStr">
        <is>
          <t>10: Growth-factor and protein delivery depots</t>
        </is>
      </c>
      <c r="D272" s="5" t="inlineStr">
        <is>
          <t>Sequential release of multiple growth factors from injectable nanocomposite hyaluronic acid hydrogels for enhanced angiogenesis</t>
        </is>
      </c>
      <c r="E272" s="5" t="inlineStr">
        <is>
          <t>10.1016/j.cej.2025.168701</t>
        </is>
      </c>
      <c r="F272" s="5" t="inlineStr">
        <is>
          <t>Growth-factor/protein delivery depots</t>
        </is>
      </c>
      <c r="G272" s="5" t="inlineStr">
        <is>
          <t>Material properties</t>
        </is>
      </c>
      <c r="H272" s="6" t="inlineStr">
        <is>
          <t>1</t>
        </is>
      </c>
      <c r="K272" s="5" t="inlineStr">
        <is>
          <t xml:space="preserve">; </t>
        </is>
      </c>
      <c r="M272" s="5" t="inlineStr">
        <is>
          <t>100.0</t>
        </is>
      </c>
      <c r="N272" s="5" t="inlineStr">
        <is>
          <t>YES</t>
        </is>
      </c>
    </row>
    <row r="273">
      <c r="A273" s="6" t="n">
        <v>252</v>
      </c>
      <c r="B273" s="5" t="inlineStr">
        <is>
          <t>S3</t>
        </is>
      </c>
      <c r="C273" s="5" t="inlineStr">
        <is>
          <t>10: Growth-factor and protein delivery depots</t>
        </is>
      </c>
      <c r="D273" s="5" t="inlineStr">
        <is>
          <t>Sequential release of multiple growth factors from injectable nanocomposite hyaluronic acid hydrogels for enhanced angiogenesis</t>
        </is>
      </c>
      <c r="E273" s="5" t="inlineStr">
        <is>
          <t>10.1016/j.cej.2025.168701</t>
        </is>
      </c>
      <c r="F273" s="5" t="inlineStr">
        <is>
          <t>Growth-factor/protein delivery depots</t>
        </is>
      </c>
      <c r="G273" s="5" t="inlineStr">
        <is>
          <t>Release or activation kinetics</t>
        </is>
      </c>
      <c r="H273" s="6" t="inlineStr">
        <is>
          <t>1</t>
        </is>
      </c>
      <c r="K273" s="5" t="inlineStr">
        <is>
          <t xml:space="preserve">; </t>
        </is>
      </c>
      <c r="M273" s="5" t="inlineStr">
        <is>
          <t>100.0</t>
        </is>
      </c>
      <c r="N273" s="5" t="inlineStr">
        <is>
          <t>YES</t>
        </is>
      </c>
    </row>
    <row r="274">
      <c r="A274" s="6" t="n">
        <v>252</v>
      </c>
      <c r="B274" s="5" t="inlineStr">
        <is>
          <t>S3</t>
        </is>
      </c>
      <c r="C274" s="5" t="inlineStr">
        <is>
          <t>10: Growth-factor and protein delivery depots</t>
        </is>
      </c>
      <c r="D274" s="5" t="inlineStr">
        <is>
          <t>Sequential release of multiple growth factors from injectable nanocomposite hyaluronic acid hydrogels for enhanced angiogenesis</t>
        </is>
      </c>
      <c r="E274" s="5" t="inlineStr">
        <is>
          <t>10.1016/j.cej.2025.168701</t>
        </is>
      </c>
      <c r="F274" s="5" t="inlineStr">
        <is>
          <t>Growth-factor/protein delivery depots</t>
        </is>
      </c>
      <c r="G274" s="5" t="inlineStr">
        <is>
          <t>Antimicrobial or biofilm</t>
        </is>
      </c>
      <c r="H274" s="6" t="inlineStr">
        <is>
          <t>1</t>
        </is>
      </c>
      <c r="K274" s="5" t="inlineStr">
        <is>
          <t xml:space="preserve">; </t>
        </is>
      </c>
      <c r="M274" s="5" t="inlineStr">
        <is>
          <t>100.0</t>
        </is>
      </c>
      <c r="N274" s="5" t="inlineStr">
        <is>
          <t>YES</t>
        </is>
      </c>
    </row>
    <row r="275">
      <c r="A275" s="6" t="n">
        <v>252</v>
      </c>
      <c r="B275" s="5" t="inlineStr">
        <is>
          <t>S3</t>
        </is>
      </c>
      <c r="C275" s="5" t="inlineStr">
        <is>
          <t>10: Growth-factor and protein delivery depots</t>
        </is>
      </c>
      <c r="D275" s="5" t="inlineStr">
        <is>
          <t>Sequential release of multiple growth factors from injectable nanocomposite hyaluronic acid hydrogels for enhanced angiogenesis</t>
        </is>
      </c>
      <c r="E275" s="5" t="inlineStr">
        <is>
          <t>10.1016/j.cej.2025.168701</t>
        </is>
      </c>
      <c r="F275" s="5" t="inlineStr">
        <is>
          <t>Growth-factor/protein delivery depots</t>
        </is>
      </c>
      <c r="G275" s="5" t="inlineStr">
        <is>
          <t>ROS, oxidative, or metabolic</t>
        </is>
      </c>
      <c r="H275" s="6" t="inlineStr">
        <is>
          <t>0</t>
        </is>
      </c>
      <c r="K275" s="5" t="inlineStr">
        <is>
          <t xml:space="preserve">; </t>
        </is>
      </c>
      <c r="M275" s="5" t="inlineStr">
        <is>
          <t>100.0</t>
        </is>
      </c>
      <c r="N275" s="5" t="inlineStr">
        <is>
          <t>YES</t>
        </is>
      </c>
    </row>
    <row r="276">
      <c r="A276" s="6" t="n">
        <v>252</v>
      </c>
      <c r="B276" s="5" t="inlineStr">
        <is>
          <t>S3</t>
        </is>
      </c>
      <c r="C276" s="5" t="inlineStr">
        <is>
          <t>10: Growth-factor and protein delivery depots</t>
        </is>
      </c>
      <c r="D276" s="5" t="inlineStr">
        <is>
          <t>Sequential release of multiple growth factors from injectable nanocomposite hyaluronic acid hydrogels for enhanced angiogenesis</t>
        </is>
      </c>
      <c r="E276" s="5" t="inlineStr">
        <is>
          <t>10.1016/j.cej.2025.168701</t>
        </is>
      </c>
      <c r="F276" s="5" t="inlineStr">
        <is>
          <t>Growth-factor/protein delivery depots</t>
        </is>
      </c>
      <c r="G276" s="5" t="inlineStr">
        <is>
          <t>Immune, cytokine, or macrophage</t>
        </is>
      </c>
      <c r="H276" s="6" t="inlineStr">
        <is>
          <t>0</t>
        </is>
      </c>
      <c r="K276" s="5" t="inlineStr">
        <is>
          <t xml:space="preserve">; </t>
        </is>
      </c>
      <c r="M276" s="5" t="inlineStr">
        <is>
          <t>100.0</t>
        </is>
      </c>
      <c r="N276" s="5" t="inlineStr">
        <is>
          <t>YES</t>
        </is>
      </c>
    </row>
    <row r="277">
      <c r="A277" s="6" t="n">
        <v>252</v>
      </c>
      <c r="B277" s="5" t="inlineStr">
        <is>
          <t>S3</t>
        </is>
      </c>
      <c r="C277" s="5" t="inlineStr">
        <is>
          <t>10: Growth-factor and protein delivery depots</t>
        </is>
      </c>
      <c r="D277" s="5" t="inlineStr">
        <is>
          <t>Sequential release of multiple growth factors from injectable nanocomposite hyaluronic acid hydrogels for enhanced angiogenesis</t>
        </is>
      </c>
      <c r="E277" s="5" t="inlineStr">
        <is>
          <t>10.1016/j.cej.2025.168701</t>
        </is>
      </c>
      <c r="F277" s="5" t="inlineStr">
        <is>
          <t>Growth-factor/protein delivery depots</t>
        </is>
      </c>
      <c r="G277" s="5" t="inlineStr">
        <is>
          <t>Angiogenic or vascular</t>
        </is>
      </c>
      <c r="H277" s="6" t="inlineStr">
        <is>
          <t>1</t>
        </is>
      </c>
      <c r="K277" s="5" t="inlineStr">
        <is>
          <t xml:space="preserve">; </t>
        </is>
      </c>
      <c r="M277" s="5" t="inlineStr">
        <is>
          <t>100.0</t>
        </is>
      </c>
      <c r="N277" s="5" t="inlineStr">
        <is>
          <t>YES</t>
        </is>
      </c>
    </row>
    <row r="278">
      <c r="A278" s="6" t="n">
        <v>252</v>
      </c>
      <c r="B278" s="5" t="inlineStr">
        <is>
          <t>S3</t>
        </is>
      </c>
      <c r="C278" s="5" t="inlineStr">
        <is>
          <t>10: Growth-factor and protein delivery depots</t>
        </is>
      </c>
      <c r="D278" s="5" t="inlineStr">
        <is>
          <t>Sequential release of multiple growth factors from injectable nanocomposite hyaluronic acid hydrogels for enhanced angiogenesis</t>
        </is>
      </c>
      <c r="E278" s="5" t="inlineStr">
        <is>
          <t>10.1016/j.cej.2025.168701</t>
        </is>
      </c>
      <c r="F278" s="5" t="inlineStr">
        <is>
          <t>Growth-factor/protein delivery depots</t>
        </is>
      </c>
      <c r="G278" s="5" t="inlineStr">
        <is>
          <t>Histology, collagen, or matrix repair</t>
        </is>
      </c>
      <c r="H278" s="6" t="inlineStr">
        <is>
          <t>1</t>
        </is>
      </c>
      <c r="K278" s="5" t="inlineStr">
        <is>
          <t xml:space="preserve">; </t>
        </is>
      </c>
      <c r="M278" s="5" t="inlineStr">
        <is>
          <t>100.0</t>
        </is>
      </c>
      <c r="N278" s="5" t="inlineStr">
        <is>
          <t>YES</t>
        </is>
      </c>
    </row>
    <row r="279">
      <c r="A279" s="6" t="n">
        <v>252</v>
      </c>
      <c r="B279" s="5" t="inlineStr">
        <is>
          <t>S3</t>
        </is>
      </c>
      <c r="C279" s="5" t="inlineStr">
        <is>
          <t>10: Growth-factor and protein delivery depots</t>
        </is>
      </c>
      <c r="D279" s="5" t="inlineStr">
        <is>
          <t>Sequential release of multiple growth factors from injectable nanocomposite hyaluronic acid hydrogels for enhanced angiogenesis</t>
        </is>
      </c>
      <c r="E279" s="5" t="inlineStr">
        <is>
          <t>10.1016/j.cej.2025.168701</t>
        </is>
      </c>
      <c r="F279" s="5" t="inlineStr">
        <is>
          <t>Growth-factor/protein delivery depots</t>
        </is>
      </c>
      <c r="G279" s="5" t="inlineStr">
        <is>
          <t>Wound-area trajectory</t>
        </is>
      </c>
      <c r="H279" s="6" t="inlineStr">
        <is>
          <t>1</t>
        </is>
      </c>
      <c r="K279" s="5" t="inlineStr">
        <is>
          <t xml:space="preserve">; </t>
        </is>
      </c>
      <c r="M279" s="5" t="inlineStr">
        <is>
          <t>100.0</t>
        </is>
      </c>
      <c r="N279" s="5" t="inlineStr">
        <is>
          <t>YES</t>
        </is>
      </c>
    </row>
    <row r="280">
      <c r="A280" s="6" t="n">
        <v>252</v>
      </c>
      <c r="B280" s="5" t="inlineStr">
        <is>
          <t>S3</t>
        </is>
      </c>
      <c r="C280" s="5" t="inlineStr">
        <is>
          <t>10: Growth-factor and protein delivery depots</t>
        </is>
      </c>
      <c r="D280" s="5" t="inlineStr">
        <is>
          <t>Sequential release of multiple growth factors from injectable nanocomposite hyaluronic acid hydrogels for enhanced angiogenesis</t>
        </is>
      </c>
      <c r="E280" s="5" t="inlineStr">
        <is>
          <t>10.1016/j.cej.2025.168701</t>
        </is>
      </c>
      <c r="F280" s="5" t="inlineStr">
        <is>
          <t>Growth-factor/protein delivery depots</t>
        </is>
      </c>
      <c r="G280" s="5" t="inlineStr">
        <is>
          <t>Safety or cytocompatibility</t>
        </is>
      </c>
      <c r="H280" s="6" t="inlineStr">
        <is>
          <t>1</t>
        </is>
      </c>
      <c r="K280" s="5" t="inlineStr">
        <is>
          <t xml:space="preserve">; </t>
        </is>
      </c>
      <c r="M280" s="5" t="inlineStr">
        <is>
          <t>100.0</t>
        </is>
      </c>
      <c r="N280" s="5" t="inlineStr">
        <is>
          <t>YES</t>
        </is>
      </c>
    </row>
    <row r="281">
      <c r="A281" s="6" t="n">
        <v>253</v>
      </c>
      <c r="B281" s="5" t="inlineStr">
        <is>
          <t>S3</t>
        </is>
      </c>
      <c r="C281" s="5" t="inlineStr">
        <is>
          <t>10: Growth-factor and protein delivery depots</t>
        </is>
      </c>
      <c r="D281" s="5" t="inlineStr">
        <is>
          <t>Fibrin hydrogel incorporated with microspheres containing vascular endothelial growth factor (VEGF) and basic fibroblast growth factor (bFGF) accelerated the healing of diabetic wounds in rats</t>
        </is>
      </c>
      <c r="E281" s="5" t="inlineStr">
        <is>
          <t>10.1016/j.tice.2025.103301</t>
        </is>
      </c>
      <c r="F281" s="5" t="inlineStr">
        <is>
          <t>Growth-factor/protein delivery depots</t>
        </is>
      </c>
      <c r="G281" s="5" t="inlineStr">
        <is>
          <t>Material properties</t>
        </is>
      </c>
      <c r="H281" s="6" t="inlineStr">
        <is>
          <t>1</t>
        </is>
      </c>
      <c r="K281" s="5" t="inlineStr">
        <is>
          <t xml:space="preserve">; </t>
        </is>
      </c>
      <c r="M281" s="5" t="inlineStr">
        <is>
          <t>100.0</t>
        </is>
      </c>
      <c r="N281" s="5" t="inlineStr">
        <is>
          <t>YES</t>
        </is>
      </c>
    </row>
    <row r="282">
      <c r="A282" s="6" t="n">
        <v>253</v>
      </c>
      <c r="B282" s="5" t="inlineStr">
        <is>
          <t>S3</t>
        </is>
      </c>
      <c r="C282" s="5" t="inlineStr">
        <is>
          <t>10: Growth-factor and protein delivery depots</t>
        </is>
      </c>
      <c r="D282" s="5" t="inlineStr">
        <is>
          <t>Fibrin hydrogel incorporated with microspheres containing vascular endothelial growth factor (VEGF) and basic fibroblast growth factor (bFGF) accelerated the healing of diabetic wounds in rats</t>
        </is>
      </c>
      <c r="E282" s="5" t="inlineStr">
        <is>
          <t>10.1016/j.tice.2025.103301</t>
        </is>
      </c>
      <c r="F282" s="5" t="inlineStr">
        <is>
          <t>Growth-factor/protein delivery depots</t>
        </is>
      </c>
      <c r="G282" s="5" t="inlineStr">
        <is>
          <t>Release or activation kinetics</t>
        </is>
      </c>
      <c r="H282" s="6" t="inlineStr">
        <is>
          <t>1</t>
        </is>
      </c>
      <c r="K282" s="5" t="inlineStr">
        <is>
          <t xml:space="preserve">; </t>
        </is>
      </c>
      <c r="M282" s="5" t="inlineStr">
        <is>
          <t>100.0</t>
        </is>
      </c>
      <c r="N282" s="5" t="inlineStr">
        <is>
          <t>YES</t>
        </is>
      </c>
    </row>
    <row r="283">
      <c r="A283" s="6" t="n">
        <v>253</v>
      </c>
      <c r="B283" s="5" t="inlineStr">
        <is>
          <t>S3</t>
        </is>
      </c>
      <c r="C283" s="5" t="inlineStr">
        <is>
          <t>10: Growth-factor and protein delivery depots</t>
        </is>
      </c>
      <c r="D283" s="5" t="inlineStr">
        <is>
          <t>Fibrin hydrogel incorporated with microspheres containing vascular endothelial growth factor (VEGF) and basic fibroblast growth factor (bFGF) accelerated the healing of diabetic wounds in rats</t>
        </is>
      </c>
      <c r="E283" s="5" t="inlineStr">
        <is>
          <t>10.1016/j.tice.2025.103301</t>
        </is>
      </c>
      <c r="F283" s="5" t="inlineStr">
        <is>
          <t>Growth-factor/protein delivery depots</t>
        </is>
      </c>
      <c r="G283" s="5" t="inlineStr">
        <is>
          <t>Antimicrobial or biofilm</t>
        </is>
      </c>
      <c r="H283" s="6" t="inlineStr">
        <is>
          <t>1</t>
        </is>
      </c>
      <c r="K283" s="5" t="inlineStr">
        <is>
          <t xml:space="preserve">; </t>
        </is>
      </c>
      <c r="M283" s="5" t="inlineStr">
        <is>
          <t>100.0</t>
        </is>
      </c>
      <c r="N283" s="5" t="inlineStr">
        <is>
          <t>YES</t>
        </is>
      </c>
    </row>
    <row r="284">
      <c r="A284" s="6" t="n">
        <v>253</v>
      </c>
      <c r="B284" s="5" t="inlineStr">
        <is>
          <t>S3</t>
        </is>
      </c>
      <c r="C284" s="5" t="inlineStr">
        <is>
          <t>10: Growth-factor and protein delivery depots</t>
        </is>
      </c>
      <c r="D284" s="5" t="inlineStr">
        <is>
          <t>Fibrin hydrogel incorporated with microspheres containing vascular endothelial growth factor (VEGF) and basic fibroblast growth factor (bFGF) accelerated the healing of diabetic wounds in rats</t>
        </is>
      </c>
      <c r="E284" s="5" t="inlineStr">
        <is>
          <t>10.1016/j.tice.2025.103301</t>
        </is>
      </c>
      <c r="F284" s="5" t="inlineStr">
        <is>
          <t>Growth-factor/protein delivery depots</t>
        </is>
      </c>
      <c r="G284" s="5" t="inlineStr">
        <is>
          <t>ROS, oxidative, or metabolic</t>
        </is>
      </c>
      <c r="H284" s="6" t="inlineStr">
        <is>
          <t>1</t>
        </is>
      </c>
      <c r="K284" s="5" t="inlineStr">
        <is>
          <t xml:space="preserve">; </t>
        </is>
      </c>
      <c r="M284" s="5" t="inlineStr">
        <is>
          <t>100.0</t>
        </is>
      </c>
      <c r="N284" s="5" t="inlineStr">
        <is>
          <t>YES</t>
        </is>
      </c>
    </row>
    <row r="285">
      <c r="A285" s="6" t="n">
        <v>253</v>
      </c>
      <c r="B285" s="5" t="inlineStr">
        <is>
          <t>S3</t>
        </is>
      </c>
      <c r="C285" s="5" t="inlineStr">
        <is>
          <t>10: Growth-factor and protein delivery depots</t>
        </is>
      </c>
      <c r="D285" s="5" t="inlineStr">
        <is>
          <t>Fibrin hydrogel incorporated with microspheres containing vascular endothelial growth factor (VEGF) and basic fibroblast growth factor (bFGF) accelerated the healing of diabetic wounds in rats</t>
        </is>
      </c>
      <c r="E285" s="5" t="inlineStr">
        <is>
          <t>10.1016/j.tice.2025.103301</t>
        </is>
      </c>
      <c r="F285" s="5" t="inlineStr">
        <is>
          <t>Growth-factor/protein delivery depots</t>
        </is>
      </c>
      <c r="G285" s="5" t="inlineStr">
        <is>
          <t>Immune, cytokine, or macrophage</t>
        </is>
      </c>
      <c r="H285" s="6" t="inlineStr">
        <is>
          <t>1</t>
        </is>
      </c>
      <c r="K285" s="5" t="inlineStr">
        <is>
          <t xml:space="preserve">; </t>
        </is>
      </c>
      <c r="M285" s="5" t="inlineStr">
        <is>
          <t>100.0</t>
        </is>
      </c>
      <c r="N285" s="5" t="inlineStr">
        <is>
          <t>YES</t>
        </is>
      </c>
    </row>
    <row r="286">
      <c r="A286" s="6" t="n">
        <v>253</v>
      </c>
      <c r="B286" s="5" t="inlineStr">
        <is>
          <t>S3</t>
        </is>
      </c>
      <c r="C286" s="5" t="inlineStr">
        <is>
          <t>10: Growth-factor and protein delivery depots</t>
        </is>
      </c>
      <c r="D286" s="5" t="inlineStr">
        <is>
          <t>Fibrin hydrogel incorporated with microspheres containing vascular endothelial growth factor (VEGF) and basic fibroblast growth factor (bFGF) accelerated the healing of diabetic wounds in rats</t>
        </is>
      </c>
      <c r="E286" s="5" t="inlineStr">
        <is>
          <t>10.1016/j.tice.2025.103301</t>
        </is>
      </c>
      <c r="F286" s="5" t="inlineStr">
        <is>
          <t>Growth-factor/protein delivery depots</t>
        </is>
      </c>
      <c r="G286" s="5" t="inlineStr">
        <is>
          <t>Angiogenic or vascular</t>
        </is>
      </c>
      <c r="H286" s="6" t="inlineStr">
        <is>
          <t>1</t>
        </is>
      </c>
      <c r="K286" s="5" t="inlineStr">
        <is>
          <t xml:space="preserve">; </t>
        </is>
      </c>
      <c r="M286" s="5" t="inlineStr">
        <is>
          <t>100.0</t>
        </is>
      </c>
      <c r="N286" s="5" t="inlineStr">
        <is>
          <t>YES</t>
        </is>
      </c>
    </row>
    <row r="287">
      <c r="A287" s="6" t="n">
        <v>253</v>
      </c>
      <c r="B287" s="5" t="inlineStr">
        <is>
          <t>S3</t>
        </is>
      </c>
      <c r="C287" s="5" t="inlineStr">
        <is>
          <t>10: Growth-factor and protein delivery depots</t>
        </is>
      </c>
      <c r="D287" s="5" t="inlineStr">
        <is>
          <t>Fibrin hydrogel incorporated with microspheres containing vascular endothelial growth factor (VEGF) and basic fibroblast growth factor (bFGF) accelerated the healing of diabetic wounds in rats</t>
        </is>
      </c>
      <c r="E287" s="5" t="inlineStr">
        <is>
          <t>10.1016/j.tice.2025.103301</t>
        </is>
      </c>
      <c r="F287" s="5" t="inlineStr">
        <is>
          <t>Growth-factor/protein delivery depots</t>
        </is>
      </c>
      <c r="G287" s="5" t="inlineStr">
        <is>
          <t>Histology, collagen, or matrix repair</t>
        </is>
      </c>
      <c r="H287" s="6" t="inlineStr">
        <is>
          <t>1</t>
        </is>
      </c>
      <c r="K287" s="5" t="inlineStr">
        <is>
          <t xml:space="preserve">; </t>
        </is>
      </c>
      <c r="M287" s="5" t="inlineStr">
        <is>
          <t>100.0</t>
        </is>
      </c>
      <c r="N287" s="5" t="inlineStr">
        <is>
          <t>YES</t>
        </is>
      </c>
    </row>
    <row r="288">
      <c r="A288" s="6" t="n">
        <v>253</v>
      </c>
      <c r="B288" s="5" t="inlineStr">
        <is>
          <t>S3</t>
        </is>
      </c>
      <c r="C288" s="5" t="inlineStr">
        <is>
          <t>10: Growth-factor and protein delivery depots</t>
        </is>
      </c>
      <c r="D288" s="5" t="inlineStr">
        <is>
          <t>Fibrin hydrogel incorporated with microspheres containing vascular endothelial growth factor (VEGF) and basic fibroblast growth factor (bFGF) accelerated the healing of diabetic wounds in rats</t>
        </is>
      </c>
      <c r="E288" s="5" t="inlineStr">
        <is>
          <t>10.1016/j.tice.2025.103301</t>
        </is>
      </c>
      <c r="F288" s="5" t="inlineStr">
        <is>
          <t>Growth-factor/protein delivery depots</t>
        </is>
      </c>
      <c r="G288" s="5" t="inlineStr">
        <is>
          <t>Wound-area trajectory</t>
        </is>
      </c>
      <c r="H288" s="6" t="inlineStr">
        <is>
          <t>1</t>
        </is>
      </c>
      <c r="K288" s="5" t="inlineStr">
        <is>
          <t xml:space="preserve">; </t>
        </is>
      </c>
      <c r="M288" s="5" t="inlineStr">
        <is>
          <t>100.0</t>
        </is>
      </c>
      <c r="N288" s="5" t="inlineStr">
        <is>
          <t>YES</t>
        </is>
      </c>
    </row>
    <row r="289">
      <c r="A289" s="6" t="n">
        <v>253</v>
      </c>
      <c r="B289" s="5" t="inlineStr">
        <is>
          <t>S3</t>
        </is>
      </c>
      <c r="C289" s="5" t="inlineStr">
        <is>
          <t>10: Growth-factor and protein delivery depots</t>
        </is>
      </c>
      <c r="D289" s="5" t="inlineStr">
        <is>
          <t>Fibrin hydrogel incorporated with microspheres containing vascular endothelial growth factor (VEGF) and basic fibroblast growth factor (bFGF) accelerated the healing of diabetic wounds in rats</t>
        </is>
      </c>
      <c r="E289" s="5" t="inlineStr">
        <is>
          <t>10.1016/j.tice.2025.103301</t>
        </is>
      </c>
      <c r="F289" s="5" t="inlineStr">
        <is>
          <t>Growth-factor/protein delivery depots</t>
        </is>
      </c>
      <c r="G289" s="5" t="inlineStr">
        <is>
          <t>Safety or cytocompatibility</t>
        </is>
      </c>
      <c r="H289" s="6" t="inlineStr">
        <is>
          <t>1</t>
        </is>
      </c>
      <c r="K289" s="5" t="inlineStr">
        <is>
          <t xml:space="preserve">; </t>
        </is>
      </c>
      <c r="M289" s="5" t="inlineStr">
        <is>
          <t>100.0</t>
        </is>
      </c>
      <c r="N289" s="5" t="inlineStr">
        <is>
          <t>YES</t>
        </is>
      </c>
    </row>
    <row r="290">
      <c r="A290" s="6" t="n">
        <v>254</v>
      </c>
      <c r="B290" s="5" t="inlineStr">
        <is>
          <t>S3</t>
        </is>
      </c>
      <c r="C290" s="5" t="inlineStr">
        <is>
          <t>10: Growth-factor and protein delivery depots</t>
        </is>
      </c>
      <c r="D290" s="5" t="inlineStr">
        <is>
          <t>Programmable hierarchical hydrogel dressing for sequential release of growth factor and DNase to accelerate diabetic wound healing</t>
        </is>
      </c>
      <c r="E290" s="5" t="inlineStr">
        <is>
          <t>10.1016/j.jconrel.2025.113825</t>
        </is>
      </c>
      <c r="F290" s="5" t="inlineStr">
        <is>
          <t>Growth-factor/protein delivery depots</t>
        </is>
      </c>
      <c r="G290" s="5" t="inlineStr">
        <is>
          <t>Material properties</t>
        </is>
      </c>
      <c r="H290" s="6" t="inlineStr">
        <is>
          <t>1</t>
        </is>
      </c>
      <c r="K290" s="5" t="inlineStr">
        <is>
          <t xml:space="preserve">; </t>
        </is>
      </c>
      <c r="M290" s="5" t="inlineStr">
        <is>
          <t>100.0</t>
        </is>
      </c>
      <c r="N290" s="5" t="inlineStr">
        <is>
          <t>YES</t>
        </is>
      </c>
    </row>
    <row r="291">
      <c r="A291" s="6" t="n">
        <v>254</v>
      </c>
      <c r="B291" s="5" t="inlineStr">
        <is>
          <t>S3</t>
        </is>
      </c>
      <c r="C291" s="5" t="inlineStr">
        <is>
          <t>10: Growth-factor and protein delivery depots</t>
        </is>
      </c>
      <c r="D291" s="5" t="inlineStr">
        <is>
          <t>Programmable hierarchical hydrogel dressing for sequential release of growth factor and DNase to accelerate diabetic wound healing</t>
        </is>
      </c>
      <c r="E291" s="5" t="inlineStr">
        <is>
          <t>10.1016/j.jconrel.2025.113825</t>
        </is>
      </c>
      <c r="F291" s="5" t="inlineStr">
        <is>
          <t>Growth-factor/protein delivery depots</t>
        </is>
      </c>
      <c r="G291" s="5" t="inlineStr">
        <is>
          <t>Release or activation kinetics</t>
        </is>
      </c>
      <c r="H291" s="6" t="inlineStr">
        <is>
          <t>1</t>
        </is>
      </c>
      <c r="K291" s="5" t="inlineStr">
        <is>
          <t xml:space="preserve">; </t>
        </is>
      </c>
      <c r="M291" s="5" t="inlineStr">
        <is>
          <t>100.0</t>
        </is>
      </c>
      <c r="N291" s="5" t="inlineStr">
        <is>
          <t>YES</t>
        </is>
      </c>
    </row>
    <row r="292">
      <c r="A292" s="6" t="n">
        <v>254</v>
      </c>
      <c r="B292" s="5" t="inlineStr">
        <is>
          <t>S3</t>
        </is>
      </c>
      <c r="C292" s="5" t="inlineStr">
        <is>
          <t>10: Growth-factor and protein delivery depots</t>
        </is>
      </c>
      <c r="D292" s="5" t="inlineStr">
        <is>
          <t>Programmable hierarchical hydrogel dressing for sequential release of growth factor and DNase to accelerate diabetic wound healing</t>
        </is>
      </c>
      <c r="E292" s="5" t="inlineStr">
        <is>
          <t>10.1016/j.jconrel.2025.113825</t>
        </is>
      </c>
      <c r="F292" s="5" t="inlineStr">
        <is>
          <t>Growth-factor/protein delivery depots</t>
        </is>
      </c>
      <c r="G292" s="5" t="inlineStr">
        <is>
          <t>Antimicrobial or biofilm</t>
        </is>
      </c>
      <c r="H292" s="6" t="inlineStr">
        <is>
          <t>1</t>
        </is>
      </c>
      <c r="K292" s="5" t="inlineStr">
        <is>
          <t xml:space="preserve">; </t>
        </is>
      </c>
      <c r="M292" s="5" t="inlineStr">
        <is>
          <t>100.0</t>
        </is>
      </c>
      <c r="N292" s="5" t="inlineStr">
        <is>
          <t>YES</t>
        </is>
      </c>
    </row>
    <row r="293">
      <c r="A293" s="6" t="n">
        <v>254</v>
      </c>
      <c r="B293" s="5" t="inlineStr">
        <is>
          <t>S3</t>
        </is>
      </c>
      <c r="C293" s="5" t="inlineStr">
        <is>
          <t>10: Growth-factor and protein delivery depots</t>
        </is>
      </c>
      <c r="D293" s="5" t="inlineStr">
        <is>
          <t>Programmable hierarchical hydrogel dressing for sequential release of growth factor and DNase to accelerate diabetic wound healing</t>
        </is>
      </c>
      <c r="E293" s="5" t="inlineStr">
        <is>
          <t>10.1016/j.jconrel.2025.113825</t>
        </is>
      </c>
      <c r="F293" s="5" t="inlineStr">
        <is>
          <t>Growth-factor/protein delivery depots</t>
        </is>
      </c>
      <c r="G293" s="5" t="inlineStr">
        <is>
          <t>ROS, oxidative, or metabolic</t>
        </is>
      </c>
      <c r="H293" s="6" t="inlineStr">
        <is>
          <t>1</t>
        </is>
      </c>
      <c r="K293" s="5" t="inlineStr">
        <is>
          <t xml:space="preserve">; </t>
        </is>
      </c>
      <c r="M293" s="5" t="inlineStr">
        <is>
          <t>100.0</t>
        </is>
      </c>
      <c r="N293" s="5" t="inlineStr">
        <is>
          <t>YES</t>
        </is>
      </c>
    </row>
    <row r="294">
      <c r="A294" s="6" t="n">
        <v>254</v>
      </c>
      <c r="B294" s="5" t="inlineStr">
        <is>
          <t>S3</t>
        </is>
      </c>
      <c r="C294" s="5" t="inlineStr">
        <is>
          <t>10: Growth-factor and protein delivery depots</t>
        </is>
      </c>
      <c r="D294" s="5" t="inlineStr">
        <is>
          <t>Programmable hierarchical hydrogel dressing for sequential release of growth factor and DNase to accelerate diabetic wound healing</t>
        </is>
      </c>
      <c r="E294" s="5" t="inlineStr">
        <is>
          <t>10.1016/j.jconrel.2025.113825</t>
        </is>
      </c>
      <c r="F294" s="5" t="inlineStr">
        <is>
          <t>Growth-factor/protein delivery depots</t>
        </is>
      </c>
      <c r="G294" s="5" t="inlineStr">
        <is>
          <t>Immune, cytokine, or macrophage</t>
        </is>
      </c>
      <c r="H294" s="6" t="inlineStr">
        <is>
          <t>0</t>
        </is>
      </c>
      <c r="K294" s="5" t="inlineStr">
        <is>
          <t xml:space="preserve">; </t>
        </is>
      </c>
      <c r="M294" s="5" t="inlineStr">
        <is>
          <t>100.0</t>
        </is>
      </c>
      <c r="N294" s="5" t="inlineStr">
        <is>
          <t>YES</t>
        </is>
      </c>
    </row>
    <row r="295">
      <c r="A295" s="6" t="n">
        <v>254</v>
      </c>
      <c r="B295" s="5" t="inlineStr">
        <is>
          <t>S3</t>
        </is>
      </c>
      <c r="C295" s="5" t="inlineStr">
        <is>
          <t>10: Growth-factor and protein delivery depots</t>
        </is>
      </c>
      <c r="D295" s="5" t="inlineStr">
        <is>
          <t>Programmable hierarchical hydrogel dressing for sequential release of growth factor and DNase to accelerate diabetic wound healing</t>
        </is>
      </c>
      <c r="E295" s="5" t="inlineStr">
        <is>
          <t>10.1016/j.jconrel.2025.113825</t>
        </is>
      </c>
      <c r="F295" s="5" t="inlineStr">
        <is>
          <t>Growth-factor/protein delivery depots</t>
        </is>
      </c>
      <c r="G295" s="5" t="inlineStr">
        <is>
          <t>Angiogenic or vascular</t>
        </is>
      </c>
      <c r="H295" s="6" t="inlineStr">
        <is>
          <t>1</t>
        </is>
      </c>
      <c r="K295" s="5" t="inlineStr">
        <is>
          <t xml:space="preserve">; </t>
        </is>
      </c>
      <c r="M295" s="5" t="inlineStr">
        <is>
          <t>100.0</t>
        </is>
      </c>
      <c r="N295" s="5" t="inlineStr">
        <is>
          <t>YES</t>
        </is>
      </c>
    </row>
    <row r="296">
      <c r="A296" s="6" t="n">
        <v>254</v>
      </c>
      <c r="B296" s="5" t="inlineStr">
        <is>
          <t>S3</t>
        </is>
      </c>
      <c r="C296" s="5" t="inlineStr">
        <is>
          <t>10: Growth-factor and protein delivery depots</t>
        </is>
      </c>
      <c r="D296" s="5" t="inlineStr">
        <is>
          <t>Programmable hierarchical hydrogel dressing for sequential release of growth factor and DNase to accelerate diabetic wound healing</t>
        </is>
      </c>
      <c r="E296" s="5" t="inlineStr">
        <is>
          <t>10.1016/j.jconrel.2025.113825</t>
        </is>
      </c>
      <c r="F296" s="5" t="inlineStr">
        <is>
          <t>Growth-factor/protein delivery depots</t>
        </is>
      </c>
      <c r="G296" s="5" t="inlineStr">
        <is>
          <t>Histology, collagen, or matrix repair</t>
        </is>
      </c>
      <c r="H296" s="6" t="inlineStr">
        <is>
          <t>1</t>
        </is>
      </c>
      <c r="K296" s="5" t="inlineStr">
        <is>
          <t xml:space="preserve">; </t>
        </is>
      </c>
      <c r="M296" s="5" t="inlineStr">
        <is>
          <t>100.0</t>
        </is>
      </c>
      <c r="N296" s="5" t="inlineStr">
        <is>
          <t>YES</t>
        </is>
      </c>
    </row>
    <row r="297">
      <c r="A297" s="6" t="n">
        <v>254</v>
      </c>
      <c r="B297" s="5" t="inlineStr">
        <is>
          <t>S3</t>
        </is>
      </c>
      <c r="C297" s="5" t="inlineStr">
        <is>
          <t>10: Growth-factor and protein delivery depots</t>
        </is>
      </c>
      <c r="D297" s="5" t="inlineStr">
        <is>
          <t>Programmable hierarchical hydrogel dressing for sequential release of growth factor and DNase to accelerate diabetic wound healing</t>
        </is>
      </c>
      <c r="E297" s="5" t="inlineStr">
        <is>
          <t>10.1016/j.jconrel.2025.113825</t>
        </is>
      </c>
      <c r="F297" s="5" t="inlineStr">
        <is>
          <t>Growth-factor/protein delivery depots</t>
        </is>
      </c>
      <c r="G297" s="5" t="inlineStr">
        <is>
          <t>Wound-area trajectory</t>
        </is>
      </c>
      <c r="H297" s="6" t="inlineStr">
        <is>
          <t>1</t>
        </is>
      </c>
      <c r="K297" s="5" t="inlineStr">
        <is>
          <t xml:space="preserve">; </t>
        </is>
      </c>
      <c r="M297" s="5" t="inlineStr">
        <is>
          <t>100.0</t>
        </is>
      </c>
      <c r="N297" s="5" t="inlineStr">
        <is>
          <t>YES</t>
        </is>
      </c>
    </row>
    <row r="298">
      <c r="A298" s="6" t="n">
        <v>254</v>
      </c>
      <c r="B298" s="5" t="inlineStr">
        <is>
          <t>S3</t>
        </is>
      </c>
      <c r="C298" s="5" t="inlineStr">
        <is>
          <t>10: Growth-factor and protein delivery depots</t>
        </is>
      </c>
      <c r="D298" s="5" t="inlineStr">
        <is>
          <t>Programmable hierarchical hydrogel dressing for sequential release of growth factor and DNase to accelerate diabetic wound healing</t>
        </is>
      </c>
      <c r="E298" s="5" t="inlineStr">
        <is>
          <t>10.1016/j.jconrel.2025.113825</t>
        </is>
      </c>
      <c r="F298" s="5" t="inlineStr">
        <is>
          <t>Growth-factor/protein delivery depots</t>
        </is>
      </c>
      <c r="G298" s="5" t="inlineStr">
        <is>
          <t>Safety or cytocompatibility</t>
        </is>
      </c>
      <c r="H298" s="6" t="inlineStr">
        <is>
          <t>1</t>
        </is>
      </c>
      <c r="K298" s="5" t="inlineStr">
        <is>
          <t xml:space="preserve">; </t>
        </is>
      </c>
      <c r="M298" s="5" t="inlineStr">
        <is>
          <t>100.0</t>
        </is>
      </c>
      <c r="N298" s="5" t="inlineStr">
        <is>
          <t>YES</t>
        </is>
      </c>
    </row>
    <row r="299">
      <c r="A299" s="6" t="n">
        <v>255</v>
      </c>
      <c r="B299" s="5" t="inlineStr">
        <is>
          <t>S3</t>
        </is>
      </c>
      <c r="C299" s="5" t="inlineStr">
        <is>
          <t>12: Multicargo sequence-delivery formulations</t>
        </is>
      </c>
      <c r="D299" s="5" t="inlineStr">
        <is>
          <t>An intrinsically bioactive hydrogel with on-demand drug release behaviors for diabetic wound healing</t>
        </is>
      </c>
      <c r="E299" s="5" t="inlineStr">
        <is>
          <t>10.1016/j.bioactmat.2021.04.040</t>
        </is>
      </c>
      <c r="F299" s="5" t="inlineStr">
        <is>
          <t>Multicargo sequence-delivery formulations</t>
        </is>
      </c>
      <c r="G299" s="5" t="inlineStr">
        <is>
          <t>Material properties</t>
        </is>
      </c>
      <c r="H299" s="6" t="inlineStr">
        <is>
          <t>1</t>
        </is>
      </c>
      <c r="K299" s="5" t="inlineStr">
        <is>
          <t xml:space="preserve">; </t>
        </is>
      </c>
      <c r="M299" s="5" t="inlineStr">
        <is>
          <t>100.0</t>
        </is>
      </c>
      <c r="N299" s="5" t="inlineStr">
        <is>
          <t>YES</t>
        </is>
      </c>
    </row>
    <row r="300">
      <c r="A300" s="6" t="n">
        <v>255</v>
      </c>
      <c r="B300" s="5" t="inlineStr">
        <is>
          <t>S3</t>
        </is>
      </c>
      <c r="C300" s="5" t="inlineStr">
        <is>
          <t>12: Multicargo sequence-delivery formulations</t>
        </is>
      </c>
      <c r="D300" s="5" t="inlineStr">
        <is>
          <t>An intrinsically bioactive hydrogel with on-demand drug release behaviors for diabetic wound healing</t>
        </is>
      </c>
      <c r="E300" s="5" t="inlineStr">
        <is>
          <t>10.1016/j.bioactmat.2021.04.040</t>
        </is>
      </c>
      <c r="F300" s="5" t="inlineStr">
        <is>
          <t>Multicargo sequence-delivery formulations</t>
        </is>
      </c>
      <c r="G300" s="5" t="inlineStr">
        <is>
          <t>Release or activation kinetics</t>
        </is>
      </c>
      <c r="H300" s="6" t="inlineStr">
        <is>
          <t>1</t>
        </is>
      </c>
      <c r="K300" s="5" t="inlineStr">
        <is>
          <t xml:space="preserve">; </t>
        </is>
      </c>
      <c r="M300" s="5" t="inlineStr">
        <is>
          <t>100.0</t>
        </is>
      </c>
      <c r="N300" s="5" t="inlineStr">
        <is>
          <t>YES</t>
        </is>
      </c>
    </row>
    <row r="301">
      <c r="A301" s="6" t="n">
        <v>255</v>
      </c>
      <c r="B301" s="5" t="inlineStr">
        <is>
          <t>S3</t>
        </is>
      </c>
      <c r="C301" s="5" t="inlineStr">
        <is>
          <t>12: Multicargo sequence-delivery formulations</t>
        </is>
      </c>
      <c r="D301" s="5" t="inlineStr">
        <is>
          <t>An intrinsically bioactive hydrogel with on-demand drug release behaviors for diabetic wound healing</t>
        </is>
      </c>
      <c r="E301" s="5" t="inlineStr">
        <is>
          <t>10.1016/j.bioactmat.2021.04.040</t>
        </is>
      </c>
      <c r="F301" s="5" t="inlineStr">
        <is>
          <t>Multicargo sequence-delivery formulations</t>
        </is>
      </c>
      <c r="G301" s="5" t="inlineStr">
        <is>
          <t>Antimicrobial or biofilm</t>
        </is>
      </c>
      <c r="H301" s="6" t="inlineStr">
        <is>
          <t>1</t>
        </is>
      </c>
      <c r="K301" s="5" t="inlineStr">
        <is>
          <t xml:space="preserve">; </t>
        </is>
      </c>
      <c r="M301" s="5" t="inlineStr">
        <is>
          <t>100.0</t>
        </is>
      </c>
      <c r="N301" s="5" t="inlineStr">
        <is>
          <t>YES</t>
        </is>
      </c>
    </row>
    <row r="302">
      <c r="A302" s="6" t="n">
        <v>255</v>
      </c>
      <c r="B302" s="5" t="inlineStr">
        <is>
          <t>S3</t>
        </is>
      </c>
      <c r="C302" s="5" t="inlineStr">
        <is>
          <t>12: Multicargo sequence-delivery formulations</t>
        </is>
      </c>
      <c r="D302" s="5" t="inlineStr">
        <is>
          <t>An intrinsically bioactive hydrogel with on-demand drug release behaviors for diabetic wound healing</t>
        </is>
      </c>
      <c r="E302" s="5" t="inlineStr">
        <is>
          <t>10.1016/j.bioactmat.2021.04.040</t>
        </is>
      </c>
      <c r="F302" s="5" t="inlineStr">
        <is>
          <t>Multicargo sequence-delivery formulations</t>
        </is>
      </c>
      <c r="G302" s="5" t="inlineStr">
        <is>
          <t>ROS, oxidative, or metabolic</t>
        </is>
      </c>
      <c r="H302" s="6" t="inlineStr">
        <is>
          <t>1</t>
        </is>
      </c>
      <c r="K302" s="5" t="inlineStr">
        <is>
          <t xml:space="preserve">; </t>
        </is>
      </c>
      <c r="M302" s="5" t="inlineStr">
        <is>
          <t>100.0</t>
        </is>
      </c>
      <c r="N302" s="5" t="inlineStr">
        <is>
          <t>YES</t>
        </is>
      </c>
    </row>
    <row r="303">
      <c r="A303" s="6" t="n">
        <v>255</v>
      </c>
      <c r="B303" s="5" t="inlineStr">
        <is>
          <t>S3</t>
        </is>
      </c>
      <c r="C303" s="5" t="inlineStr">
        <is>
          <t>12: Multicargo sequence-delivery formulations</t>
        </is>
      </c>
      <c r="D303" s="5" t="inlineStr">
        <is>
          <t>An intrinsically bioactive hydrogel with on-demand drug release behaviors for diabetic wound healing</t>
        </is>
      </c>
      <c r="E303" s="5" t="inlineStr">
        <is>
          <t>10.1016/j.bioactmat.2021.04.040</t>
        </is>
      </c>
      <c r="F303" s="5" t="inlineStr">
        <is>
          <t>Multicargo sequence-delivery formulations</t>
        </is>
      </c>
      <c r="G303" s="5" t="inlineStr">
        <is>
          <t>Immune, cytokine, or macrophage</t>
        </is>
      </c>
      <c r="H303" s="6" t="inlineStr">
        <is>
          <t>1</t>
        </is>
      </c>
      <c r="K303" s="5" t="inlineStr">
        <is>
          <t xml:space="preserve">; </t>
        </is>
      </c>
      <c r="M303" s="5" t="inlineStr">
        <is>
          <t>100.0</t>
        </is>
      </c>
      <c r="N303" s="5" t="inlineStr">
        <is>
          <t>YES</t>
        </is>
      </c>
    </row>
    <row r="304">
      <c r="A304" s="6" t="n">
        <v>255</v>
      </c>
      <c r="B304" s="5" t="inlineStr">
        <is>
          <t>S3</t>
        </is>
      </c>
      <c r="C304" s="5" t="inlineStr">
        <is>
          <t>12: Multicargo sequence-delivery formulations</t>
        </is>
      </c>
      <c r="D304" s="5" t="inlineStr">
        <is>
          <t>An intrinsically bioactive hydrogel with on-demand drug release behaviors for diabetic wound healing</t>
        </is>
      </c>
      <c r="E304" s="5" t="inlineStr">
        <is>
          <t>10.1016/j.bioactmat.2021.04.040</t>
        </is>
      </c>
      <c r="F304" s="5" t="inlineStr">
        <is>
          <t>Multicargo sequence-delivery formulations</t>
        </is>
      </c>
      <c r="G304" s="5" t="inlineStr">
        <is>
          <t>Angiogenic or vascular</t>
        </is>
      </c>
      <c r="H304" s="6" t="inlineStr">
        <is>
          <t>1</t>
        </is>
      </c>
      <c r="K304" s="5" t="inlineStr">
        <is>
          <t xml:space="preserve">; </t>
        </is>
      </c>
      <c r="M304" s="5" t="inlineStr">
        <is>
          <t>100.0</t>
        </is>
      </c>
      <c r="N304" s="5" t="inlineStr">
        <is>
          <t>YES</t>
        </is>
      </c>
    </row>
    <row r="305">
      <c r="A305" s="6" t="n">
        <v>255</v>
      </c>
      <c r="B305" s="5" t="inlineStr">
        <is>
          <t>S3</t>
        </is>
      </c>
      <c r="C305" s="5" t="inlineStr">
        <is>
          <t>12: Multicargo sequence-delivery formulations</t>
        </is>
      </c>
      <c r="D305" s="5" t="inlineStr">
        <is>
          <t>An intrinsically bioactive hydrogel with on-demand drug release behaviors for diabetic wound healing</t>
        </is>
      </c>
      <c r="E305" s="5" t="inlineStr">
        <is>
          <t>10.1016/j.bioactmat.2021.04.040</t>
        </is>
      </c>
      <c r="F305" s="5" t="inlineStr">
        <is>
          <t>Multicargo sequence-delivery formulations</t>
        </is>
      </c>
      <c r="G305" s="5" t="inlineStr">
        <is>
          <t>Histology, collagen, or matrix repair</t>
        </is>
      </c>
      <c r="H305" s="6" t="inlineStr">
        <is>
          <t>1</t>
        </is>
      </c>
      <c r="K305" s="5" t="inlineStr">
        <is>
          <t xml:space="preserve">; </t>
        </is>
      </c>
      <c r="M305" s="5" t="inlineStr">
        <is>
          <t>100.0</t>
        </is>
      </c>
      <c r="N305" s="5" t="inlineStr">
        <is>
          <t>YES</t>
        </is>
      </c>
    </row>
    <row r="306">
      <c r="A306" s="6" t="n">
        <v>255</v>
      </c>
      <c r="B306" s="5" t="inlineStr">
        <is>
          <t>S3</t>
        </is>
      </c>
      <c r="C306" s="5" t="inlineStr">
        <is>
          <t>12: Multicargo sequence-delivery formulations</t>
        </is>
      </c>
      <c r="D306" s="5" t="inlineStr">
        <is>
          <t>An intrinsically bioactive hydrogel with on-demand drug release behaviors for diabetic wound healing</t>
        </is>
      </c>
      <c r="E306" s="5" t="inlineStr">
        <is>
          <t>10.1016/j.bioactmat.2021.04.040</t>
        </is>
      </c>
      <c r="F306" s="5" t="inlineStr">
        <is>
          <t>Multicargo sequence-delivery formulations</t>
        </is>
      </c>
      <c r="G306" s="5" t="inlineStr">
        <is>
          <t>Wound-area trajectory</t>
        </is>
      </c>
      <c r="H306" s="6" t="inlineStr">
        <is>
          <t>1</t>
        </is>
      </c>
      <c r="K306" s="5" t="inlineStr">
        <is>
          <t xml:space="preserve">; </t>
        </is>
      </c>
      <c r="M306" s="5" t="inlineStr">
        <is>
          <t>100.0</t>
        </is>
      </c>
      <c r="N306" s="5" t="inlineStr">
        <is>
          <t>YES</t>
        </is>
      </c>
    </row>
    <row r="307">
      <c r="A307" s="6" t="n">
        <v>255</v>
      </c>
      <c r="B307" s="5" t="inlineStr">
        <is>
          <t>S3</t>
        </is>
      </c>
      <c r="C307" s="5" t="inlineStr">
        <is>
          <t>12: Multicargo sequence-delivery formulations</t>
        </is>
      </c>
      <c r="D307" s="5" t="inlineStr">
        <is>
          <t>An intrinsically bioactive hydrogel with on-demand drug release behaviors for diabetic wound healing</t>
        </is>
      </c>
      <c r="E307" s="5" t="inlineStr">
        <is>
          <t>10.1016/j.bioactmat.2021.04.040</t>
        </is>
      </c>
      <c r="F307" s="5" t="inlineStr">
        <is>
          <t>Multicargo sequence-delivery formulations</t>
        </is>
      </c>
      <c r="G307" s="5" t="inlineStr">
        <is>
          <t>Safety or cytocompatibility</t>
        </is>
      </c>
      <c r="H307" s="6" t="inlineStr">
        <is>
          <t>1</t>
        </is>
      </c>
      <c r="K307" s="5" t="inlineStr">
        <is>
          <t xml:space="preserve">; </t>
        </is>
      </c>
      <c r="M307" s="5" t="inlineStr">
        <is>
          <t>100.0</t>
        </is>
      </c>
      <c r="N307" s="5" t="inlineStr">
        <is>
          <t>YES</t>
        </is>
      </c>
    </row>
    <row r="308">
      <c r="A308" s="6" t="n">
        <v>256</v>
      </c>
      <c r="B308" s="5" t="inlineStr">
        <is>
          <t>S3</t>
        </is>
      </c>
      <c r="C308" s="5" t="inlineStr">
        <is>
          <t>11: Exosome and extracellular-vesicle release systems</t>
        </is>
      </c>
      <c r="D308" s="5" t="inlineStr">
        <is>
          <t>All‐in‐one: multifunctional hydrogel accelerates oxidative diabetic wound healing through timed‐release of exosome and fibroblast growth factor</t>
        </is>
      </c>
      <c r="E308" s="5" t="inlineStr">
        <is>
          <t>10.1002/smll.202104229</t>
        </is>
      </c>
      <c r="F308" s="5" t="inlineStr">
        <is>
          <t>Exosome/EV release systems</t>
        </is>
      </c>
      <c r="G308" s="5" t="inlineStr">
        <is>
          <t>Material properties</t>
        </is>
      </c>
      <c r="H308" s="6" t="inlineStr">
        <is>
          <t>1</t>
        </is>
      </c>
      <c r="K308" s="5" t="inlineStr">
        <is>
          <t xml:space="preserve">; </t>
        </is>
      </c>
      <c r="M308" s="5" t="inlineStr">
        <is>
          <t>100.0</t>
        </is>
      </c>
      <c r="N308" s="5" t="inlineStr">
        <is>
          <t>YES</t>
        </is>
      </c>
    </row>
    <row r="309">
      <c r="A309" s="6" t="n">
        <v>256</v>
      </c>
      <c r="B309" s="5" t="inlineStr">
        <is>
          <t>S3</t>
        </is>
      </c>
      <c r="C309" s="5" t="inlineStr">
        <is>
          <t>11: Exosome and extracellular-vesicle release systems</t>
        </is>
      </c>
      <c r="D309" s="5" t="inlineStr">
        <is>
          <t>All‐in‐one: multifunctional hydrogel accelerates oxidative diabetic wound healing through timed‐release of exosome and fibroblast growth factor</t>
        </is>
      </c>
      <c r="E309" s="5" t="inlineStr">
        <is>
          <t>10.1002/smll.202104229</t>
        </is>
      </c>
      <c r="F309" s="5" t="inlineStr">
        <is>
          <t>Exosome/EV release systems</t>
        </is>
      </c>
      <c r="G309" s="5" t="inlineStr">
        <is>
          <t>Release or activation kinetics</t>
        </is>
      </c>
      <c r="H309" s="6" t="inlineStr">
        <is>
          <t>1</t>
        </is>
      </c>
      <c r="K309" s="5" t="inlineStr">
        <is>
          <t xml:space="preserve">; </t>
        </is>
      </c>
      <c r="M309" s="5" t="inlineStr">
        <is>
          <t>100.0</t>
        </is>
      </c>
      <c r="N309" s="5" t="inlineStr">
        <is>
          <t>YES</t>
        </is>
      </c>
    </row>
    <row r="310">
      <c r="A310" s="6" t="n">
        <v>256</v>
      </c>
      <c r="B310" s="5" t="inlineStr">
        <is>
          <t>S3</t>
        </is>
      </c>
      <c r="C310" s="5" t="inlineStr">
        <is>
          <t>11: Exosome and extracellular-vesicle release systems</t>
        </is>
      </c>
      <c r="D310" s="5" t="inlineStr">
        <is>
          <t>All‐in‐one: multifunctional hydrogel accelerates oxidative diabetic wound healing through timed‐release of exosome and fibroblast growth factor</t>
        </is>
      </c>
      <c r="E310" s="5" t="inlineStr">
        <is>
          <t>10.1002/smll.202104229</t>
        </is>
      </c>
      <c r="F310" s="5" t="inlineStr">
        <is>
          <t>Exosome/EV release systems</t>
        </is>
      </c>
      <c r="G310" s="5" t="inlineStr">
        <is>
          <t>Antimicrobial or biofilm</t>
        </is>
      </c>
      <c r="H310" s="6" t="inlineStr">
        <is>
          <t>1</t>
        </is>
      </c>
      <c r="K310" s="5" t="inlineStr">
        <is>
          <t xml:space="preserve">; </t>
        </is>
      </c>
      <c r="M310" s="5" t="inlineStr">
        <is>
          <t>100.0</t>
        </is>
      </c>
      <c r="N310" s="5" t="inlineStr">
        <is>
          <t>YES</t>
        </is>
      </c>
    </row>
    <row r="311">
      <c r="A311" s="6" t="n">
        <v>256</v>
      </c>
      <c r="B311" s="5" t="inlineStr">
        <is>
          <t>S3</t>
        </is>
      </c>
      <c r="C311" s="5" t="inlineStr">
        <is>
          <t>11: Exosome and extracellular-vesicle release systems</t>
        </is>
      </c>
      <c r="D311" s="5" t="inlineStr">
        <is>
          <t>All‐in‐one: multifunctional hydrogel accelerates oxidative diabetic wound healing through timed‐release of exosome and fibroblast growth factor</t>
        </is>
      </c>
      <c r="E311" s="5" t="inlineStr">
        <is>
          <t>10.1002/smll.202104229</t>
        </is>
      </c>
      <c r="F311" s="5" t="inlineStr">
        <is>
          <t>Exosome/EV release systems</t>
        </is>
      </c>
      <c r="G311" s="5" t="inlineStr">
        <is>
          <t>ROS, oxidative, or metabolic</t>
        </is>
      </c>
      <c r="H311" s="6" t="inlineStr">
        <is>
          <t>1</t>
        </is>
      </c>
      <c r="K311" s="5" t="inlineStr">
        <is>
          <t xml:space="preserve">; </t>
        </is>
      </c>
      <c r="M311" s="5" t="inlineStr">
        <is>
          <t>100.0</t>
        </is>
      </c>
      <c r="N311" s="5" t="inlineStr">
        <is>
          <t>YES</t>
        </is>
      </c>
    </row>
    <row r="312">
      <c r="A312" s="6" t="n">
        <v>256</v>
      </c>
      <c r="B312" s="5" t="inlineStr">
        <is>
          <t>S3</t>
        </is>
      </c>
      <c r="C312" s="5" t="inlineStr">
        <is>
          <t>11: Exosome and extracellular-vesicle release systems</t>
        </is>
      </c>
      <c r="D312" s="5" t="inlineStr">
        <is>
          <t>All‐in‐one: multifunctional hydrogel accelerates oxidative diabetic wound healing through timed‐release of exosome and fibroblast growth factor</t>
        </is>
      </c>
      <c r="E312" s="5" t="inlineStr">
        <is>
          <t>10.1002/smll.202104229</t>
        </is>
      </c>
      <c r="F312" s="5" t="inlineStr">
        <is>
          <t>Exosome/EV release systems</t>
        </is>
      </c>
      <c r="G312" s="5" t="inlineStr">
        <is>
          <t>Immune, cytokine, or macrophage</t>
        </is>
      </c>
      <c r="H312" s="6" t="inlineStr">
        <is>
          <t>1</t>
        </is>
      </c>
      <c r="K312" s="5" t="inlineStr">
        <is>
          <t xml:space="preserve">; </t>
        </is>
      </c>
      <c r="M312" s="5" t="inlineStr">
        <is>
          <t>100.0</t>
        </is>
      </c>
      <c r="N312" s="5" t="inlineStr">
        <is>
          <t>YES</t>
        </is>
      </c>
    </row>
    <row r="313">
      <c r="A313" s="6" t="n">
        <v>256</v>
      </c>
      <c r="B313" s="5" t="inlineStr">
        <is>
          <t>S3</t>
        </is>
      </c>
      <c r="C313" s="5" t="inlineStr">
        <is>
          <t>11: Exosome and extracellular-vesicle release systems</t>
        </is>
      </c>
      <c r="D313" s="5" t="inlineStr">
        <is>
          <t>All‐in‐one: multifunctional hydrogel accelerates oxidative diabetic wound healing through timed‐release of exosome and fibroblast growth factor</t>
        </is>
      </c>
      <c r="E313" s="5" t="inlineStr">
        <is>
          <t>10.1002/smll.202104229</t>
        </is>
      </c>
      <c r="F313" s="5" t="inlineStr">
        <is>
          <t>Exosome/EV release systems</t>
        </is>
      </c>
      <c r="G313" s="5" t="inlineStr">
        <is>
          <t>Angiogenic or vascular</t>
        </is>
      </c>
      <c r="H313" s="6" t="inlineStr">
        <is>
          <t>1</t>
        </is>
      </c>
      <c r="K313" s="5" t="inlineStr">
        <is>
          <t xml:space="preserve">; </t>
        </is>
      </c>
      <c r="M313" s="5" t="inlineStr">
        <is>
          <t>100.0</t>
        </is>
      </c>
      <c r="N313" s="5" t="inlineStr">
        <is>
          <t>YES</t>
        </is>
      </c>
    </row>
    <row r="314">
      <c r="A314" s="6" t="n">
        <v>256</v>
      </c>
      <c r="B314" s="5" t="inlineStr">
        <is>
          <t>S3</t>
        </is>
      </c>
      <c r="C314" s="5" t="inlineStr">
        <is>
          <t>11: Exosome and extracellular-vesicle release systems</t>
        </is>
      </c>
      <c r="D314" s="5" t="inlineStr">
        <is>
          <t>All‐in‐one: multifunctional hydrogel accelerates oxidative diabetic wound healing through timed‐release of exosome and fibroblast growth factor</t>
        </is>
      </c>
      <c r="E314" s="5" t="inlineStr">
        <is>
          <t>10.1002/smll.202104229</t>
        </is>
      </c>
      <c r="F314" s="5" t="inlineStr">
        <is>
          <t>Exosome/EV release systems</t>
        </is>
      </c>
      <c r="G314" s="5" t="inlineStr">
        <is>
          <t>Histology, collagen, or matrix repair</t>
        </is>
      </c>
      <c r="H314" s="6" t="inlineStr">
        <is>
          <t>1</t>
        </is>
      </c>
      <c r="K314" s="5" t="inlineStr">
        <is>
          <t xml:space="preserve">; </t>
        </is>
      </c>
      <c r="M314" s="5" t="inlineStr">
        <is>
          <t>100.0</t>
        </is>
      </c>
      <c r="N314" s="5" t="inlineStr">
        <is>
          <t>YES</t>
        </is>
      </c>
    </row>
    <row r="315">
      <c r="A315" s="6" t="n">
        <v>256</v>
      </c>
      <c r="B315" s="5" t="inlineStr">
        <is>
          <t>S3</t>
        </is>
      </c>
      <c r="C315" s="5" t="inlineStr">
        <is>
          <t>11: Exosome and extracellular-vesicle release systems</t>
        </is>
      </c>
      <c r="D315" s="5" t="inlineStr">
        <is>
          <t>All‐in‐one: multifunctional hydrogel accelerates oxidative diabetic wound healing through timed‐release of exosome and fibroblast growth factor</t>
        </is>
      </c>
      <c r="E315" s="5" t="inlineStr">
        <is>
          <t>10.1002/smll.202104229</t>
        </is>
      </c>
      <c r="F315" s="5" t="inlineStr">
        <is>
          <t>Exosome/EV release systems</t>
        </is>
      </c>
      <c r="G315" s="5" t="inlineStr">
        <is>
          <t>Wound-area trajectory</t>
        </is>
      </c>
      <c r="H315" s="6" t="inlineStr">
        <is>
          <t>1</t>
        </is>
      </c>
      <c r="K315" s="5" t="inlineStr">
        <is>
          <t xml:space="preserve">; </t>
        </is>
      </c>
      <c r="M315" s="5" t="inlineStr">
        <is>
          <t>100.0</t>
        </is>
      </c>
      <c r="N315" s="5" t="inlineStr">
        <is>
          <t>YES</t>
        </is>
      </c>
    </row>
    <row r="316">
      <c r="A316" s="6" t="n">
        <v>256</v>
      </c>
      <c r="B316" s="5" t="inlineStr">
        <is>
          <t>S3</t>
        </is>
      </c>
      <c r="C316" s="5" t="inlineStr">
        <is>
          <t>11: Exosome and extracellular-vesicle release systems</t>
        </is>
      </c>
      <c r="D316" s="5" t="inlineStr">
        <is>
          <t>All‐in‐one: multifunctional hydrogel accelerates oxidative diabetic wound healing through timed‐release of exosome and fibroblast growth factor</t>
        </is>
      </c>
      <c r="E316" s="5" t="inlineStr">
        <is>
          <t>10.1002/smll.202104229</t>
        </is>
      </c>
      <c r="F316" s="5" t="inlineStr">
        <is>
          <t>Exosome/EV release systems</t>
        </is>
      </c>
      <c r="G316" s="5" t="inlineStr">
        <is>
          <t>Safety or cytocompatibility</t>
        </is>
      </c>
      <c r="H316" s="6" t="inlineStr">
        <is>
          <t>1</t>
        </is>
      </c>
      <c r="K316" s="5" t="inlineStr">
        <is>
          <t xml:space="preserve">; </t>
        </is>
      </c>
      <c r="M316" s="5" t="inlineStr">
        <is>
          <t>100.0</t>
        </is>
      </c>
      <c r="N316" s="5" t="inlineStr">
        <is>
          <t>YES</t>
        </is>
      </c>
    </row>
    <row r="317">
      <c r="A317" s="6" t="n">
        <v>257</v>
      </c>
      <c r="B317" s="5" t="inlineStr">
        <is>
          <t>S3</t>
        </is>
      </c>
      <c r="C317" s="5" t="inlineStr">
        <is>
          <t>11: Exosome and extracellular-vesicle release systems</t>
        </is>
      </c>
      <c r="D317" s="5" t="inlineStr">
        <is>
          <t>Duo-nano exosome encapsulating hydrogel boosts wound healing across xenogenic and allogenic models</t>
        </is>
      </c>
      <c r="E317" s="5" t="inlineStr">
        <is>
          <t>10.1016/j.biomaterials.2025.123975</t>
        </is>
      </c>
      <c r="F317" s="5" t="inlineStr">
        <is>
          <t>Exosome/EV release systems</t>
        </is>
      </c>
      <c r="G317" s="5" t="inlineStr">
        <is>
          <t>Material properties</t>
        </is>
      </c>
      <c r="H317" s="6" t="inlineStr">
        <is>
          <t>1</t>
        </is>
      </c>
      <c r="K317" s="5" t="inlineStr">
        <is>
          <t xml:space="preserve">; </t>
        </is>
      </c>
      <c r="M317" s="5" t="inlineStr">
        <is>
          <t>100.0</t>
        </is>
      </c>
      <c r="N317" s="5" t="inlineStr">
        <is>
          <t>YES</t>
        </is>
      </c>
    </row>
    <row r="318">
      <c r="A318" s="6" t="n">
        <v>257</v>
      </c>
      <c r="B318" s="5" t="inlineStr">
        <is>
          <t>S3</t>
        </is>
      </c>
      <c r="C318" s="5" t="inlineStr">
        <is>
          <t>11: Exosome and extracellular-vesicle release systems</t>
        </is>
      </c>
      <c r="D318" s="5" t="inlineStr">
        <is>
          <t>Duo-nano exosome encapsulating hydrogel boosts wound healing across xenogenic and allogenic models</t>
        </is>
      </c>
      <c r="E318" s="5" t="inlineStr">
        <is>
          <t>10.1016/j.biomaterials.2025.123975</t>
        </is>
      </c>
      <c r="F318" s="5" t="inlineStr">
        <is>
          <t>Exosome/EV release systems</t>
        </is>
      </c>
      <c r="G318" s="5" t="inlineStr">
        <is>
          <t>Release or activation kinetics</t>
        </is>
      </c>
      <c r="H318" s="6" t="inlineStr">
        <is>
          <t>1</t>
        </is>
      </c>
      <c r="K318" s="5" t="inlineStr">
        <is>
          <t xml:space="preserve">; </t>
        </is>
      </c>
      <c r="M318" s="5" t="inlineStr">
        <is>
          <t>100.0</t>
        </is>
      </c>
      <c r="N318" s="5" t="inlineStr">
        <is>
          <t>YES</t>
        </is>
      </c>
    </row>
    <row r="319">
      <c r="A319" s="6" t="n">
        <v>257</v>
      </c>
      <c r="B319" s="5" t="inlineStr">
        <is>
          <t>S3</t>
        </is>
      </c>
      <c r="C319" s="5" t="inlineStr">
        <is>
          <t>11: Exosome and extracellular-vesicle release systems</t>
        </is>
      </c>
      <c r="D319" s="5" t="inlineStr">
        <is>
          <t>Duo-nano exosome encapsulating hydrogel boosts wound healing across xenogenic and allogenic models</t>
        </is>
      </c>
      <c r="E319" s="5" t="inlineStr">
        <is>
          <t>10.1016/j.biomaterials.2025.123975</t>
        </is>
      </c>
      <c r="F319" s="5" t="inlineStr">
        <is>
          <t>Exosome/EV release systems</t>
        </is>
      </c>
      <c r="G319" s="5" t="inlineStr">
        <is>
          <t>Antimicrobial or biofilm</t>
        </is>
      </c>
      <c r="H319" s="6" t="inlineStr">
        <is>
          <t>1</t>
        </is>
      </c>
      <c r="K319" s="5" t="inlineStr">
        <is>
          <t xml:space="preserve">; </t>
        </is>
      </c>
      <c r="M319" s="5" t="inlineStr">
        <is>
          <t>100.0</t>
        </is>
      </c>
      <c r="N319" s="5" t="inlineStr">
        <is>
          <t>YES</t>
        </is>
      </c>
    </row>
    <row r="320">
      <c r="A320" s="6" t="n">
        <v>257</v>
      </c>
      <c r="B320" s="5" t="inlineStr">
        <is>
          <t>S3</t>
        </is>
      </c>
      <c r="C320" s="5" t="inlineStr">
        <is>
          <t>11: Exosome and extracellular-vesicle release systems</t>
        </is>
      </c>
      <c r="D320" s="5" t="inlineStr">
        <is>
          <t>Duo-nano exosome encapsulating hydrogel boosts wound healing across xenogenic and allogenic models</t>
        </is>
      </c>
      <c r="E320" s="5" t="inlineStr">
        <is>
          <t>10.1016/j.biomaterials.2025.123975</t>
        </is>
      </c>
      <c r="F320" s="5" t="inlineStr">
        <is>
          <t>Exosome/EV release systems</t>
        </is>
      </c>
      <c r="G320" s="5" t="inlineStr">
        <is>
          <t>ROS, oxidative, or metabolic</t>
        </is>
      </c>
      <c r="H320" s="6" t="inlineStr">
        <is>
          <t>0</t>
        </is>
      </c>
      <c r="K320" s="5" t="inlineStr">
        <is>
          <t xml:space="preserve">; </t>
        </is>
      </c>
      <c r="M320" s="5" t="inlineStr">
        <is>
          <t>100.0</t>
        </is>
      </c>
      <c r="N320" s="5" t="inlineStr">
        <is>
          <t>YES</t>
        </is>
      </c>
    </row>
    <row r="321">
      <c r="A321" s="6" t="n">
        <v>257</v>
      </c>
      <c r="B321" s="5" t="inlineStr">
        <is>
          <t>S3</t>
        </is>
      </c>
      <c r="C321" s="5" t="inlineStr">
        <is>
          <t>11: Exosome and extracellular-vesicle release systems</t>
        </is>
      </c>
      <c r="D321" s="5" t="inlineStr">
        <is>
          <t>Duo-nano exosome encapsulating hydrogel boosts wound healing across xenogenic and allogenic models</t>
        </is>
      </c>
      <c r="E321" s="5" t="inlineStr">
        <is>
          <t>10.1016/j.biomaterials.2025.123975</t>
        </is>
      </c>
      <c r="F321" s="5" t="inlineStr">
        <is>
          <t>Exosome/EV release systems</t>
        </is>
      </c>
      <c r="G321" s="5" t="inlineStr">
        <is>
          <t>Immune, cytokine, or macrophage</t>
        </is>
      </c>
      <c r="H321" s="6" t="inlineStr">
        <is>
          <t>0</t>
        </is>
      </c>
      <c r="K321" s="5" t="inlineStr">
        <is>
          <t xml:space="preserve">; </t>
        </is>
      </c>
      <c r="M321" s="5" t="inlineStr">
        <is>
          <t>100.0</t>
        </is>
      </c>
      <c r="N321" s="5" t="inlineStr">
        <is>
          <t>YES</t>
        </is>
      </c>
    </row>
    <row r="322">
      <c r="A322" s="6" t="n">
        <v>257</v>
      </c>
      <c r="B322" s="5" t="inlineStr">
        <is>
          <t>S3</t>
        </is>
      </c>
      <c r="C322" s="5" t="inlineStr">
        <is>
          <t>11: Exosome and extracellular-vesicle release systems</t>
        </is>
      </c>
      <c r="D322" s="5" t="inlineStr">
        <is>
          <t>Duo-nano exosome encapsulating hydrogel boosts wound healing across xenogenic and allogenic models</t>
        </is>
      </c>
      <c r="E322" s="5" t="inlineStr">
        <is>
          <t>10.1016/j.biomaterials.2025.123975</t>
        </is>
      </c>
      <c r="F322" s="5" t="inlineStr">
        <is>
          <t>Exosome/EV release systems</t>
        </is>
      </c>
      <c r="G322" s="5" t="inlineStr">
        <is>
          <t>Angiogenic or vascular</t>
        </is>
      </c>
      <c r="H322" s="6" t="inlineStr">
        <is>
          <t>1</t>
        </is>
      </c>
      <c r="K322" s="5" t="inlineStr">
        <is>
          <t xml:space="preserve">; </t>
        </is>
      </c>
      <c r="M322" s="5" t="inlineStr">
        <is>
          <t>100.0</t>
        </is>
      </c>
      <c r="N322" s="5" t="inlineStr">
        <is>
          <t>YES</t>
        </is>
      </c>
    </row>
    <row r="323">
      <c r="A323" s="6" t="n">
        <v>257</v>
      </c>
      <c r="B323" s="5" t="inlineStr">
        <is>
          <t>S3</t>
        </is>
      </c>
      <c r="C323" s="5" t="inlineStr">
        <is>
          <t>11: Exosome and extracellular-vesicle release systems</t>
        </is>
      </c>
      <c r="D323" s="5" t="inlineStr">
        <is>
          <t>Duo-nano exosome encapsulating hydrogel boosts wound healing across xenogenic and allogenic models</t>
        </is>
      </c>
      <c r="E323" s="5" t="inlineStr">
        <is>
          <t>10.1016/j.biomaterials.2025.123975</t>
        </is>
      </c>
      <c r="F323" s="5" t="inlineStr">
        <is>
          <t>Exosome/EV release systems</t>
        </is>
      </c>
      <c r="G323" s="5" t="inlineStr">
        <is>
          <t>Histology, collagen, or matrix repair</t>
        </is>
      </c>
      <c r="H323" s="6" t="inlineStr">
        <is>
          <t>1</t>
        </is>
      </c>
      <c r="K323" s="5" t="inlineStr">
        <is>
          <t xml:space="preserve">; </t>
        </is>
      </c>
      <c r="M323" s="5" t="inlineStr">
        <is>
          <t>100.0</t>
        </is>
      </c>
      <c r="N323" s="5" t="inlineStr">
        <is>
          <t>YES</t>
        </is>
      </c>
    </row>
    <row r="324">
      <c r="A324" s="6" t="n">
        <v>257</v>
      </c>
      <c r="B324" s="5" t="inlineStr">
        <is>
          <t>S3</t>
        </is>
      </c>
      <c r="C324" s="5" t="inlineStr">
        <is>
          <t>11: Exosome and extracellular-vesicle release systems</t>
        </is>
      </c>
      <c r="D324" s="5" t="inlineStr">
        <is>
          <t>Duo-nano exosome encapsulating hydrogel boosts wound healing across xenogenic and allogenic models</t>
        </is>
      </c>
      <c r="E324" s="5" t="inlineStr">
        <is>
          <t>10.1016/j.biomaterials.2025.123975</t>
        </is>
      </c>
      <c r="F324" s="5" t="inlineStr">
        <is>
          <t>Exosome/EV release systems</t>
        </is>
      </c>
      <c r="G324" s="5" t="inlineStr">
        <is>
          <t>Wound-area trajectory</t>
        </is>
      </c>
      <c r="H324" s="6" t="inlineStr">
        <is>
          <t>1</t>
        </is>
      </c>
      <c r="K324" s="5" t="inlineStr">
        <is>
          <t xml:space="preserve">; </t>
        </is>
      </c>
      <c r="M324" s="5" t="inlineStr">
        <is>
          <t>100.0</t>
        </is>
      </c>
      <c r="N324" s="5" t="inlineStr">
        <is>
          <t>YES</t>
        </is>
      </c>
    </row>
    <row r="325">
      <c r="A325" s="6" t="n">
        <v>257</v>
      </c>
      <c r="B325" s="5" t="inlineStr">
        <is>
          <t>S3</t>
        </is>
      </c>
      <c r="C325" s="5" t="inlineStr">
        <is>
          <t>11: Exosome and extracellular-vesicle release systems</t>
        </is>
      </c>
      <c r="D325" s="5" t="inlineStr">
        <is>
          <t>Duo-nano exosome encapsulating hydrogel boosts wound healing across xenogenic and allogenic models</t>
        </is>
      </c>
      <c r="E325" s="5" t="inlineStr">
        <is>
          <t>10.1016/j.biomaterials.2025.123975</t>
        </is>
      </c>
      <c r="F325" s="5" t="inlineStr">
        <is>
          <t>Exosome/EV release systems</t>
        </is>
      </c>
      <c r="G325" s="5" t="inlineStr">
        <is>
          <t>Safety or cytocompatibility</t>
        </is>
      </c>
      <c r="H325" s="6" t="inlineStr">
        <is>
          <t>1</t>
        </is>
      </c>
      <c r="K325" s="5" t="inlineStr">
        <is>
          <t xml:space="preserve">; </t>
        </is>
      </c>
      <c r="M325" s="5" t="inlineStr">
        <is>
          <t>100.0</t>
        </is>
      </c>
      <c r="N325" s="5" t="inlineStr">
        <is>
          <t>YES</t>
        </is>
      </c>
    </row>
    <row r="326">
      <c r="A326" s="6" t="n">
        <v>258</v>
      </c>
      <c r="B326" s="5" t="inlineStr">
        <is>
          <t>S3</t>
        </is>
      </c>
      <c r="C326" s="5" t="inlineStr">
        <is>
          <t>11: Exosome and extracellular-vesicle release systems</t>
        </is>
      </c>
      <c r="D326" s="5" t="inlineStr">
        <is>
          <t>Recombinant human collagen hydrogels with different stem cell-derived exosomes encapsulation for wound treatment</t>
        </is>
      </c>
      <c r="E326" s="5" t="inlineStr">
        <is>
          <t>10.1186/s12951-025-03319-9</t>
        </is>
      </c>
      <c r="F326" s="5" t="inlineStr">
        <is>
          <t>Exosome/EV release systems</t>
        </is>
      </c>
      <c r="G326" s="5" t="inlineStr">
        <is>
          <t>Material properties</t>
        </is>
      </c>
      <c r="H326" s="6" t="inlineStr">
        <is>
          <t>1</t>
        </is>
      </c>
      <c r="K326" s="5" t="inlineStr">
        <is>
          <t xml:space="preserve">; </t>
        </is>
      </c>
      <c r="M326" s="5" t="inlineStr">
        <is>
          <t>100.0</t>
        </is>
      </c>
      <c r="N326" s="5" t="inlineStr">
        <is>
          <t>YES</t>
        </is>
      </c>
    </row>
    <row r="327">
      <c r="A327" s="6" t="n">
        <v>258</v>
      </c>
      <c r="B327" s="5" t="inlineStr">
        <is>
          <t>S3</t>
        </is>
      </c>
      <c r="C327" s="5" t="inlineStr">
        <is>
          <t>11: Exosome and extracellular-vesicle release systems</t>
        </is>
      </c>
      <c r="D327" s="5" t="inlineStr">
        <is>
          <t>Recombinant human collagen hydrogels with different stem cell-derived exosomes encapsulation for wound treatment</t>
        </is>
      </c>
      <c r="E327" s="5" t="inlineStr">
        <is>
          <t>10.1186/s12951-025-03319-9</t>
        </is>
      </c>
      <c r="F327" s="5" t="inlineStr">
        <is>
          <t>Exosome/EV release systems</t>
        </is>
      </c>
      <c r="G327" s="5" t="inlineStr">
        <is>
          <t>Release or activation kinetics</t>
        </is>
      </c>
      <c r="H327" s="6" t="inlineStr">
        <is>
          <t>1</t>
        </is>
      </c>
      <c r="K327" s="5" t="inlineStr">
        <is>
          <t xml:space="preserve">; </t>
        </is>
      </c>
      <c r="M327" s="5" t="inlineStr">
        <is>
          <t>100.0</t>
        </is>
      </c>
      <c r="N327" s="5" t="inlineStr">
        <is>
          <t>YES</t>
        </is>
      </c>
    </row>
    <row r="328">
      <c r="A328" s="6" t="n">
        <v>258</v>
      </c>
      <c r="B328" s="5" t="inlineStr">
        <is>
          <t>S3</t>
        </is>
      </c>
      <c r="C328" s="5" t="inlineStr">
        <is>
          <t>11: Exosome and extracellular-vesicle release systems</t>
        </is>
      </c>
      <c r="D328" s="5" t="inlineStr">
        <is>
          <t>Recombinant human collagen hydrogels with different stem cell-derived exosomes encapsulation for wound treatment</t>
        </is>
      </c>
      <c r="E328" s="5" t="inlineStr">
        <is>
          <t>10.1186/s12951-025-03319-9</t>
        </is>
      </c>
      <c r="F328" s="5" t="inlineStr">
        <is>
          <t>Exosome/EV release systems</t>
        </is>
      </c>
      <c r="G328" s="5" t="inlineStr">
        <is>
          <t>Antimicrobial or biofilm</t>
        </is>
      </c>
      <c r="H328" s="6" t="inlineStr">
        <is>
          <t>0</t>
        </is>
      </c>
      <c r="K328" s="5" t="inlineStr">
        <is>
          <t xml:space="preserve">; </t>
        </is>
      </c>
      <c r="M328" s="5" t="inlineStr">
        <is>
          <t>100.0</t>
        </is>
      </c>
      <c r="N328" s="5" t="inlineStr">
        <is>
          <t>YES</t>
        </is>
      </c>
    </row>
    <row r="329">
      <c r="A329" s="6" t="n">
        <v>258</v>
      </c>
      <c r="B329" s="5" t="inlineStr">
        <is>
          <t>S3</t>
        </is>
      </c>
      <c r="C329" s="5" t="inlineStr">
        <is>
          <t>11: Exosome and extracellular-vesicle release systems</t>
        </is>
      </c>
      <c r="D329" s="5" t="inlineStr">
        <is>
          <t>Recombinant human collagen hydrogels with different stem cell-derived exosomes encapsulation for wound treatment</t>
        </is>
      </c>
      <c r="E329" s="5" t="inlineStr">
        <is>
          <t>10.1186/s12951-025-03319-9</t>
        </is>
      </c>
      <c r="F329" s="5" t="inlineStr">
        <is>
          <t>Exosome/EV release systems</t>
        </is>
      </c>
      <c r="G329" s="5" t="inlineStr">
        <is>
          <t>ROS, oxidative, or metabolic</t>
        </is>
      </c>
      <c r="H329" s="6" t="inlineStr">
        <is>
          <t>0</t>
        </is>
      </c>
      <c r="K329" s="5" t="inlineStr">
        <is>
          <t xml:space="preserve">; </t>
        </is>
      </c>
      <c r="M329" s="5" t="inlineStr">
        <is>
          <t>100.0</t>
        </is>
      </c>
      <c r="N329" s="5" t="inlineStr">
        <is>
          <t>YES</t>
        </is>
      </c>
    </row>
    <row r="330">
      <c r="A330" s="6" t="n">
        <v>258</v>
      </c>
      <c r="B330" s="5" t="inlineStr">
        <is>
          <t>S3</t>
        </is>
      </c>
      <c r="C330" s="5" t="inlineStr">
        <is>
          <t>11: Exosome and extracellular-vesicle release systems</t>
        </is>
      </c>
      <c r="D330" s="5" t="inlineStr">
        <is>
          <t>Recombinant human collagen hydrogels with different stem cell-derived exosomes encapsulation for wound treatment</t>
        </is>
      </c>
      <c r="E330" s="5" t="inlineStr">
        <is>
          <t>10.1186/s12951-025-03319-9</t>
        </is>
      </c>
      <c r="F330" s="5" t="inlineStr">
        <is>
          <t>Exosome/EV release systems</t>
        </is>
      </c>
      <c r="G330" s="5" t="inlineStr">
        <is>
          <t>Immune, cytokine, or macrophage</t>
        </is>
      </c>
      <c r="H330" s="6" t="inlineStr">
        <is>
          <t>1</t>
        </is>
      </c>
      <c r="K330" s="5" t="inlineStr">
        <is>
          <t xml:space="preserve">; </t>
        </is>
      </c>
      <c r="M330" s="5" t="inlineStr">
        <is>
          <t>100.0</t>
        </is>
      </c>
      <c r="N330" s="5" t="inlineStr">
        <is>
          <t>YES</t>
        </is>
      </c>
    </row>
    <row r="331">
      <c r="A331" s="6" t="n">
        <v>258</v>
      </c>
      <c r="B331" s="5" t="inlineStr">
        <is>
          <t>S3</t>
        </is>
      </c>
      <c r="C331" s="5" t="inlineStr">
        <is>
          <t>11: Exosome and extracellular-vesicle release systems</t>
        </is>
      </c>
      <c r="D331" s="5" t="inlineStr">
        <is>
          <t>Recombinant human collagen hydrogels with different stem cell-derived exosomes encapsulation for wound treatment</t>
        </is>
      </c>
      <c r="E331" s="5" t="inlineStr">
        <is>
          <t>10.1186/s12951-025-03319-9</t>
        </is>
      </c>
      <c r="F331" s="5" t="inlineStr">
        <is>
          <t>Exosome/EV release systems</t>
        </is>
      </c>
      <c r="G331" s="5" t="inlineStr">
        <is>
          <t>Angiogenic or vascular</t>
        </is>
      </c>
      <c r="H331" s="6" t="inlineStr">
        <is>
          <t>1</t>
        </is>
      </c>
      <c r="K331" s="5" t="inlineStr">
        <is>
          <t xml:space="preserve">; </t>
        </is>
      </c>
      <c r="M331" s="5" t="inlineStr">
        <is>
          <t>100.0</t>
        </is>
      </c>
      <c r="N331" s="5" t="inlineStr">
        <is>
          <t>YES</t>
        </is>
      </c>
    </row>
    <row r="332">
      <c r="A332" s="6" t="n">
        <v>258</v>
      </c>
      <c r="B332" s="5" t="inlineStr">
        <is>
          <t>S3</t>
        </is>
      </c>
      <c r="C332" s="5" t="inlineStr">
        <is>
          <t>11: Exosome and extracellular-vesicle release systems</t>
        </is>
      </c>
      <c r="D332" s="5" t="inlineStr">
        <is>
          <t>Recombinant human collagen hydrogels with different stem cell-derived exosomes encapsulation for wound treatment</t>
        </is>
      </c>
      <c r="E332" s="5" t="inlineStr">
        <is>
          <t>10.1186/s12951-025-03319-9</t>
        </is>
      </c>
      <c r="F332" s="5" t="inlineStr">
        <is>
          <t>Exosome/EV release systems</t>
        </is>
      </c>
      <c r="G332" s="5" t="inlineStr">
        <is>
          <t>Histology, collagen, or matrix repair</t>
        </is>
      </c>
      <c r="H332" s="6" t="inlineStr">
        <is>
          <t>1</t>
        </is>
      </c>
      <c r="K332" s="5" t="inlineStr">
        <is>
          <t xml:space="preserve">; </t>
        </is>
      </c>
      <c r="M332" s="5" t="inlineStr">
        <is>
          <t>100.0</t>
        </is>
      </c>
      <c r="N332" s="5" t="inlineStr">
        <is>
          <t>YES</t>
        </is>
      </c>
    </row>
    <row r="333">
      <c r="A333" s="6" t="n">
        <v>258</v>
      </c>
      <c r="B333" s="5" t="inlineStr">
        <is>
          <t>S3</t>
        </is>
      </c>
      <c r="C333" s="5" t="inlineStr">
        <is>
          <t>11: Exosome and extracellular-vesicle release systems</t>
        </is>
      </c>
      <c r="D333" s="5" t="inlineStr">
        <is>
          <t>Recombinant human collagen hydrogels with different stem cell-derived exosomes encapsulation for wound treatment</t>
        </is>
      </c>
      <c r="E333" s="5" t="inlineStr">
        <is>
          <t>10.1186/s12951-025-03319-9</t>
        </is>
      </c>
      <c r="F333" s="5" t="inlineStr">
        <is>
          <t>Exosome/EV release systems</t>
        </is>
      </c>
      <c r="G333" s="5" t="inlineStr">
        <is>
          <t>Wound-area trajectory</t>
        </is>
      </c>
      <c r="H333" s="6" t="inlineStr">
        <is>
          <t>1</t>
        </is>
      </c>
      <c r="K333" s="5" t="inlineStr">
        <is>
          <t xml:space="preserve">; </t>
        </is>
      </c>
      <c r="M333" s="5" t="inlineStr">
        <is>
          <t>100.0</t>
        </is>
      </c>
      <c r="N333" s="5" t="inlineStr">
        <is>
          <t>YES</t>
        </is>
      </c>
    </row>
    <row r="334">
      <c r="A334" s="6" t="n">
        <v>258</v>
      </c>
      <c r="B334" s="5" t="inlineStr">
        <is>
          <t>S3</t>
        </is>
      </c>
      <c r="C334" s="5" t="inlineStr">
        <is>
          <t>11: Exosome and extracellular-vesicle release systems</t>
        </is>
      </c>
      <c r="D334" s="5" t="inlineStr">
        <is>
          <t>Recombinant human collagen hydrogels with different stem cell-derived exosomes encapsulation for wound treatment</t>
        </is>
      </c>
      <c r="E334" s="5" t="inlineStr">
        <is>
          <t>10.1186/s12951-025-03319-9</t>
        </is>
      </c>
      <c r="F334" s="5" t="inlineStr">
        <is>
          <t>Exosome/EV release systems</t>
        </is>
      </c>
      <c r="G334" s="5" t="inlineStr">
        <is>
          <t>Safety or cytocompatibility</t>
        </is>
      </c>
      <c r="H334" s="6" t="inlineStr">
        <is>
          <t>1</t>
        </is>
      </c>
      <c r="K334" s="5" t="inlineStr">
        <is>
          <t xml:space="preserve">; </t>
        </is>
      </c>
      <c r="M334" s="5" t="inlineStr">
        <is>
          <t>100.0</t>
        </is>
      </c>
      <c r="N334" s="5" t="inlineStr">
        <is>
          <t>YES</t>
        </is>
      </c>
    </row>
    <row r="335">
      <c r="A335" s="6" t="n">
        <v>259</v>
      </c>
      <c r="B335" s="5" t="inlineStr">
        <is>
          <t>S3</t>
        </is>
      </c>
      <c r="C335" s="5" t="inlineStr">
        <is>
          <t>11: Exosome and extracellular-vesicle release systems</t>
        </is>
      </c>
      <c r="D335" s="5" t="inlineStr">
        <is>
          <t>Sustained exosome‐guided macrophage polarization using hydrolytically degradable PEG hydrogels for cutaneous wound healing: identification of key proteins and MiRNAs, and sustained release formulation</t>
        </is>
      </c>
      <c r="E335" s="5" t="inlineStr">
        <is>
          <t>10.1002/smll.202200060</t>
        </is>
      </c>
      <c r="F335" s="5" t="inlineStr">
        <is>
          <t>Exosome/EV release systems</t>
        </is>
      </c>
      <c r="G335" s="5" t="inlineStr">
        <is>
          <t>Material properties</t>
        </is>
      </c>
      <c r="H335" s="6" t="inlineStr">
        <is>
          <t>1</t>
        </is>
      </c>
      <c r="K335" s="5" t="inlineStr">
        <is>
          <t xml:space="preserve">; </t>
        </is>
      </c>
      <c r="M335" s="5" t="inlineStr">
        <is>
          <t>100.0</t>
        </is>
      </c>
      <c r="N335" s="5" t="inlineStr">
        <is>
          <t>YES</t>
        </is>
      </c>
    </row>
    <row r="336">
      <c r="A336" s="6" t="n">
        <v>259</v>
      </c>
      <c r="B336" s="5" t="inlineStr">
        <is>
          <t>S3</t>
        </is>
      </c>
      <c r="C336" s="5" t="inlineStr">
        <is>
          <t>11: Exosome and extracellular-vesicle release systems</t>
        </is>
      </c>
      <c r="D336" s="5" t="inlineStr">
        <is>
          <t>Sustained exosome‐guided macrophage polarization using hydrolytically degradable PEG hydrogels for cutaneous wound healing: identification of key proteins and MiRNAs, and sustained release formulation</t>
        </is>
      </c>
      <c r="E336" s="5" t="inlineStr">
        <is>
          <t>10.1002/smll.202200060</t>
        </is>
      </c>
      <c r="F336" s="5" t="inlineStr">
        <is>
          <t>Exosome/EV release systems</t>
        </is>
      </c>
      <c r="G336" s="5" t="inlineStr">
        <is>
          <t>Release or activation kinetics</t>
        </is>
      </c>
      <c r="H336" s="6" t="inlineStr">
        <is>
          <t>1</t>
        </is>
      </c>
      <c r="K336" s="5" t="inlineStr">
        <is>
          <t xml:space="preserve">; </t>
        </is>
      </c>
      <c r="M336" s="5" t="inlineStr">
        <is>
          <t>100.0</t>
        </is>
      </c>
      <c r="N336" s="5" t="inlineStr">
        <is>
          <t>YES</t>
        </is>
      </c>
    </row>
    <row r="337">
      <c r="A337" s="6" t="n">
        <v>259</v>
      </c>
      <c r="B337" s="5" t="inlineStr">
        <is>
          <t>S3</t>
        </is>
      </c>
      <c r="C337" s="5" t="inlineStr">
        <is>
          <t>11: Exosome and extracellular-vesicle release systems</t>
        </is>
      </c>
      <c r="D337" s="5" t="inlineStr">
        <is>
          <t>Sustained exosome‐guided macrophage polarization using hydrolytically degradable PEG hydrogels for cutaneous wound healing: identification of key proteins and MiRNAs, and sustained release formulation</t>
        </is>
      </c>
      <c r="E337" s="5" t="inlineStr">
        <is>
          <t>10.1002/smll.202200060</t>
        </is>
      </c>
      <c r="F337" s="5" t="inlineStr">
        <is>
          <t>Exosome/EV release systems</t>
        </is>
      </c>
      <c r="G337" s="5" t="inlineStr">
        <is>
          <t>Antimicrobial or biofilm</t>
        </is>
      </c>
      <c r="H337" s="6" t="inlineStr">
        <is>
          <t>1</t>
        </is>
      </c>
      <c r="K337" s="5" t="inlineStr">
        <is>
          <t xml:space="preserve">; </t>
        </is>
      </c>
      <c r="M337" s="5" t="inlineStr">
        <is>
          <t>100.0</t>
        </is>
      </c>
      <c r="N337" s="5" t="inlineStr">
        <is>
          <t>YES</t>
        </is>
      </c>
    </row>
    <row r="338">
      <c r="A338" s="6" t="n">
        <v>259</v>
      </c>
      <c r="B338" s="5" t="inlineStr">
        <is>
          <t>S3</t>
        </is>
      </c>
      <c r="C338" s="5" t="inlineStr">
        <is>
          <t>11: Exosome and extracellular-vesicle release systems</t>
        </is>
      </c>
      <c r="D338" s="5" t="inlineStr">
        <is>
          <t>Sustained exosome‐guided macrophage polarization using hydrolytically degradable PEG hydrogels for cutaneous wound healing: identification of key proteins and MiRNAs, and sustained release formulation</t>
        </is>
      </c>
      <c r="E338" s="5" t="inlineStr">
        <is>
          <t>10.1002/smll.202200060</t>
        </is>
      </c>
      <c r="F338" s="5" t="inlineStr">
        <is>
          <t>Exosome/EV release systems</t>
        </is>
      </c>
      <c r="G338" s="5" t="inlineStr">
        <is>
          <t>ROS, oxidative, or metabolic</t>
        </is>
      </c>
      <c r="H338" s="6" t="inlineStr">
        <is>
          <t>1</t>
        </is>
      </c>
      <c r="K338" s="5" t="inlineStr">
        <is>
          <t xml:space="preserve">; </t>
        </is>
      </c>
      <c r="M338" s="5" t="inlineStr">
        <is>
          <t>100.0</t>
        </is>
      </c>
      <c r="N338" s="5" t="inlineStr">
        <is>
          <t>YES</t>
        </is>
      </c>
    </row>
    <row r="339">
      <c r="A339" s="6" t="n">
        <v>259</v>
      </c>
      <c r="B339" s="5" t="inlineStr">
        <is>
          <t>S3</t>
        </is>
      </c>
      <c r="C339" s="5" t="inlineStr">
        <is>
          <t>11: Exosome and extracellular-vesicle release systems</t>
        </is>
      </c>
      <c r="D339" s="5" t="inlineStr">
        <is>
          <t>Sustained exosome‐guided macrophage polarization using hydrolytically degradable PEG hydrogels for cutaneous wound healing: identification of key proteins and MiRNAs, and sustained release formulation</t>
        </is>
      </c>
      <c r="E339" s="5" t="inlineStr">
        <is>
          <t>10.1002/smll.202200060</t>
        </is>
      </c>
      <c r="F339" s="5" t="inlineStr">
        <is>
          <t>Exosome/EV release systems</t>
        </is>
      </c>
      <c r="G339" s="5" t="inlineStr">
        <is>
          <t>Immune, cytokine, or macrophage</t>
        </is>
      </c>
      <c r="H339" s="6" t="inlineStr">
        <is>
          <t>1</t>
        </is>
      </c>
      <c r="K339" s="5" t="inlineStr">
        <is>
          <t xml:space="preserve">; </t>
        </is>
      </c>
      <c r="M339" s="5" t="inlineStr">
        <is>
          <t>100.0</t>
        </is>
      </c>
      <c r="N339" s="5" t="inlineStr">
        <is>
          <t>YES</t>
        </is>
      </c>
    </row>
    <row r="340">
      <c r="A340" s="6" t="n">
        <v>259</v>
      </c>
      <c r="B340" s="5" t="inlineStr">
        <is>
          <t>S3</t>
        </is>
      </c>
      <c r="C340" s="5" t="inlineStr">
        <is>
          <t>11: Exosome and extracellular-vesicle release systems</t>
        </is>
      </c>
      <c r="D340" s="5" t="inlineStr">
        <is>
          <t>Sustained exosome‐guided macrophage polarization using hydrolytically degradable PEG hydrogels for cutaneous wound healing: identification of key proteins and MiRNAs, and sustained release formulation</t>
        </is>
      </c>
      <c r="E340" s="5" t="inlineStr">
        <is>
          <t>10.1002/smll.202200060</t>
        </is>
      </c>
      <c r="F340" s="5" t="inlineStr">
        <is>
          <t>Exosome/EV release systems</t>
        </is>
      </c>
      <c r="G340" s="5" t="inlineStr">
        <is>
          <t>Angiogenic or vascular</t>
        </is>
      </c>
      <c r="H340" s="6" t="inlineStr">
        <is>
          <t>0</t>
        </is>
      </c>
      <c r="K340" s="5" t="inlineStr">
        <is>
          <t xml:space="preserve">; </t>
        </is>
      </c>
      <c r="M340" s="5" t="inlineStr">
        <is>
          <t>100.0</t>
        </is>
      </c>
      <c r="N340" s="5" t="inlineStr">
        <is>
          <t>YES</t>
        </is>
      </c>
    </row>
    <row r="341">
      <c r="A341" s="6" t="n">
        <v>259</v>
      </c>
      <c r="B341" s="5" t="inlineStr">
        <is>
          <t>S3</t>
        </is>
      </c>
      <c r="C341" s="5" t="inlineStr">
        <is>
          <t>11: Exosome and extracellular-vesicle release systems</t>
        </is>
      </c>
      <c r="D341" s="5" t="inlineStr">
        <is>
          <t>Sustained exosome‐guided macrophage polarization using hydrolytically degradable PEG hydrogels for cutaneous wound healing: identification of key proteins and MiRNAs, and sustained release formulation</t>
        </is>
      </c>
      <c r="E341" s="5" t="inlineStr">
        <is>
          <t>10.1002/smll.202200060</t>
        </is>
      </c>
      <c r="F341" s="5" t="inlineStr">
        <is>
          <t>Exosome/EV release systems</t>
        </is>
      </c>
      <c r="G341" s="5" t="inlineStr">
        <is>
          <t>Histology, collagen, or matrix repair</t>
        </is>
      </c>
      <c r="H341" s="6" t="inlineStr">
        <is>
          <t>1</t>
        </is>
      </c>
      <c r="K341" s="5" t="inlineStr">
        <is>
          <t xml:space="preserve">; </t>
        </is>
      </c>
      <c r="M341" s="5" t="inlineStr">
        <is>
          <t>100.0</t>
        </is>
      </c>
      <c r="N341" s="5" t="inlineStr">
        <is>
          <t>YES</t>
        </is>
      </c>
    </row>
    <row r="342">
      <c r="A342" s="6" t="n">
        <v>259</v>
      </c>
      <c r="B342" s="5" t="inlineStr">
        <is>
          <t>S3</t>
        </is>
      </c>
      <c r="C342" s="5" t="inlineStr">
        <is>
          <t>11: Exosome and extracellular-vesicle release systems</t>
        </is>
      </c>
      <c r="D342" s="5" t="inlineStr">
        <is>
          <t>Sustained exosome‐guided macrophage polarization using hydrolytically degradable PEG hydrogels for cutaneous wound healing: identification of key proteins and MiRNAs, and sustained release formulation</t>
        </is>
      </c>
      <c r="E342" s="5" t="inlineStr">
        <is>
          <t>10.1002/smll.202200060</t>
        </is>
      </c>
      <c r="F342" s="5" t="inlineStr">
        <is>
          <t>Exosome/EV release systems</t>
        </is>
      </c>
      <c r="G342" s="5" t="inlineStr">
        <is>
          <t>Wound-area trajectory</t>
        </is>
      </c>
      <c r="H342" s="6" t="inlineStr">
        <is>
          <t>1</t>
        </is>
      </c>
      <c r="K342" s="5" t="inlineStr">
        <is>
          <t xml:space="preserve">; </t>
        </is>
      </c>
      <c r="M342" s="5" t="inlineStr">
        <is>
          <t>100.0</t>
        </is>
      </c>
      <c r="N342" s="5" t="inlineStr">
        <is>
          <t>YES</t>
        </is>
      </c>
    </row>
    <row r="343">
      <c r="A343" s="6" t="n">
        <v>259</v>
      </c>
      <c r="B343" s="5" t="inlineStr">
        <is>
          <t>S3</t>
        </is>
      </c>
      <c r="C343" s="5" t="inlineStr">
        <is>
          <t>11: Exosome and extracellular-vesicle release systems</t>
        </is>
      </c>
      <c r="D343" s="5" t="inlineStr">
        <is>
          <t>Sustained exosome‐guided macrophage polarization using hydrolytically degradable PEG hydrogels for cutaneous wound healing: identification of key proteins and MiRNAs, and sustained release formulation</t>
        </is>
      </c>
      <c r="E343" s="5" t="inlineStr">
        <is>
          <t>10.1002/smll.202200060</t>
        </is>
      </c>
      <c r="F343" s="5" t="inlineStr">
        <is>
          <t>Exosome/EV release systems</t>
        </is>
      </c>
      <c r="G343" s="5" t="inlineStr">
        <is>
          <t>Safety or cytocompatibility</t>
        </is>
      </c>
      <c r="H343" s="6" t="inlineStr">
        <is>
          <t>1</t>
        </is>
      </c>
      <c r="K343" s="5" t="inlineStr">
        <is>
          <t xml:space="preserve">; </t>
        </is>
      </c>
      <c r="M343" s="5" t="inlineStr">
        <is>
          <t>100.0</t>
        </is>
      </c>
      <c r="N343" s="5" t="inlineStr">
        <is>
          <t>YES</t>
        </is>
      </c>
    </row>
    <row r="344">
      <c r="A344" s="6" t="n">
        <v>261</v>
      </c>
      <c r="B344" s="5" t="inlineStr">
        <is>
          <t>S3</t>
        </is>
      </c>
      <c r="C344" s="5" t="inlineStr">
        <is>
          <t>12: Multicargo sequence-delivery formulations</t>
        </is>
      </c>
      <c r="D344" s="5" t="inlineStr">
        <is>
          <t>A composite hydrogel with co-delivery of antimicrobial peptides and platelet-rich plasma to enhance healing of infected wounds in diabetes</t>
        </is>
      </c>
      <c r="E344" s="5" t="inlineStr">
        <is>
          <t>10.1016/j.actbio.2021.01.046</t>
        </is>
      </c>
      <c r="F344" s="5" t="inlineStr">
        <is>
          <t>Multicargo sequence-delivery formulations</t>
        </is>
      </c>
      <c r="G344" s="5" t="inlineStr">
        <is>
          <t>Material properties</t>
        </is>
      </c>
      <c r="H344" s="6" t="inlineStr">
        <is>
          <t>1</t>
        </is>
      </c>
      <c r="K344" s="5" t="inlineStr">
        <is>
          <t xml:space="preserve">; </t>
        </is>
      </c>
      <c r="M344" s="5" t="inlineStr">
        <is>
          <t>100.0</t>
        </is>
      </c>
      <c r="N344" s="5" t="inlineStr">
        <is>
          <t>YES</t>
        </is>
      </c>
    </row>
    <row r="345">
      <c r="A345" s="6" t="n">
        <v>261</v>
      </c>
      <c r="B345" s="5" t="inlineStr">
        <is>
          <t>S3</t>
        </is>
      </c>
      <c r="C345" s="5" t="inlineStr">
        <is>
          <t>12: Multicargo sequence-delivery formulations</t>
        </is>
      </c>
      <c r="D345" s="5" t="inlineStr">
        <is>
          <t>A composite hydrogel with co-delivery of antimicrobial peptides and platelet-rich plasma to enhance healing of infected wounds in diabetes</t>
        </is>
      </c>
      <c r="E345" s="5" t="inlineStr">
        <is>
          <t>10.1016/j.actbio.2021.01.046</t>
        </is>
      </c>
      <c r="F345" s="5" t="inlineStr">
        <is>
          <t>Multicargo sequence-delivery formulations</t>
        </is>
      </c>
      <c r="G345" s="5" t="inlineStr">
        <is>
          <t>Release or activation kinetics</t>
        </is>
      </c>
      <c r="H345" s="6" t="inlineStr">
        <is>
          <t>1</t>
        </is>
      </c>
      <c r="K345" s="5" t="inlineStr">
        <is>
          <t xml:space="preserve">; </t>
        </is>
      </c>
      <c r="M345" s="5" t="inlineStr">
        <is>
          <t>100.0</t>
        </is>
      </c>
      <c r="N345" s="5" t="inlineStr">
        <is>
          <t>YES</t>
        </is>
      </c>
    </row>
    <row r="346">
      <c r="A346" s="6" t="n">
        <v>261</v>
      </c>
      <c r="B346" s="5" t="inlineStr">
        <is>
          <t>S3</t>
        </is>
      </c>
      <c r="C346" s="5" t="inlineStr">
        <is>
          <t>12: Multicargo sequence-delivery formulations</t>
        </is>
      </c>
      <c r="D346" s="5" t="inlineStr">
        <is>
          <t>A composite hydrogel with co-delivery of antimicrobial peptides and platelet-rich plasma to enhance healing of infected wounds in diabetes</t>
        </is>
      </c>
      <c r="E346" s="5" t="inlineStr">
        <is>
          <t>10.1016/j.actbio.2021.01.046</t>
        </is>
      </c>
      <c r="F346" s="5" t="inlineStr">
        <is>
          <t>Multicargo sequence-delivery formulations</t>
        </is>
      </c>
      <c r="G346" s="5" t="inlineStr">
        <is>
          <t>Antimicrobial or biofilm</t>
        </is>
      </c>
      <c r="H346" s="6" t="inlineStr">
        <is>
          <t>1</t>
        </is>
      </c>
      <c r="K346" s="5" t="inlineStr">
        <is>
          <t xml:space="preserve">; </t>
        </is>
      </c>
      <c r="M346" s="5" t="inlineStr">
        <is>
          <t>100.0</t>
        </is>
      </c>
      <c r="N346" s="5" t="inlineStr">
        <is>
          <t>YES</t>
        </is>
      </c>
    </row>
    <row r="347">
      <c r="A347" s="6" t="n">
        <v>261</v>
      </c>
      <c r="B347" s="5" t="inlineStr">
        <is>
          <t>S3</t>
        </is>
      </c>
      <c r="C347" s="5" t="inlineStr">
        <is>
          <t>12: Multicargo sequence-delivery formulations</t>
        </is>
      </c>
      <c r="D347" s="5" t="inlineStr">
        <is>
          <t>A composite hydrogel with co-delivery of antimicrobial peptides and platelet-rich plasma to enhance healing of infected wounds in diabetes</t>
        </is>
      </c>
      <c r="E347" s="5" t="inlineStr">
        <is>
          <t>10.1016/j.actbio.2021.01.046</t>
        </is>
      </c>
      <c r="F347" s="5" t="inlineStr">
        <is>
          <t>Multicargo sequence-delivery formulations</t>
        </is>
      </c>
      <c r="G347" s="5" t="inlineStr">
        <is>
          <t>ROS, oxidative, or metabolic</t>
        </is>
      </c>
      <c r="H347" s="6" t="inlineStr">
        <is>
          <t>1</t>
        </is>
      </c>
      <c r="K347" s="5" t="inlineStr">
        <is>
          <t xml:space="preserve">; </t>
        </is>
      </c>
      <c r="M347" s="5" t="inlineStr">
        <is>
          <t>100.0</t>
        </is>
      </c>
      <c r="N347" s="5" t="inlineStr">
        <is>
          <t>YES</t>
        </is>
      </c>
    </row>
    <row r="348">
      <c r="A348" s="6" t="n">
        <v>261</v>
      </c>
      <c r="B348" s="5" t="inlineStr">
        <is>
          <t>S3</t>
        </is>
      </c>
      <c r="C348" s="5" t="inlineStr">
        <is>
          <t>12: Multicargo sequence-delivery formulations</t>
        </is>
      </c>
      <c r="D348" s="5" t="inlineStr">
        <is>
          <t>A composite hydrogel with co-delivery of antimicrobial peptides and platelet-rich plasma to enhance healing of infected wounds in diabetes</t>
        </is>
      </c>
      <c r="E348" s="5" t="inlineStr">
        <is>
          <t>10.1016/j.actbio.2021.01.046</t>
        </is>
      </c>
      <c r="F348" s="5" t="inlineStr">
        <is>
          <t>Multicargo sequence-delivery formulations</t>
        </is>
      </c>
      <c r="G348" s="5" t="inlineStr">
        <is>
          <t>Immune, cytokine, or macrophage</t>
        </is>
      </c>
      <c r="H348" s="6" t="inlineStr">
        <is>
          <t>1</t>
        </is>
      </c>
      <c r="K348" s="5" t="inlineStr">
        <is>
          <t xml:space="preserve">; </t>
        </is>
      </c>
      <c r="M348" s="5" t="inlineStr">
        <is>
          <t>100.0</t>
        </is>
      </c>
      <c r="N348" s="5" t="inlineStr">
        <is>
          <t>YES</t>
        </is>
      </c>
    </row>
    <row r="349">
      <c r="A349" s="6" t="n">
        <v>261</v>
      </c>
      <c r="B349" s="5" t="inlineStr">
        <is>
          <t>S3</t>
        </is>
      </c>
      <c r="C349" s="5" t="inlineStr">
        <is>
          <t>12: Multicargo sequence-delivery formulations</t>
        </is>
      </c>
      <c r="D349" s="5" t="inlineStr">
        <is>
          <t>A composite hydrogel with co-delivery of antimicrobial peptides and platelet-rich plasma to enhance healing of infected wounds in diabetes</t>
        </is>
      </c>
      <c r="E349" s="5" t="inlineStr">
        <is>
          <t>10.1016/j.actbio.2021.01.046</t>
        </is>
      </c>
      <c r="F349" s="5" t="inlineStr">
        <is>
          <t>Multicargo sequence-delivery formulations</t>
        </is>
      </c>
      <c r="G349" s="5" t="inlineStr">
        <is>
          <t>Angiogenic or vascular</t>
        </is>
      </c>
      <c r="H349" s="6" t="inlineStr">
        <is>
          <t>1</t>
        </is>
      </c>
      <c r="K349" s="5" t="inlineStr">
        <is>
          <t xml:space="preserve">; </t>
        </is>
      </c>
      <c r="M349" s="5" t="inlineStr">
        <is>
          <t>100.0</t>
        </is>
      </c>
      <c r="N349" s="5" t="inlineStr">
        <is>
          <t>YES</t>
        </is>
      </c>
    </row>
    <row r="350">
      <c r="A350" s="6" t="n">
        <v>261</v>
      </c>
      <c r="B350" s="5" t="inlineStr">
        <is>
          <t>S3</t>
        </is>
      </c>
      <c r="C350" s="5" t="inlineStr">
        <is>
          <t>12: Multicargo sequence-delivery formulations</t>
        </is>
      </c>
      <c r="D350" s="5" t="inlineStr">
        <is>
          <t>A composite hydrogel with co-delivery of antimicrobial peptides and platelet-rich plasma to enhance healing of infected wounds in diabetes</t>
        </is>
      </c>
      <c r="E350" s="5" t="inlineStr">
        <is>
          <t>10.1016/j.actbio.2021.01.046</t>
        </is>
      </c>
      <c r="F350" s="5" t="inlineStr">
        <is>
          <t>Multicargo sequence-delivery formulations</t>
        </is>
      </c>
      <c r="G350" s="5" t="inlineStr">
        <is>
          <t>Histology, collagen, or matrix repair</t>
        </is>
      </c>
      <c r="H350" s="6" t="inlineStr">
        <is>
          <t>1</t>
        </is>
      </c>
      <c r="K350" s="5" t="inlineStr">
        <is>
          <t xml:space="preserve">; </t>
        </is>
      </c>
      <c r="M350" s="5" t="inlineStr">
        <is>
          <t>100.0</t>
        </is>
      </c>
      <c r="N350" s="5" t="inlineStr">
        <is>
          <t>YES</t>
        </is>
      </c>
    </row>
    <row r="351">
      <c r="A351" s="6" t="n">
        <v>261</v>
      </c>
      <c r="B351" s="5" t="inlineStr">
        <is>
          <t>S3</t>
        </is>
      </c>
      <c r="C351" s="5" t="inlineStr">
        <is>
          <t>12: Multicargo sequence-delivery formulations</t>
        </is>
      </c>
      <c r="D351" s="5" t="inlineStr">
        <is>
          <t>A composite hydrogel with co-delivery of antimicrobial peptides and platelet-rich plasma to enhance healing of infected wounds in diabetes</t>
        </is>
      </c>
      <c r="E351" s="5" t="inlineStr">
        <is>
          <t>10.1016/j.actbio.2021.01.046</t>
        </is>
      </c>
      <c r="F351" s="5" t="inlineStr">
        <is>
          <t>Multicargo sequence-delivery formulations</t>
        </is>
      </c>
      <c r="G351" s="5" t="inlineStr">
        <is>
          <t>Wound-area trajectory</t>
        </is>
      </c>
      <c r="H351" s="6" t="inlineStr">
        <is>
          <t>1</t>
        </is>
      </c>
      <c r="K351" s="5" t="inlineStr">
        <is>
          <t xml:space="preserve">; </t>
        </is>
      </c>
      <c r="M351" s="5" t="inlineStr">
        <is>
          <t>100.0</t>
        </is>
      </c>
      <c r="N351" s="5" t="inlineStr">
        <is>
          <t>YES</t>
        </is>
      </c>
    </row>
    <row r="352">
      <c r="A352" s="6" t="n">
        <v>261</v>
      </c>
      <c r="B352" s="5" t="inlineStr">
        <is>
          <t>S3</t>
        </is>
      </c>
      <c r="C352" s="5" t="inlineStr">
        <is>
          <t>12: Multicargo sequence-delivery formulations</t>
        </is>
      </c>
      <c r="D352" s="5" t="inlineStr">
        <is>
          <t>A composite hydrogel with co-delivery of antimicrobial peptides and platelet-rich plasma to enhance healing of infected wounds in diabetes</t>
        </is>
      </c>
      <c r="E352" s="5" t="inlineStr">
        <is>
          <t>10.1016/j.actbio.2021.01.046</t>
        </is>
      </c>
      <c r="F352" s="5" t="inlineStr">
        <is>
          <t>Multicargo sequence-delivery formulations</t>
        </is>
      </c>
      <c r="G352" s="5" t="inlineStr">
        <is>
          <t>Safety or cytocompatibility</t>
        </is>
      </c>
      <c r="H352" s="6" t="inlineStr">
        <is>
          <t>1</t>
        </is>
      </c>
      <c r="K352" s="5" t="inlineStr">
        <is>
          <t xml:space="preserve">; </t>
        </is>
      </c>
      <c r="M352" s="5" t="inlineStr">
        <is>
          <t>100.0</t>
        </is>
      </c>
      <c r="N352" s="5" t="inlineStr">
        <is>
          <t>YES</t>
        </is>
      </c>
    </row>
    <row r="353">
      <c r="A353" s="6" t="n">
        <v>262</v>
      </c>
      <c r="B353" s="5" t="inlineStr">
        <is>
          <t>S3</t>
        </is>
      </c>
      <c r="C353" s="5" t="inlineStr">
        <is>
          <t>4: Enzyme-activated infection and remodeling depots</t>
        </is>
      </c>
      <c r="D353" s="5" t="inlineStr">
        <is>
          <t>Facile and efficient encapsulation of antimicrobial peptides via crosslinked DNA nanostructures and their application in wound therapy</t>
        </is>
      </c>
      <c r="E353" s="5" t="inlineStr">
        <is>
          <t>10.1016/j.jconrel.2019.10.013</t>
        </is>
      </c>
      <c r="F353" s="5" t="inlineStr">
        <is>
          <t>Enzyme-activated infection/remodeling depots</t>
        </is>
      </c>
      <c r="G353" s="5" t="inlineStr">
        <is>
          <t>Material properties</t>
        </is>
      </c>
      <c r="H353" s="6" t="inlineStr">
        <is>
          <t>1</t>
        </is>
      </c>
      <c r="K353" s="5" t="inlineStr">
        <is>
          <t xml:space="preserve">; </t>
        </is>
      </c>
      <c r="M353" s="5" t="inlineStr">
        <is>
          <t>100.0</t>
        </is>
      </c>
      <c r="N353" s="5" t="inlineStr">
        <is>
          <t>YES</t>
        </is>
      </c>
    </row>
    <row r="354">
      <c r="A354" s="6" t="n">
        <v>262</v>
      </c>
      <c r="B354" s="5" t="inlineStr">
        <is>
          <t>S3</t>
        </is>
      </c>
      <c r="C354" s="5" t="inlineStr">
        <is>
          <t>4: Enzyme-activated infection and remodeling depots</t>
        </is>
      </c>
      <c r="D354" s="5" t="inlineStr">
        <is>
          <t>Facile and efficient encapsulation of antimicrobial peptides via crosslinked DNA nanostructures and their application in wound therapy</t>
        </is>
      </c>
      <c r="E354" s="5" t="inlineStr">
        <is>
          <t>10.1016/j.jconrel.2019.10.013</t>
        </is>
      </c>
      <c r="F354" s="5" t="inlineStr">
        <is>
          <t>Enzyme-activated infection/remodeling depots</t>
        </is>
      </c>
      <c r="G354" s="5" t="inlineStr">
        <is>
          <t>Release or activation kinetics</t>
        </is>
      </c>
      <c r="H354" s="6" t="inlineStr">
        <is>
          <t>1</t>
        </is>
      </c>
      <c r="K354" s="5" t="inlineStr">
        <is>
          <t xml:space="preserve">; </t>
        </is>
      </c>
      <c r="M354" s="5" t="inlineStr">
        <is>
          <t>100.0</t>
        </is>
      </c>
      <c r="N354" s="5" t="inlineStr">
        <is>
          <t>YES</t>
        </is>
      </c>
    </row>
    <row r="355">
      <c r="A355" s="6" t="n">
        <v>262</v>
      </c>
      <c r="B355" s="5" t="inlineStr">
        <is>
          <t>S3</t>
        </is>
      </c>
      <c r="C355" s="5" t="inlineStr">
        <is>
          <t>4: Enzyme-activated infection and remodeling depots</t>
        </is>
      </c>
      <c r="D355" s="5" t="inlineStr">
        <is>
          <t>Facile and efficient encapsulation of antimicrobial peptides via crosslinked DNA nanostructures and their application in wound therapy</t>
        </is>
      </c>
      <c r="E355" s="5" t="inlineStr">
        <is>
          <t>10.1016/j.jconrel.2019.10.013</t>
        </is>
      </c>
      <c r="F355" s="5" t="inlineStr">
        <is>
          <t>Enzyme-activated infection/remodeling depots</t>
        </is>
      </c>
      <c r="G355" s="5" t="inlineStr">
        <is>
          <t>Antimicrobial or biofilm</t>
        </is>
      </c>
      <c r="H355" s="6" t="inlineStr">
        <is>
          <t>1</t>
        </is>
      </c>
      <c r="K355" s="5" t="inlineStr">
        <is>
          <t xml:space="preserve">; </t>
        </is>
      </c>
      <c r="M355" s="5" t="inlineStr">
        <is>
          <t>100.0</t>
        </is>
      </c>
      <c r="N355" s="5" t="inlineStr">
        <is>
          <t>YES</t>
        </is>
      </c>
    </row>
    <row r="356">
      <c r="A356" s="6" t="n">
        <v>262</v>
      </c>
      <c r="B356" s="5" t="inlineStr">
        <is>
          <t>S3</t>
        </is>
      </c>
      <c r="C356" s="5" t="inlineStr">
        <is>
          <t>4: Enzyme-activated infection and remodeling depots</t>
        </is>
      </c>
      <c r="D356" s="5" t="inlineStr">
        <is>
          <t>Facile and efficient encapsulation of antimicrobial peptides via crosslinked DNA nanostructures and their application in wound therapy</t>
        </is>
      </c>
      <c r="E356" s="5" t="inlineStr">
        <is>
          <t>10.1016/j.jconrel.2019.10.013</t>
        </is>
      </c>
      <c r="F356" s="5" t="inlineStr">
        <is>
          <t>Enzyme-activated infection/remodeling depots</t>
        </is>
      </c>
      <c r="G356" s="5" t="inlineStr">
        <is>
          <t>ROS, oxidative, or metabolic</t>
        </is>
      </c>
      <c r="H356" s="6" t="inlineStr">
        <is>
          <t>1</t>
        </is>
      </c>
      <c r="K356" s="5" t="inlineStr">
        <is>
          <t xml:space="preserve">; </t>
        </is>
      </c>
      <c r="M356" s="5" t="inlineStr">
        <is>
          <t>100.0</t>
        </is>
      </c>
      <c r="N356" s="5" t="inlineStr">
        <is>
          <t>YES</t>
        </is>
      </c>
    </row>
    <row r="357">
      <c r="A357" s="6" t="n">
        <v>262</v>
      </c>
      <c r="B357" s="5" t="inlineStr">
        <is>
          <t>S3</t>
        </is>
      </c>
      <c r="C357" s="5" t="inlineStr">
        <is>
          <t>4: Enzyme-activated infection and remodeling depots</t>
        </is>
      </c>
      <c r="D357" s="5" t="inlineStr">
        <is>
          <t>Facile and efficient encapsulation of antimicrobial peptides via crosslinked DNA nanostructures and their application in wound therapy</t>
        </is>
      </c>
      <c r="E357" s="5" t="inlineStr">
        <is>
          <t>10.1016/j.jconrel.2019.10.013</t>
        </is>
      </c>
      <c r="F357" s="5" t="inlineStr">
        <is>
          <t>Enzyme-activated infection/remodeling depots</t>
        </is>
      </c>
      <c r="G357" s="5" t="inlineStr">
        <is>
          <t>Immune, cytokine, or macrophage</t>
        </is>
      </c>
      <c r="H357" s="6" t="inlineStr">
        <is>
          <t>1</t>
        </is>
      </c>
      <c r="K357" s="5" t="inlineStr">
        <is>
          <t xml:space="preserve">; </t>
        </is>
      </c>
      <c r="M357" s="5" t="inlineStr">
        <is>
          <t>100.0</t>
        </is>
      </c>
      <c r="N357" s="5" t="inlineStr">
        <is>
          <t>YES</t>
        </is>
      </c>
    </row>
    <row r="358">
      <c r="A358" s="6" t="n">
        <v>262</v>
      </c>
      <c r="B358" s="5" t="inlineStr">
        <is>
          <t>S3</t>
        </is>
      </c>
      <c r="C358" s="5" t="inlineStr">
        <is>
          <t>4: Enzyme-activated infection and remodeling depots</t>
        </is>
      </c>
      <c r="D358" s="5" t="inlineStr">
        <is>
          <t>Facile and efficient encapsulation of antimicrobial peptides via crosslinked DNA nanostructures and their application in wound therapy</t>
        </is>
      </c>
      <c r="E358" s="5" t="inlineStr">
        <is>
          <t>10.1016/j.jconrel.2019.10.013</t>
        </is>
      </c>
      <c r="F358" s="5" t="inlineStr">
        <is>
          <t>Enzyme-activated infection/remodeling depots</t>
        </is>
      </c>
      <c r="G358" s="5" t="inlineStr">
        <is>
          <t>Angiogenic or vascular</t>
        </is>
      </c>
      <c r="H358" s="6" t="inlineStr">
        <is>
          <t>0</t>
        </is>
      </c>
      <c r="K358" s="5" t="inlineStr">
        <is>
          <t xml:space="preserve">; </t>
        </is>
      </c>
      <c r="M358" s="5" t="inlineStr">
        <is>
          <t>100.0</t>
        </is>
      </c>
      <c r="N358" s="5" t="inlineStr">
        <is>
          <t>YES</t>
        </is>
      </c>
    </row>
    <row r="359">
      <c r="A359" s="6" t="n">
        <v>262</v>
      </c>
      <c r="B359" s="5" t="inlineStr">
        <is>
          <t>S3</t>
        </is>
      </c>
      <c r="C359" s="5" t="inlineStr">
        <is>
          <t>4: Enzyme-activated infection and remodeling depots</t>
        </is>
      </c>
      <c r="D359" s="5" t="inlineStr">
        <is>
          <t>Facile and efficient encapsulation of antimicrobial peptides via crosslinked DNA nanostructures and their application in wound therapy</t>
        </is>
      </c>
      <c r="E359" s="5" t="inlineStr">
        <is>
          <t>10.1016/j.jconrel.2019.10.013</t>
        </is>
      </c>
      <c r="F359" s="5" t="inlineStr">
        <is>
          <t>Enzyme-activated infection/remodeling depots</t>
        </is>
      </c>
      <c r="G359" s="5" t="inlineStr">
        <is>
          <t>Histology, collagen, or matrix repair</t>
        </is>
      </c>
      <c r="H359" s="6" t="inlineStr">
        <is>
          <t>1</t>
        </is>
      </c>
      <c r="K359" s="5" t="inlineStr">
        <is>
          <t xml:space="preserve">; </t>
        </is>
      </c>
      <c r="M359" s="5" t="inlineStr">
        <is>
          <t>100.0</t>
        </is>
      </c>
      <c r="N359" s="5" t="inlineStr">
        <is>
          <t>YES</t>
        </is>
      </c>
    </row>
    <row r="360">
      <c r="A360" s="6" t="n">
        <v>262</v>
      </c>
      <c r="B360" s="5" t="inlineStr">
        <is>
          <t>S3</t>
        </is>
      </c>
      <c r="C360" s="5" t="inlineStr">
        <is>
          <t>4: Enzyme-activated infection and remodeling depots</t>
        </is>
      </c>
      <c r="D360" s="5" t="inlineStr">
        <is>
          <t>Facile and efficient encapsulation of antimicrobial peptides via crosslinked DNA nanostructures and their application in wound therapy</t>
        </is>
      </c>
      <c r="E360" s="5" t="inlineStr">
        <is>
          <t>10.1016/j.jconrel.2019.10.013</t>
        </is>
      </c>
      <c r="F360" s="5" t="inlineStr">
        <is>
          <t>Enzyme-activated infection/remodeling depots</t>
        </is>
      </c>
      <c r="G360" s="5" t="inlineStr">
        <is>
          <t>Wound-area trajectory</t>
        </is>
      </c>
      <c r="H360" s="6" t="inlineStr">
        <is>
          <t>1</t>
        </is>
      </c>
      <c r="K360" s="5" t="inlineStr">
        <is>
          <t xml:space="preserve">; </t>
        </is>
      </c>
      <c r="M360" s="5" t="inlineStr">
        <is>
          <t>100.0</t>
        </is>
      </c>
      <c r="N360" s="5" t="inlineStr">
        <is>
          <t>YES</t>
        </is>
      </c>
    </row>
    <row r="361">
      <c r="A361" s="6" t="n">
        <v>262</v>
      </c>
      <c r="B361" s="5" t="inlineStr">
        <is>
          <t>S3</t>
        </is>
      </c>
      <c r="C361" s="5" t="inlineStr">
        <is>
          <t>4: Enzyme-activated infection and remodeling depots</t>
        </is>
      </c>
      <c r="D361" s="5" t="inlineStr">
        <is>
          <t>Facile and efficient encapsulation of antimicrobial peptides via crosslinked DNA nanostructures and their application in wound therapy</t>
        </is>
      </c>
      <c r="E361" s="5" t="inlineStr">
        <is>
          <t>10.1016/j.jconrel.2019.10.013</t>
        </is>
      </c>
      <c r="F361" s="5" t="inlineStr">
        <is>
          <t>Enzyme-activated infection/remodeling depots</t>
        </is>
      </c>
      <c r="G361" s="5" t="inlineStr">
        <is>
          <t>Safety or cytocompatibility</t>
        </is>
      </c>
      <c r="H361" s="6" t="inlineStr">
        <is>
          <t>1</t>
        </is>
      </c>
      <c r="K361" s="5" t="inlineStr">
        <is>
          <t xml:space="preserve">; </t>
        </is>
      </c>
      <c r="M361" s="5" t="inlineStr">
        <is>
          <t>100.0</t>
        </is>
      </c>
      <c r="N361" s="5" t="inlineStr">
        <is>
          <t>YES</t>
        </is>
      </c>
    </row>
    <row r="362">
      <c r="A362" s="6" t="n">
        <v>234</v>
      </c>
      <c r="B362" s="5" t="inlineStr">
        <is>
          <t>S3</t>
        </is>
      </c>
      <c r="C362" s="5" t="inlineStr">
        <is>
          <t>8: Antimicrobial and antibiofilm hydrogel depots</t>
        </is>
      </c>
      <c r="D362" s="5" t="inlineStr">
        <is>
          <t>In Vitro and In Vivo Comparison of a Novel Antimicrobial Wound Hydrogel With Commercial Wound Treatments: Antimicrobial, Antibiofilm and Biocompatibility Assessment</t>
        </is>
      </c>
      <c r="E362" s="5" t="inlineStr">
        <is>
          <t>10.1111/iwj.70904</t>
        </is>
      </c>
      <c r="F362" s="5" t="inlineStr">
        <is>
          <t>Antimicrobial/antibiofilm depots</t>
        </is>
      </c>
      <c r="G362" s="5" t="inlineStr">
        <is>
          <t>Material properties</t>
        </is>
      </c>
      <c r="H362" s="6" t="inlineStr">
        <is>
          <t>0</t>
        </is>
      </c>
      <c r="K362" s="5" t="inlineStr">
        <is>
          <t xml:space="preserve">; </t>
        </is>
      </c>
      <c r="M362" s="5" t="inlineStr">
        <is>
          <t>100.0</t>
        </is>
      </c>
      <c r="N362" s="5" t="inlineStr">
        <is>
          <t>YES</t>
        </is>
      </c>
    </row>
    <row r="363">
      <c r="A363" s="6" t="n">
        <v>234</v>
      </c>
      <c r="B363" s="5" t="inlineStr">
        <is>
          <t>S3</t>
        </is>
      </c>
      <c r="C363" s="5" t="inlineStr">
        <is>
          <t>8: Antimicrobial and antibiofilm hydrogel depots</t>
        </is>
      </c>
      <c r="D363" s="5" t="inlineStr">
        <is>
          <t>In Vitro and In Vivo Comparison of a Novel Antimicrobial Wound Hydrogel With Commercial Wound Treatments: Antimicrobial, Antibiofilm and Biocompatibility Assessment</t>
        </is>
      </c>
      <c r="E363" s="5" t="inlineStr">
        <is>
          <t>10.1111/iwj.70904</t>
        </is>
      </c>
      <c r="F363" s="5" t="inlineStr">
        <is>
          <t>Antimicrobial/antibiofilm depots</t>
        </is>
      </c>
      <c r="G363" s="5" t="inlineStr">
        <is>
          <t>Release or activation kinetics</t>
        </is>
      </c>
      <c r="H363" s="6" t="inlineStr">
        <is>
          <t>0</t>
        </is>
      </c>
      <c r="K363" s="5" t="inlineStr">
        <is>
          <t xml:space="preserve">; </t>
        </is>
      </c>
      <c r="M363" s="5" t="inlineStr">
        <is>
          <t>100.0</t>
        </is>
      </c>
      <c r="N363" s="5" t="inlineStr">
        <is>
          <t>YES</t>
        </is>
      </c>
    </row>
    <row r="364">
      <c r="A364" s="6" t="n">
        <v>234</v>
      </c>
      <c r="B364" s="5" t="inlineStr">
        <is>
          <t>S3</t>
        </is>
      </c>
      <c r="C364" s="5" t="inlineStr">
        <is>
          <t>8: Antimicrobial and antibiofilm hydrogel depots</t>
        </is>
      </c>
      <c r="D364" s="5" t="inlineStr">
        <is>
          <t>In Vitro and In Vivo Comparison of a Novel Antimicrobial Wound Hydrogel With Commercial Wound Treatments: Antimicrobial, Antibiofilm and Biocompatibility Assessment</t>
        </is>
      </c>
      <c r="E364" s="5" t="inlineStr">
        <is>
          <t>10.1111/iwj.70904</t>
        </is>
      </c>
      <c r="F364" s="5" t="inlineStr">
        <is>
          <t>Antimicrobial/antibiofilm depots</t>
        </is>
      </c>
      <c r="G364" s="5" t="inlineStr">
        <is>
          <t>Antimicrobial or biofilm</t>
        </is>
      </c>
      <c r="H364" s="6" t="inlineStr">
        <is>
          <t>1</t>
        </is>
      </c>
      <c r="K364" s="5" t="inlineStr">
        <is>
          <t xml:space="preserve">; </t>
        </is>
      </c>
      <c r="M364" s="5" t="inlineStr">
        <is>
          <t>100.0</t>
        </is>
      </c>
      <c r="N364" s="5" t="inlineStr">
        <is>
          <t>YES</t>
        </is>
      </c>
    </row>
    <row r="365">
      <c r="A365" s="6" t="n">
        <v>234</v>
      </c>
      <c r="B365" s="5" t="inlineStr">
        <is>
          <t>S3</t>
        </is>
      </c>
      <c r="C365" s="5" t="inlineStr">
        <is>
          <t>8: Antimicrobial and antibiofilm hydrogel depots</t>
        </is>
      </c>
      <c r="D365" s="5" t="inlineStr">
        <is>
          <t>In Vitro and In Vivo Comparison of a Novel Antimicrobial Wound Hydrogel With Commercial Wound Treatments: Antimicrobial, Antibiofilm and Biocompatibility Assessment</t>
        </is>
      </c>
      <c r="E365" s="5" t="inlineStr">
        <is>
          <t>10.1111/iwj.70904</t>
        </is>
      </c>
      <c r="F365" s="5" t="inlineStr">
        <is>
          <t>Antimicrobial/antibiofilm depots</t>
        </is>
      </c>
      <c r="G365" s="5" t="inlineStr">
        <is>
          <t>ROS, oxidative, or metabolic</t>
        </is>
      </c>
      <c r="H365" s="6" t="inlineStr">
        <is>
          <t>0</t>
        </is>
      </c>
      <c r="K365" s="5" t="inlineStr">
        <is>
          <t xml:space="preserve">; </t>
        </is>
      </c>
      <c r="M365" s="5" t="inlineStr">
        <is>
          <t>100.0</t>
        </is>
      </c>
      <c r="N365" s="5" t="inlineStr">
        <is>
          <t>YES</t>
        </is>
      </c>
    </row>
    <row r="366">
      <c r="A366" s="6" t="n">
        <v>234</v>
      </c>
      <c r="B366" s="5" t="inlineStr">
        <is>
          <t>S3</t>
        </is>
      </c>
      <c r="C366" s="5" t="inlineStr">
        <is>
          <t>8: Antimicrobial and antibiofilm hydrogel depots</t>
        </is>
      </c>
      <c r="D366" s="5" t="inlineStr">
        <is>
          <t>In Vitro and In Vivo Comparison of a Novel Antimicrobial Wound Hydrogel With Commercial Wound Treatments: Antimicrobial, Antibiofilm and Biocompatibility Assessment</t>
        </is>
      </c>
      <c r="E366" s="5" t="inlineStr">
        <is>
          <t>10.1111/iwj.70904</t>
        </is>
      </c>
      <c r="F366" s="5" t="inlineStr">
        <is>
          <t>Antimicrobial/antibiofilm depots</t>
        </is>
      </c>
      <c r="G366" s="5" t="inlineStr">
        <is>
          <t>Immune, cytokine, or macrophage</t>
        </is>
      </c>
      <c r="H366" s="6" t="inlineStr">
        <is>
          <t>1</t>
        </is>
      </c>
      <c r="K366" s="5" t="inlineStr">
        <is>
          <t xml:space="preserve">; </t>
        </is>
      </c>
      <c r="M366" s="5" t="inlineStr">
        <is>
          <t>100.0</t>
        </is>
      </c>
      <c r="N366" s="5" t="inlineStr">
        <is>
          <t>YES</t>
        </is>
      </c>
    </row>
    <row r="367">
      <c r="A367" s="6" t="n">
        <v>234</v>
      </c>
      <c r="B367" s="5" t="inlineStr">
        <is>
          <t>S3</t>
        </is>
      </c>
      <c r="C367" s="5" t="inlineStr">
        <is>
          <t>8: Antimicrobial and antibiofilm hydrogel depots</t>
        </is>
      </c>
      <c r="D367" s="5" t="inlineStr">
        <is>
          <t>In Vitro and In Vivo Comparison of a Novel Antimicrobial Wound Hydrogel With Commercial Wound Treatments: Antimicrobial, Antibiofilm and Biocompatibility Assessment</t>
        </is>
      </c>
      <c r="E367" s="5" t="inlineStr">
        <is>
          <t>10.1111/iwj.70904</t>
        </is>
      </c>
      <c r="F367" s="5" t="inlineStr">
        <is>
          <t>Antimicrobial/antibiofilm depots</t>
        </is>
      </c>
      <c r="G367" s="5" t="inlineStr">
        <is>
          <t>Angiogenic or vascular</t>
        </is>
      </c>
      <c r="H367" s="6" t="inlineStr">
        <is>
          <t>0</t>
        </is>
      </c>
      <c r="K367" s="5" t="inlineStr">
        <is>
          <t xml:space="preserve">; </t>
        </is>
      </c>
      <c r="M367" s="5" t="inlineStr">
        <is>
          <t>100.0</t>
        </is>
      </c>
      <c r="N367" s="5" t="inlineStr">
        <is>
          <t>YES</t>
        </is>
      </c>
    </row>
    <row r="368">
      <c r="A368" s="6" t="n">
        <v>234</v>
      </c>
      <c r="B368" s="5" t="inlineStr">
        <is>
          <t>S3</t>
        </is>
      </c>
      <c r="C368" s="5" t="inlineStr">
        <is>
          <t>8: Antimicrobial and antibiofilm hydrogel depots</t>
        </is>
      </c>
      <c r="D368" s="5" t="inlineStr">
        <is>
          <t>In Vitro and In Vivo Comparison of a Novel Antimicrobial Wound Hydrogel With Commercial Wound Treatments: Antimicrobial, Antibiofilm and Biocompatibility Assessment</t>
        </is>
      </c>
      <c r="E368" s="5" t="inlineStr">
        <is>
          <t>10.1111/iwj.70904</t>
        </is>
      </c>
      <c r="F368" s="5" t="inlineStr">
        <is>
          <t>Antimicrobial/antibiofilm depots</t>
        </is>
      </c>
      <c r="G368" s="5" t="inlineStr">
        <is>
          <t>Histology, collagen, or matrix repair</t>
        </is>
      </c>
      <c r="H368" s="6" t="inlineStr">
        <is>
          <t>0</t>
        </is>
      </c>
      <c r="K368" s="5" t="inlineStr">
        <is>
          <t xml:space="preserve">; </t>
        </is>
      </c>
      <c r="M368" s="5" t="inlineStr">
        <is>
          <t>100.0</t>
        </is>
      </c>
      <c r="N368" s="5" t="inlineStr">
        <is>
          <t>YES</t>
        </is>
      </c>
    </row>
    <row r="369">
      <c r="A369" s="6" t="n">
        <v>234</v>
      </c>
      <c r="B369" s="5" t="inlineStr">
        <is>
          <t>S3</t>
        </is>
      </c>
      <c r="C369" s="5" t="inlineStr">
        <is>
          <t>8: Antimicrobial and antibiofilm hydrogel depots</t>
        </is>
      </c>
      <c r="D369" s="5" t="inlineStr">
        <is>
          <t>In Vitro and In Vivo Comparison of a Novel Antimicrobial Wound Hydrogel With Commercial Wound Treatments: Antimicrobial, Antibiofilm and Biocompatibility Assessment</t>
        </is>
      </c>
      <c r="E369" s="5" t="inlineStr">
        <is>
          <t>10.1111/iwj.70904</t>
        </is>
      </c>
      <c r="F369" s="5" t="inlineStr">
        <is>
          <t>Antimicrobial/antibiofilm depots</t>
        </is>
      </c>
      <c r="G369" s="5" t="inlineStr">
        <is>
          <t>Wound-area trajectory</t>
        </is>
      </c>
      <c r="H369" s="6" t="inlineStr">
        <is>
          <t>0</t>
        </is>
      </c>
      <c r="K369" s="5" t="inlineStr">
        <is>
          <t xml:space="preserve">; </t>
        </is>
      </c>
      <c r="M369" s="5" t="inlineStr">
        <is>
          <t>100.0</t>
        </is>
      </c>
      <c r="N369" s="5" t="inlineStr">
        <is>
          <t>YES</t>
        </is>
      </c>
    </row>
    <row r="370">
      <c r="A370" s="6" t="n">
        <v>234</v>
      </c>
      <c r="B370" s="5" t="inlineStr">
        <is>
          <t>S3</t>
        </is>
      </c>
      <c r="C370" s="5" t="inlineStr">
        <is>
          <t>8: Antimicrobial and antibiofilm hydrogel depots</t>
        </is>
      </c>
      <c r="D370" s="5" t="inlineStr">
        <is>
          <t>In Vitro and In Vivo Comparison of a Novel Antimicrobial Wound Hydrogel With Commercial Wound Treatments: Antimicrobial, Antibiofilm and Biocompatibility Assessment</t>
        </is>
      </c>
      <c r="E370" s="5" t="inlineStr">
        <is>
          <t>10.1111/iwj.70904</t>
        </is>
      </c>
      <c r="F370" s="5" t="inlineStr">
        <is>
          <t>Antimicrobial/antibiofilm depots</t>
        </is>
      </c>
      <c r="G370" s="5" t="inlineStr">
        <is>
          <t>Safety or cytocompatibility</t>
        </is>
      </c>
      <c r="H370" s="6" t="inlineStr">
        <is>
          <t>1</t>
        </is>
      </c>
      <c r="K370" s="5" t="inlineStr">
        <is>
          <t xml:space="preserve">; </t>
        </is>
      </c>
      <c r="M370" s="5" t="inlineStr">
        <is>
          <t>100.0</t>
        </is>
      </c>
      <c r="N370" s="5" t="inlineStr">
        <is>
          <t>YES</t>
        </is>
      </c>
    </row>
  </sheetData>
  <autoFilter ref="A1:N370"/>
  <pageMargins left="0.7" right="0.7" top="0.75" bottom="0.75" header="0.3" footer="0.3"/>
</worksheet>
</file>

<file path=xl/worksheets/sheet19.xml><?xml version="1.0" encoding="utf-8"?>
<worksheet xmlns="http://schemas.openxmlformats.org/spreadsheetml/2006/main">
  <sheetPr>
    <tabColor rgb="FF23678D"/>
    <outlinePr summaryBelow="1" summaryRight="1"/>
    <pageSetUpPr/>
  </sheetPr>
  <dimension ref="A1:K10"/>
  <sheetViews>
    <sheetView showGridLines="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56.7109375" customWidth="1" min="1" max="1"/>
    <col width="19.7109375" customWidth="1" min="2" max="11"/>
  </cols>
  <sheetData>
    <row r="1" ht="75" customHeight="1">
      <c r="A1" s="2" t="inlineStr">
        <is>
          <t>Group</t>
        </is>
      </c>
      <c r="B1" s="2" t="inlineStr">
        <is>
          <t>Material properties</t>
        </is>
      </c>
      <c r="C1" s="2" t="inlineStr">
        <is>
          <t>Release or activation kinetics</t>
        </is>
      </c>
      <c r="D1" s="2" t="inlineStr">
        <is>
          <t>Antimicrobial or biofilm</t>
        </is>
      </c>
      <c r="E1" s="2" t="inlineStr">
        <is>
          <t>ROS, oxidative, or metabolic</t>
        </is>
      </c>
      <c r="F1" s="2" t="inlineStr">
        <is>
          <t>Immune, cytokine, or macrophage</t>
        </is>
      </c>
      <c r="G1" s="2" t="inlineStr">
        <is>
          <t>Angiogenic or vascular</t>
        </is>
      </c>
      <c r="H1" s="2" t="inlineStr">
        <is>
          <t>Histology, collagen, or matrix repair</t>
        </is>
      </c>
      <c r="I1" s="2" t="inlineStr">
        <is>
          <t>Wound-area trajectory</t>
        </is>
      </c>
      <c r="J1" s="2" t="inlineStr">
        <is>
          <t>Safety or cytocompatibility</t>
        </is>
      </c>
      <c r="K1" s="2" t="inlineStr">
        <is>
          <t>Unique studies in group</t>
        </is>
      </c>
    </row>
    <row r="2">
      <c r="A2" s="5" t="inlineStr">
        <is>
          <t>Mixed-stimulus adaptive hydrogels</t>
        </is>
      </c>
      <c r="B2" s="7" t="n">
        <f>COUNTIFS('Code_S07'!$F$2:$F$370,SUBSTITUTE($A2,CHAR(10)," "),'Code_S07'!$G$2:$G$370,SUBSTITUTE(B$1,CHAR(10)," "),'Code_S07'!$H$2:$H$370,1)</f>
        <v>7</v>
      </c>
      <c r="C2" s="7" t="n">
        <f>COUNTIFS('Code_S07'!$F$2:$F$370,SUBSTITUTE($A2,CHAR(10)," "),'Code_S07'!$G$2:$G$370,SUBSTITUTE(C$1,CHAR(10)," "),'Code_S07'!$H$2:$H$370,1)</f>
        <v>7</v>
      </c>
      <c r="D2" s="7" t="n">
        <f>COUNTIFS('Code_S07'!$F$2:$F$370,SUBSTITUTE($A2,CHAR(10)," "),'Code_S07'!$G$2:$G$370,SUBSTITUTE(D$1,CHAR(10)," "),'Code_S07'!$H$2:$H$370,1)</f>
        <v>6</v>
      </c>
      <c r="E2" s="7" t="n">
        <f>COUNTIFS('Code_S07'!$F$2:$F$370,SUBSTITUTE($A2,CHAR(10)," "),'Code_S07'!$G$2:$G$370,SUBSTITUTE(E$1,CHAR(10)," "),'Code_S07'!$H$2:$H$370,1)</f>
        <v>7</v>
      </c>
      <c r="F2" s="7" t="n">
        <f>COUNTIFS('Code_S07'!$F$2:$F$370,SUBSTITUTE($A2,CHAR(10)," "),'Code_S07'!$G$2:$G$370,SUBSTITUTE(F$1,CHAR(10)," "),'Code_S07'!$H$2:$H$370,1)</f>
        <v>7</v>
      </c>
      <c r="G2" s="7" t="n">
        <f>COUNTIFS('Code_S07'!$F$2:$F$370,SUBSTITUTE($A2,CHAR(10)," "),'Code_S07'!$G$2:$G$370,SUBSTITUTE(G$1,CHAR(10)," "),'Code_S07'!$H$2:$H$370,1)</f>
        <v>6</v>
      </c>
      <c r="H2" s="7" t="n">
        <f>COUNTIFS('Code_S07'!$F$2:$F$370,SUBSTITUTE($A2,CHAR(10)," "),'Code_S07'!$G$2:$G$370,SUBSTITUTE(H$1,CHAR(10)," "),'Code_S07'!$H$2:$H$370,1)</f>
        <v>7</v>
      </c>
      <c r="I2" s="7" t="n">
        <f>COUNTIFS('Code_S07'!$F$2:$F$370,SUBSTITUTE($A2,CHAR(10)," "),'Code_S07'!$G$2:$G$370,SUBSTITUTE(I$1,CHAR(10)," "),'Code_S07'!$H$2:$H$370,1)</f>
        <v>7</v>
      </c>
      <c r="J2" s="7" t="n">
        <f>COUNTIFS('Code_S07'!$F$2:$F$370,SUBSTITUTE($A2,CHAR(10)," "),'Code_S07'!$G$2:$G$370,SUBSTITUTE(J$1,CHAR(10)," "),'Code_S07'!$H$2:$H$370,1)</f>
        <v>6</v>
      </c>
      <c r="K2" s="7" t="n">
        <f>COUNTIFS('08_Study_Cohorts'!$A$2:$A$365,"S7",'08_Study_Cohorts'!$C$2:$C$365,SUBSTITUTE($A2,CHAR(10)," "))</f>
        <v>7</v>
      </c>
    </row>
    <row r="3">
      <c r="A3" s="5" t="inlineStr">
        <is>
          <t>Enzyme-activated infection/remodeling depots</t>
        </is>
      </c>
      <c r="B3" s="7" t="n">
        <f>COUNTIFS('Code_S07'!$F$2:$F$370,SUBSTITUTE($A3,CHAR(10)," "),'Code_S07'!$G$2:$G$370,SUBSTITUTE(B$1,CHAR(10)," "),'Code_S07'!$H$2:$H$370,1)</f>
        <v>3</v>
      </c>
      <c r="C3" s="7" t="n">
        <f>COUNTIFS('Code_S07'!$F$2:$F$370,SUBSTITUTE($A3,CHAR(10)," "),'Code_S07'!$G$2:$G$370,SUBSTITUTE(C$1,CHAR(10)," "),'Code_S07'!$H$2:$H$370,1)</f>
        <v>3</v>
      </c>
      <c r="D3" s="7" t="n">
        <f>COUNTIFS('Code_S07'!$F$2:$F$370,SUBSTITUTE($A3,CHAR(10)," "),'Code_S07'!$G$2:$G$370,SUBSTITUTE(D$1,CHAR(10)," "),'Code_S07'!$H$2:$H$370,1)</f>
        <v>3</v>
      </c>
      <c r="E3" s="7" t="n">
        <f>COUNTIFS('Code_S07'!$F$2:$F$370,SUBSTITUTE($A3,CHAR(10)," "),'Code_S07'!$G$2:$G$370,SUBSTITUTE(E$1,CHAR(10)," "),'Code_S07'!$H$2:$H$370,1)</f>
        <v>3</v>
      </c>
      <c r="F3" s="7" t="n">
        <f>COUNTIFS('Code_S07'!$F$2:$F$370,SUBSTITUTE($A3,CHAR(10)," "),'Code_S07'!$G$2:$G$370,SUBSTITUTE(F$1,CHAR(10)," "),'Code_S07'!$H$2:$H$370,1)</f>
        <v>2</v>
      </c>
      <c r="G3" s="7" t="n">
        <f>COUNTIFS('Code_S07'!$F$2:$F$370,SUBSTITUTE($A3,CHAR(10)," "),'Code_S07'!$G$2:$G$370,SUBSTITUTE(G$1,CHAR(10)," "),'Code_S07'!$H$2:$H$370,1)</f>
        <v>1</v>
      </c>
      <c r="H3" s="7" t="n">
        <f>COUNTIFS('Code_S07'!$F$2:$F$370,SUBSTITUTE($A3,CHAR(10)," "),'Code_S07'!$G$2:$G$370,SUBSTITUTE(H$1,CHAR(10)," "),'Code_S07'!$H$2:$H$370,1)</f>
        <v>3</v>
      </c>
      <c r="I3" s="7" t="n">
        <f>COUNTIFS('Code_S07'!$F$2:$F$370,SUBSTITUTE($A3,CHAR(10)," "),'Code_S07'!$G$2:$G$370,SUBSTITUTE(I$1,CHAR(10)," "),'Code_S07'!$H$2:$H$370,1)</f>
        <v>3</v>
      </c>
      <c r="J3" s="7" t="n">
        <f>COUNTIFS('Code_S07'!$F$2:$F$370,SUBSTITUTE($A3,CHAR(10)," "),'Code_S07'!$G$2:$G$370,SUBSTITUTE(J$1,CHAR(10)," "),'Code_S07'!$H$2:$H$370,1)</f>
        <v>3</v>
      </c>
      <c r="K3" s="7" t="n">
        <f>COUNTIFS('08_Study_Cohorts'!$A$2:$A$365,"S7",'08_Study_Cohorts'!$C$2:$C$365,SUBSTITUTE($A3,CHAR(10)," "))</f>
        <v>3</v>
      </c>
    </row>
    <row r="4">
      <c r="A4" s="5" t="inlineStr">
        <is>
          <t>Acidic pH-switching release matrices</t>
        </is>
      </c>
      <c r="B4" s="7" t="n">
        <f>COUNTIFS('Code_S07'!$F$2:$F$370,SUBSTITUTE($A4,CHAR(10)," "),'Code_S07'!$G$2:$G$370,SUBSTITUTE(B$1,CHAR(10)," "),'Code_S07'!$H$2:$H$370,1)</f>
        <v>4</v>
      </c>
      <c r="C4" s="7" t="n">
        <f>COUNTIFS('Code_S07'!$F$2:$F$370,SUBSTITUTE($A4,CHAR(10)," "),'Code_S07'!$G$2:$G$370,SUBSTITUTE(C$1,CHAR(10)," "),'Code_S07'!$H$2:$H$370,1)</f>
        <v>4</v>
      </c>
      <c r="D4" s="7" t="n">
        <f>COUNTIFS('Code_S07'!$F$2:$F$370,SUBSTITUTE($A4,CHAR(10)," "),'Code_S07'!$G$2:$G$370,SUBSTITUTE(D$1,CHAR(10)," "),'Code_S07'!$H$2:$H$370,1)</f>
        <v>4</v>
      </c>
      <c r="E4" s="7" t="n">
        <f>COUNTIFS('Code_S07'!$F$2:$F$370,SUBSTITUTE($A4,CHAR(10)," "),'Code_S07'!$G$2:$G$370,SUBSTITUTE(E$1,CHAR(10)," "),'Code_S07'!$H$2:$H$370,1)</f>
        <v>3</v>
      </c>
      <c r="F4" s="7" t="n">
        <f>COUNTIFS('Code_S07'!$F$2:$F$370,SUBSTITUTE($A4,CHAR(10)," "),'Code_S07'!$G$2:$G$370,SUBSTITUTE(F$1,CHAR(10)," "),'Code_S07'!$H$2:$H$370,1)</f>
        <v>4</v>
      </c>
      <c r="G4" s="7" t="n">
        <f>COUNTIFS('Code_S07'!$F$2:$F$370,SUBSTITUTE($A4,CHAR(10)," "),'Code_S07'!$G$2:$G$370,SUBSTITUTE(G$1,CHAR(10)," "),'Code_S07'!$H$2:$H$370,1)</f>
        <v>3</v>
      </c>
      <c r="H4" s="7" t="n">
        <f>COUNTIFS('Code_S07'!$F$2:$F$370,SUBSTITUTE($A4,CHAR(10)," "),'Code_S07'!$G$2:$G$370,SUBSTITUTE(H$1,CHAR(10)," "),'Code_S07'!$H$2:$H$370,1)</f>
        <v>4</v>
      </c>
      <c r="I4" s="7" t="n">
        <f>COUNTIFS('Code_S07'!$F$2:$F$370,SUBSTITUTE($A4,CHAR(10)," "),'Code_S07'!$G$2:$G$370,SUBSTITUTE(I$1,CHAR(10)," "),'Code_S07'!$H$2:$H$370,1)</f>
        <v>4</v>
      </c>
      <c r="J4" s="7" t="n">
        <f>COUNTIFS('Code_S07'!$F$2:$F$370,SUBSTITUTE($A4,CHAR(10)," "),'Code_S07'!$G$2:$G$370,SUBSTITUTE(J$1,CHAR(10)," "),'Code_S07'!$H$2:$H$370,1)</f>
        <v>4</v>
      </c>
      <c r="K4" s="7" t="n">
        <f>COUNTIFS('08_Study_Cohorts'!$A$2:$A$365,"S7",'08_Study_Cohorts'!$C$2:$C$365,SUBSTITUTE($A4,CHAR(10)," "))</f>
        <v>4</v>
      </c>
    </row>
    <row r="5">
      <c r="A5" s="5" t="inlineStr">
        <is>
          <t>Thermogelling or externally actuated systems</t>
        </is>
      </c>
      <c r="B5" s="7" t="n">
        <f>COUNTIFS('Code_S07'!$F$2:$F$370,SUBSTITUTE($A5,CHAR(10)," "),'Code_S07'!$G$2:$G$370,SUBSTITUTE(B$1,CHAR(10)," "),'Code_S07'!$H$2:$H$370,1)</f>
        <v>3</v>
      </c>
      <c r="C5" s="7" t="n">
        <f>COUNTIFS('Code_S07'!$F$2:$F$370,SUBSTITUTE($A5,CHAR(10)," "),'Code_S07'!$G$2:$G$370,SUBSTITUTE(C$1,CHAR(10)," "),'Code_S07'!$H$2:$H$370,1)</f>
        <v>3</v>
      </c>
      <c r="D5" s="7" t="n">
        <f>COUNTIFS('Code_S07'!$F$2:$F$370,SUBSTITUTE($A5,CHAR(10)," "),'Code_S07'!$G$2:$G$370,SUBSTITUTE(D$1,CHAR(10)," "),'Code_S07'!$H$2:$H$370,1)</f>
        <v>3</v>
      </c>
      <c r="E5" s="7" t="n">
        <f>COUNTIFS('Code_S07'!$F$2:$F$370,SUBSTITUTE($A5,CHAR(10)," "),'Code_S07'!$G$2:$G$370,SUBSTITUTE(E$1,CHAR(10)," "),'Code_S07'!$H$2:$H$370,1)</f>
        <v>1</v>
      </c>
      <c r="F5" s="7" t="n">
        <f>COUNTIFS('Code_S07'!$F$2:$F$370,SUBSTITUTE($A5,CHAR(10)," "),'Code_S07'!$G$2:$G$370,SUBSTITUTE(F$1,CHAR(10)," "),'Code_S07'!$H$2:$H$370,1)</f>
        <v>3</v>
      </c>
      <c r="G5" s="7" t="n">
        <f>COUNTIFS('Code_S07'!$F$2:$F$370,SUBSTITUTE($A5,CHAR(10)," "),'Code_S07'!$G$2:$G$370,SUBSTITUTE(G$1,CHAR(10)," "),'Code_S07'!$H$2:$H$370,1)</f>
        <v>1</v>
      </c>
      <c r="H5" s="7" t="n">
        <f>COUNTIFS('Code_S07'!$F$2:$F$370,SUBSTITUTE($A5,CHAR(10)," "),'Code_S07'!$G$2:$G$370,SUBSTITUTE(H$1,CHAR(10)," "),'Code_S07'!$H$2:$H$370,1)</f>
        <v>3</v>
      </c>
      <c r="I5" s="7" t="n">
        <f>COUNTIFS('Code_S07'!$F$2:$F$370,SUBSTITUTE($A5,CHAR(10)," "),'Code_S07'!$G$2:$G$370,SUBSTITUTE(I$1,CHAR(10)," "),'Code_S07'!$H$2:$H$370,1)</f>
        <v>3</v>
      </c>
      <c r="J5" s="7" t="n">
        <f>COUNTIFS('Code_S07'!$F$2:$F$370,SUBSTITUTE($A5,CHAR(10)," "),'Code_S07'!$G$2:$G$370,SUBSTITUTE(J$1,CHAR(10)," "),'Code_S07'!$H$2:$H$370,1)</f>
        <v>3</v>
      </c>
      <c r="K5" s="7" t="n">
        <f>COUNTIFS('08_Study_Cohorts'!$A$2:$A$365,"S7",'08_Study_Cohorts'!$C$2:$C$365,SUBSTITUTE($A5,CHAR(10)," "))</f>
        <v>3</v>
      </c>
    </row>
    <row r="6">
      <c r="A6" s="5" t="inlineStr">
        <is>
          <t>Macrophage/cytokine-balancing matrices</t>
        </is>
      </c>
      <c r="B6" s="7" t="n">
        <f>COUNTIFS('Code_S07'!$F$2:$F$370,SUBSTITUTE($A6,CHAR(10)," "),'Code_S07'!$G$2:$G$370,SUBSTITUTE(B$1,CHAR(10)," "),'Code_S07'!$H$2:$H$370,1)</f>
        <v>5</v>
      </c>
      <c r="C6" s="7" t="n">
        <f>COUNTIFS('Code_S07'!$F$2:$F$370,SUBSTITUTE($A6,CHAR(10)," "),'Code_S07'!$G$2:$G$370,SUBSTITUTE(C$1,CHAR(10)," "),'Code_S07'!$H$2:$H$370,1)</f>
        <v>6</v>
      </c>
      <c r="D6" s="7" t="n">
        <f>COUNTIFS('Code_S07'!$F$2:$F$370,SUBSTITUTE($A6,CHAR(10)," "),'Code_S07'!$G$2:$G$370,SUBSTITUTE(D$1,CHAR(10)," "),'Code_S07'!$H$2:$H$370,1)</f>
        <v>6</v>
      </c>
      <c r="E6" s="7" t="n">
        <f>COUNTIFS('Code_S07'!$F$2:$F$370,SUBSTITUTE($A6,CHAR(10)," "),'Code_S07'!$G$2:$G$370,SUBSTITUTE(E$1,CHAR(10)," "),'Code_S07'!$H$2:$H$370,1)</f>
        <v>5</v>
      </c>
      <c r="F6" s="7" t="n">
        <f>COUNTIFS('Code_S07'!$F$2:$F$370,SUBSTITUTE($A6,CHAR(10)," "),'Code_S07'!$G$2:$G$370,SUBSTITUTE(F$1,CHAR(10)," "),'Code_S07'!$H$2:$H$370,1)</f>
        <v>6</v>
      </c>
      <c r="G6" s="7" t="n">
        <f>COUNTIFS('Code_S07'!$F$2:$F$370,SUBSTITUTE($A6,CHAR(10)," "),'Code_S07'!$G$2:$G$370,SUBSTITUTE(G$1,CHAR(10)," "),'Code_S07'!$H$2:$H$370,1)</f>
        <v>6</v>
      </c>
      <c r="H6" s="7" t="n">
        <f>COUNTIFS('Code_S07'!$F$2:$F$370,SUBSTITUTE($A6,CHAR(10)," "),'Code_S07'!$G$2:$G$370,SUBSTITUTE(H$1,CHAR(10)," "),'Code_S07'!$H$2:$H$370,1)</f>
        <v>6</v>
      </c>
      <c r="I6" s="7" t="n">
        <f>COUNTIFS('Code_S07'!$F$2:$F$370,SUBSTITUTE($A6,CHAR(10)," "),'Code_S07'!$G$2:$G$370,SUBSTITUTE(I$1,CHAR(10)," "),'Code_S07'!$H$2:$H$370,1)</f>
        <v>6</v>
      </c>
      <c r="J6" s="7" t="n">
        <f>COUNTIFS('Code_S07'!$F$2:$F$370,SUBSTITUTE($A6,CHAR(10)," "),'Code_S07'!$G$2:$G$370,SUBSTITUTE(J$1,CHAR(10)," "),'Code_S07'!$H$2:$H$370,1)</f>
        <v>6</v>
      </c>
      <c r="K6" s="7" t="n">
        <f>COUNTIFS('08_Study_Cohorts'!$A$2:$A$365,"S7",'08_Study_Cohorts'!$C$2:$C$365,SUBSTITUTE($A6,CHAR(10)," "))</f>
        <v>6</v>
      </c>
    </row>
    <row r="7">
      <c r="A7" s="5" t="inlineStr">
        <is>
          <t>Antimicrobial/antibiofilm depots</t>
        </is>
      </c>
      <c r="B7" s="7" t="n">
        <f>COUNTIFS('Code_S07'!$F$2:$F$370,SUBSTITUTE($A7,CHAR(10)," "),'Code_S07'!$G$2:$G$370,SUBSTITUTE(B$1,CHAR(10)," "),'Code_S07'!$H$2:$H$370,1)</f>
        <v>5</v>
      </c>
      <c r="C7" s="7" t="n">
        <f>COUNTIFS('Code_S07'!$F$2:$F$370,SUBSTITUTE($A7,CHAR(10)," "),'Code_S07'!$G$2:$G$370,SUBSTITUTE(C$1,CHAR(10)," "),'Code_S07'!$H$2:$H$370,1)</f>
        <v>5</v>
      </c>
      <c r="D7" s="7" t="n">
        <f>COUNTIFS('Code_S07'!$F$2:$F$370,SUBSTITUTE($A7,CHAR(10)," "),'Code_S07'!$G$2:$G$370,SUBSTITUTE(D$1,CHAR(10)," "),'Code_S07'!$H$2:$H$370,1)</f>
        <v>6</v>
      </c>
      <c r="E7" s="7" t="n">
        <f>COUNTIFS('Code_S07'!$F$2:$F$370,SUBSTITUTE($A7,CHAR(10)," "),'Code_S07'!$G$2:$G$370,SUBSTITUTE(E$1,CHAR(10)," "),'Code_S07'!$H$2:$H$370,1)</f>
        <v>3</v>
      </c>
      <c r="F7" s="7" t="n">
        <f>COUNTIFS('Code_S07'!$F$2:$F$370,SUBSTITUTE($A7,CHAR(10)," "),'Code_S07'!$G$2:$G$370,SUBSTITUTE(F$1,CHAR(10)," "),'Code_S07'!$H$2:$H$370,1)</f>
        <v>5</v>
      </c>
      <c r="G7" s="7" t="n">
        <f>COUNTIFS('Code_S07'!$F$2:$F$370,SUBSTITUTE($A7,CHAR(10)," "),'Code_S07'!$G$2:$G$370,SUBSTITUTE(G$1,CHAR(10)," "),'Code_S07'!$H$2:$H$370,1)</f>
        <v>2</v>
      </c>
      <c r="H7" s="7" t="n">
        <f>COUNTIFS('Code_S07'!$F$2:$F$370,SUBSTITUTE($A7,CHAR(10)," "),'Code_S07'!$G$2:$G$370,SUBSTITUTE(H$1,CHAR(10)," "),'Code_S07'!$H$2:$H$370,1)</f>
        <v>5</v>
      </c>
      <c r="I7" s="7" t="n">
        <f>COUNTIFS('Code_S07'!$F$2:$F$370,SUBSTITUTE($A7,CHAR(10)," "),'Code_S07'!$G$2:$G$370,SUBSTITUTE(I$1,CHAR(10)," "),'Code_S07'!$H$2:$H$370,1)</f>
        <v>4</v>
      </c>
      <c r="J7" s="7" t="n">
        <f>COUNTIFS('Code_S07'!$F$2:$F$370,SUBSTITUTE($A7,CHAR(10)," "),'Code_S07'!$G$2:$G$370,SUBSTITUTE(J$1,CHAR(10)," "),'Code_S07'!$H$2:$H$370,1)</f>
        <v>3</v>
      </c>
      <c r="K7" s="7" t="n">
        <f>COUNTIFS('08_Study_Cohorts'!$A$2:$A$365,"S7",'08_Study_Cohorts'!$C$2:$C$365,SUBSTITUTE($A7,CHAR(10)," "))</f>
        <v>6</v>
      </c>
    </row>
    <row r="8">
      <c r="A8" s="5" t="inlineStr">
        <is>
          <t>Growth-factor/protein delivery depots</t>
        </is>
      </c>
      <c r="B8" s="7" t="n">
        <f>COUNTIFS('Code_S07'!$F$2:$F$370,SUBSTITUTE($A8,CHAR(10)," "),'Code_S07'!$G$2:$G$370,SUBSTITUTE(B$1,CHAR(10)," "),'Code_S07'!$H$2:$H$370,1)</f>
        <v>5</v>
      </c>
      <c r="C8" s="7" t="n">
        <f>COUNTIFS('Code_S07'!$F$2:$F$370,SUBSTITUTE($A8,CHAR(10)," "),'Code_S07'!$G$2:$G$370,SUBSTITUTE(C$1,CHAR(10)," "),'Code_S07'!$H$2:$H$370,1)</f>
        <v>6</v>
      </c>
      <c r="D8" s="7" t="n">
        <f>COUNTIFS('Code_S07'!$F$2:$F$370,SUBSTITUTE($A8,CHAR(10)," "),'Code_S07'!$G$2:$G$370,SUBSTITUTE(D$1,CHAR(10)," "),'Code_S07'!$H$2:$H$370,1)</f>
        <v>5</v>
      </c>
      <c r="E8" s="7" t="n">
        <f>COUNTIFS('Code_S07'!$F$2:$F$370,SUBSTITUTE($A8,CHAR(10)," "),'Code_S07'!$G$2:$G$370,SUBSTITUTE(E$1,CHAR(10)," "),'Code_S07'!$H$2:$H$370,1)</f>
        <v>5</v>
      </c>
      <c r="F8" s="7" t="n">
        <f>COUNTIFS('Code_S07'!$F$2:$F$370,SUBSTITUTE($A8,CHAR(10)," "),'Code_S07'!$G$2:$G$370,SUBSTITUTE(F$1,CHAR(10)," "),'Code_S07'!$H$2:$H$370,1)</f>
        <v>3</v>
      </c>
      <c r="G8" s="7" t="n">
        <f>COUNTIFS('Code_S07'!$F$2:$F$370,SUBSTITUTE($A8,CHAR(10)," "),'Code_S07'!$G$2:$G$370,SUBSTITUTE(G$1,CHAR(10)," "),'Code_S07'!$H$2:$H$370,1)</f>
        <v>6</v>
      </c>
      <c r="H8" s="7" t="n">
        <f>COUNTIFS('Code_S07'!$F$2:$F$370,SUBSTITUTE($A8,CHAR(10)," "),'Code_S07'!$G$2:$G$370,SUBSTITUTE(H$1,CHAR(10)," "),'Code_S07'!$H$2:$H$370,1)</f>
        <v>6</v>
      </c>
      <c r="I8" s="7" t="n">
        <f>COUNTIFS('Code_S07'!$F$2:$F$370,SUBSTITUTE($A8,CHAR(10)," "),'Code_S07'!$G$2:$G$370,SUBSTITUTE(I$1,CHAR(10)," "),'Code_S07'!$H$2:$H$370,1)</f>
        <v>6</v>
      </c>
      <c r="J8" s="7" t="n">
        <f>COUNTIFS('Code_S07'!$F$2:$F$370,SUBSTITUTE($A8,CHAR(10)," "),'Code_S07'!$G$2:$G$370,SUBSTITUTE(J$1,CHAR(10)," "),'Code_S07'!$H$2:$H$370,1)</f>
        <v>6</v>
      </c>
      <c r="K8" s="7" t="n">
        <f>COUNTIFS('08_Study_Cohorts'!$A$2:$A$365,"S7",'08_Study_Cohorts'!$C$2:$C$365,SUBSTITUTE($A8,CHAR(10)," "))</f>
        <v>6</v>
      </c>
    </row>
    <row r="9">
      <c r="A9" s="5" t="inlineStr">
        <is>
          <t>Multicargo sequence-delivery formulations</t>
        </is>
      </c>
      <c r="B9" s="7" t="n">
        <f>COUNTIFS('Code_S07'!$F$2:$F$370,SUBSTITUTE($A9,CHAR(10)," "),'Code_S07'!$G$2:$G$370,SUBSTITUTE(B$1,CHAR(10)," "),'Code_S07'!$H$2:$H$370,1)</f>
        <v>2</v>
      </c>
      <c r="C9" s="7" t="n">
        <f>COUNTIFS('Code_S07'!$F$2:$F$370,SUBSTITUTE($A9,CHAR(10)," "),'Code_S07'!$G$2:$G$370,SUBSTITUTE(C$1,CHAR(10)," "),'Code_S07'!$H$2:$H$370,1)</f>
        <v>2</v>
      </c>
      <c r="D9" s="7" t="n">
        <f>COUNTIFS('Code_S07'!$F$2:$F$370,SUBSTITUTE($A9,CHAR(10)," "),'Code_S07'!$G$2:$G$370,SUBSTITUTE(D$1,CHAR(10)," "),'Code_S07'!$H$2:$H$370,1)</f>
        <v>2</v>
      </c>
      <c r="E9" s="7" t="n">
        <f>COUNTIFS('Code_S07'!$F$2:$F$370,SUBSTITUTE($A9,CHAR(10)," "),'Code_S07'!$G$2:$G$370,SUBSTITUTE(E$1,CHAR(10)," "),'Code_S07'!$H$2:$H$370,1)</f>
        <v>2</v>
      </c>
      <c r="F9" s="7" t="n">
        <f>COUNTIFS('Code_S07'!$F$2:$F$370,SUBSTITUTE($A9,CHAR(10)," "),'Code_S07'!$G$2:$G$370,SUBSTITUTE(F$1,CHAR(10)," "),'Code_S07'!$H$2:$H$370,1)</f>
        <v>2</v>
      </c>
      <c r="G9" s="7" t="n">
        <f>COUNTIFS('Code_S07'!$F$2:$F$370,SUBSTITUTE($A9,CHAR(10)," "),'Code_S07'!$G$2:$G$370,SUBSTITUTE(G$1,CHAR(10)," "),'Code_S07'!$H$2:$H$370,1)</f>
        <v>2</v>
      </c>
      <c r="H9" s="7" t="n">
        <f>COUNTIFS('Code_S07'!$F$2:$F$370,SUBSTITUTE($A9,CHAR(10)," "),'Code_S07'!$G$2:$G$370,SUBSTITUTE(H$1,CHAR(10)," "),'Code_S07'!$H$2:$H$370,1)</f>
        <v>2</v>
      </c>
      <c r="I9" s="7" t="n">
        <f>COUNTIFS('Code_S07'!$F$2:$F$370,SUBSTITUTE($A9,CHAR(10)," "),'Code_S07'!$G$2:$G$370,SUBSTITUTE(I$1,CHAR(10)," "),'Code_S07'!$H$2:$H$370,1)</f>
        <v>2</v>
      </c>
      <c r="J9" s="7" t="n">
        <f>COUNTIFS('Code_S07'!$F$2:$F$370,SUBSTITUTE($A9,CHAR(10)," "),'Code_S07'!$G$2:$G$370,SUBSTITUTE(J$1,CHAR(10)," "),'Code_S07'!$H$2:$H$370,1)</f>
        <v>2</v>
      </c>
      <c r="K9" s="7" t="n">
        <f>COUNTIFS('08_Study_Cohorts'!$A$2:$A$365,"S7",'08_Study_Cohorts'!$C$2:$C$365,SUBSTITUTE($A9,CHAR(10)," "))</f>
        <v>2</v>
      </c>
    </row>
    <row r="10">
      <c r="A10" s="5" t="inlineStr">
        <is>
          <t>Exosome/EV release systems</t>
        </is>
      </c>
      <c r="B10" s="7" t="n">
        <f>COUNTIFS('Code_S07'!$F$2:$F$370,SUBSTITUTE($A10,CHAR(10)," "),'Code_S07'!$G$2:$G$370,SUBSTITUTE(B$1,CHAR(10)," "),'Code_S07'!$H$2:$H$370,1)</f>
        <v>4</v>
      </c>
      <c r="C10" s="7" t="n">
        <f>COUNTIFS('Code_S07'!$F$2:$F$370,SUBSTITUTE($A10,CHAR(10)," "),'Code_S07'!$G$2:$G$370,SUBSTITUTE(C$1,CHAR(10)," "),'Code_S07'!$H$2:$H$370,1)</f>
        <v>4</v>
      </c>
      <c r="D10" s="7" t="n">
        <f>COUNTIFS('Code_S07'!$F$2:$F$370,SUBSTITUTE($A10,CHAR(10)," "),'Code_S07'!$G$2:$G$370,SUBSTITUTE(D$1,CHAR(10)," "),'Code_S07'!$H$2:$H$370,1)</f>
        <v>3</v>
      </c>
      <c r="E10" s="7" t="n">
        <f>COUNTIFS('Code_S07'!$F$2:$F$370,SUBSTITUTE($A10,CHAR(10)," "),'Code_S07'!$G$2:$G$370,SUBSTITUTE(E$1,CHAR(10)," "),'Code_S07'!$H$2:$H$370,1)</f>
        <v>2</v>
      </c>
      <c r="F10" s="7" t="n">
        <f>COUNTIFS('Code_S07'!$F$2:$F$370,SUBSTITUTE($A10,CHAR(10)," "),'Code_S07'!$G$2:$G$370,SUBSTITUTE(F$1,CHAR(10)," "),'Code_S07'!$H$2:$H$370,1)</f>
        <v>3</v>
      </c>
      <c r="G10" s="7" t="n">
        <f>COUNTIFS('Code_S07'!$F$2:$F$370,SUBSTITUTE($A10,CHAR(10)," "),'Code_S07'!$G$2:$G$370,SUBSTITUTE(G$1,CHAR(10)," "),'Code_S07'!$H$2:$H$370,1)</f>
        <v>3</v>
      </c>
      <c r="H10" s="7" t="n">
        <f>COUNTIFS('Code_S07'!$F$2:$F$370,SUBSTITUTE($A10,CHAR(10)," "),'Code_S07'!$G$2:$G$370,SUBSTITUTE(H$1,CHAR(10)," "),'Code_S07'!$H$2:$H$370,1)</f>
        <v>4</v>
      </c>
      <c r="I10" s="7" t="n">
        <f>COUNTIFS('Code_S07'!$F$2:$F$370,SUBSTITUTE($A10,CHAR(10)," "),'Code_S07'!$G$2:$G$370,SUBSTITUTE(I$1,CHAR(10)," "),'Code_S07'!$H$2:$H$370,1)</f>
        <v>4</v>
      </c>
      <c r="J10" s="7" t="n">
        <f>COUNTIFS('Code_S07'!$F$2:$F$370,SUBSTITUTE($A10,CHAR(10)," "),'Code_S07'!$G$2:$G$370,SUBSTITUTE(J$1,CHAR(10)," "),'Code_S07'!$H$2:$H$370,1)</f>
        <v>4</v>
      </c>
      <c r="K10" s="7" t="n">
        <f>COUNTIFS('08_Study_Cohorts'!$A$2:$A$365,"S7",'08_Study_Cohorts'!$C$2:$C$365,SUBSTITUTE($A10,CHAR(10)," "))</f>
        <v>4</v>
      </c>
    </row>
  </sheetData>
  <pageMargins left="0.7" right="0.7" top="0.75" bottom="0.75" header="0.3" footer="0.3"/>
</worksheet>
</file>

<file path=xl/worksheets/sheet20.xml><?xml version="1.0" encoding="utf-8"?>
<worksheet xmlns="http://schemas.openxmlformats.org/spreadsheetml/2006/main">
  <sheetPr>
    <tabColor rgb="FF2B8C83"/>
    <outlinePr summaryBelow="1" summaryRight="1"/>
    <pageSetUpPr/>
  </sheetPr>
  <dimension ref="A1:N46"/>
  <sheetViews>
    <sheetView showGridLines="0" workbookViewId="0">
      <pane xSplit="3" ySplit="1" topLeftCell="D2" activePane="bottomRight" state="frozen"/>
      <selection pane="topRight" activeCell="D1" sqref="D1"/>
      <selection pane="bottomLeft" activeCell="A2" sqref="A2"/>
      <selection pane="bottomRight" activeCell="A1" sqref="A1"/>
    </sheetView>
  </sheetViews>
  <sheetFormatPr baseColWidth="8" defaultRowHeight="15"/>
  <cols>
    <col width="14.7109375" customWidth="1" min="1" max="1"/>
    <col width="15.7109375" customWidth="1" min="2" max="2"/>
    <col width="50.7109375" customWidth="1" min="3" max="3"/>
    <col width="65.7109375" customWidth="1" min="4" max="4"/>
    <col width="25.7109375" customWidth="1" min="5" max="5"/>
    <col width="60.7109375" customWidth="1" min="6" max="6"/>
    <col width="43.7109375" customWidth="1" min="7" max="7"/>
    <col width="15.7109375" customWidth="1" min="8" max="8"/>
    <col width="17.7109375" customWidth="1" min="9" max="10"/>
    <col width="58.7109375" customWidth="1" min="11" max="11"/>
    <col width="57.7109375" customWidth="1" min="12" max="12"/>
    <col width="22.7109375" customWidth="1" min="13" max="13"/>
    <col width="20.7109375" customWidth="1" min="14" max="14"/>
  </cols>
  <sheetData>
    <row r="1" ht="51" customHeight="1">
      <c r="A1" s="2" t="inlineStr">
        <is>
          <t>Main_ref</t>
        </is>
      </c>
      <c r="B1" s="2" t="inlineStr">
        <is>
          <t>SI_source_table</t>
        </is>
      </c>
      <c r="C1" s="2" t="inlineStr">
        <is>
          <t>SI_table_row</t>
        </is>
      </c>
      <c r="D1" s="2" t="inlineStr">
        <is>
          <t>Main_article_title</t>
        </is>
      </c>
      <c r="E1" s="2" t="inlineStr">
        <is>
          <t>DOI_in_main_register</t>
        </is>
      </c>
      <c r="F1" s="2" t="inlineStr">
        <is>
          <t>Group</t>
        </is>
      </c>
      <c r="G1" s="2" t="inlineStr">
        <is>
          <t>Domain</t>
        </is>
      </c>
      <c r="H1" s="2" t="inlineStr">
        <is>
          <t>Code_0_1</t>
        </is>
      </c>
      <c r="I1" s="2" t="inlineStr">
        <is>
          <t>Proposed_structural_score</t>
        </is>
      </c>
      <c r="J1" s="2" t="inlineStr">
        <is>
          <t>Proposed_disease_score</t>
        </is>
      </c>
      <c r="K1" s="2" t="inlineStr">
        <is>
          <t>Provenance_note</t>
        </is>
      </c>
      <c r="L1" s="2" t="inlineStr">
        <is>
          <t>Source_URL</t>
        </is>
      </c>
      <c r="M1" s="2" t="inlineStr">
        <is>
          <t>Bibliography_title_match_pct</t>
        </is>
      </c>
      <c r="N1" s="2" t="inlineStr">
        <is>
          <t>Citation_present_in_main</t>
        </is>
      </c>
    </row>
    <row r="2">
      <c r="A2" s="6" t="n">
        <v>271</v>
      </c>
      <c r="B2" s="5" t="inlineStr">
        <is>
          <t>S4</t>
        </is>
      </c>
      <c r="C2" s="5" t="inlineStr">
        <is>
          <t>2: Wound-boundary segmentation and calibrated area extraction</t>
        </is>
      </c>
      <c r="D2" s="5" t="inlineStr">
        <is>
          <t>Diabetic foot ulcers segmentation challenge report: Benchmark and analysis</t>
        </is>
      </c>
      <c r="E2" s="5" t="inlineStr">
        <is>
          <t>10.1016/j.media.2024.103153</t>
        </is>
      </c>
      <c r="F2" s="5" t="inlineStr">
        <is>
          <t>Automated image segmentation and quantitative wound-image analysis</t>
        </is>
      </c>
      <c r="G2" s="5" t="inlineStr">
        <is>
          <t>Study count</t>
        </is>
      </c>
      <c r="H2" s="6" t="inlineStr">
        <is>
          <t>1</t>
        </is>
      </c>
      <c r="K2" s="5" t="inlineStr">
        <is>
          <t xml:space="preserve">; </t>
        </is>
      </c>
      <c r="M2" s="5" t="inlineStr">
        <is>
          <t>100.0</t>
        </is>
      </c>
      <c r="N2" s="5" t="inlineStr">
        <is>
          <t>YES</t>
        </is>
      </c>
    </row>
    <row r="3">
      <c r="A3" s="6" t="n">
        <v>272</v>
      </c>
      <c r="B3" s="5" t="inlineStr">
        <is>
          <t>S4</t>
        </is>
      </c>
      <c r="C3" s="5" t="inlineStr">
        <is>
          <t>2: Wound-boundary segmentation and calibrated area extraction</t>
        </is>
      </c>
      <c r="D3" s="5" t="inlineStr">
        <is>
          <t>Fully convolutional networks for diabetic foot ulcer segmentation. in 2017 IEEE international conference on systems, man, and cybernetics (SMC)</t>
        </is>
      </c>
      <c r="F3" s="5" t="inlineStr">
        <is>
          <t>Automated image segmentation and quantitative wound-image analysis</t>
        </is>
      </c>
      <c r="G3" s="5" t="inlineStr">
        <is>
          <t>Study count</t>
        </is>
      </c>
      <c r="H3" s="6" t="inlineStr">
        <is>
          <t>1</t>
        </is>
      </c>
      <c r="K3" s="5" t="inlineStr">
        <is>
          <t xml:space="preserve">; </t>
        </is>
      </c>
      <c r="M3" s="5" t="inlineStr">
        <is>
          <t>100.0</t>
        </is>
      </c>
      <c r="N3" s="5" t="inlineStr">
        <is>
          <t>YES</t>
        </is>
      </c>
    </row>
    <row r="4">
      <c r="A4" s="6" t="n">
        <v>275</v>
      </c>
      <c r="B4" s="5" t="inlineStr">
        <is>
          <t>S4</t>
        </is>
      </c>
      <c r="C4" s="5" t="inlineStr">
        <is>
          <t>2: Wound-boundary segmentation and calibrated area extraction</t>
        </is>
      </c>
      <c r="D4" s="5" t="inlineStr">
        <is>
          <t>FUSegNet: A deep convolutional neural network for foot ulcer segmentation</t>
        </is>
      </c>
      <c r="E4" s="5" t="inlineStr">
        <is>
          <t>10.1016/j.bspc.2024.106057</t>
        </is>
      </c>
      <c r="F4" s="5" t="inlineStr">
        <is>
          <t>Automated image segmentation and quantitative wound-image analysis</t>
        </is>
      </c>
      <c r="G4" s="5" t="inlineStr">
        <is>
          <t>Study count</t>
        </is>
      </c>
      <c r="H4" s="6" t="inlineStr">
        <is>
          <t>1</t>
        </is>
      </c>
      <c r="K4" s="5" t="inlineStr">
        <is>
          <t xml:space="preserve">; </t>
        </is>
      </c>
      <c r="M4" s="5" t="inlineStr">
        <is>
          <t>100.0</t>
        </is>
      </c>
      <c r="N4" s="5" t="inlineStr">
        <is>
          <t>YES</t>
        </is>
      </c>
    </row>
    <row r="5">
      <c r="A5" s="6" t="n">
        <v>276</v>
      </c>
      <c r="B5" s="5" t="inlineStr">
        <is>
          <t>S4</t>
        </is>
      </c>
      <c r="C5" s="5" t="inlineStr">
        <is>
          <t>2: Wound-boundary segmentation and calibrated area extraction</t>
        </is>
      </c>
      <c r="D5" s="5" t="inlineStr">
        <is>
          <t>Fully automatic wound segmentation with deep convolutional neural networks</t>
        </is>
      </c>
      <c r="E5" s="5" t="inlineStr">
        <is>
          <t>10.1038/s41598-020-78799-w</t>
        </is>
      </c>
      <c r="F5" s="5" t="inlineStr">
        <is>
          <t>Automated image segmentation and quantitative wound-image analysis</t>
        </is>
      </c>
      <c r="G5" s="5" t="inlineStr">
        <is>
          <t>Study count</t>
        </is>
      </c>
      <c r="H5" s="6" t="inlineStr">
        <is>
          <t>1</t>
        </is>
      </c>
      <c r="K5" s="5" t="inlineStr">
        <is>
          <t xml:space="preserve">; </t>
        </is>
      </c>
      <c r="M5" s="5" t="inlineStr">
        <is>
          <t>100.0</t>
        </is>
      </c>
      <c r="N5" s="5" t="inlineStr">
        <is>
          <t>YES</t>
        </is>
      </c>
    </row>
    <row r="6">
      <c r="A6" s="6" t="n">
        <v>277</v>
      </c>
      <c r="B6" s="5" t="inlineStr">
        <is>
          <t>S4</t>
        </is>
      </c>
      <c r="C6" s="5" t="inlineStr">
        <is>
          <t>2: Wound-boundary segmentation and calibrated area extraction</t>
        </is>
      </c>
      <c r="D6" s="5" t="inlineStr">
        <is>
          <t>Detect-and-segment: A deep learning approach to automate wound image segmentation</t>
        </is>
      </c>
      <c r="E6" s="5" t="inlineStr">
        <is>
          <t>10.1016/j.imu.2022.100884</t>
        </is>
      </c>
      <c r="F6" s="5" t="inlineStr">
        <is>
          <t>Automated image segmentation and quantitative wound-image analysis</t>
        </is>
      </c>
      <c r="G6" s="5" t="inlineStr">
        <is>
          <t>Study count</t>
        </is>
      </c>
      <c r="H6" s="6" t="inlineStr">
        <is>
          <t>1</t>
        </is>
      </c>
      <c r="K6" s="5" t="inlineStr">
        <is>
          <t xml:space="preserve">; </t>
        </is>
      </c>
      <c r="M6" s="5" t="inlineStr">
        <is>
          <t>100.0</t>
        </is>
      </c>
      <c r="N6" s="5" t="inlineStr">
        <is>
          <t>YES</t>
        </is>
      </c>
    </row>
    <row r="7">
      <c r="A7" s="6" t="n">
        <v>281</v>
      </c>
      <c r="B7" s="5" t="inlineStr">
        <is>
          <t>S4</t>
        </is>
      </c>
      <c r="C7" s="5" t="inlineStr">
        <is>
          <t>3: Tissue-level and disease-state image phenotyping</t>
        </is>
      </c>
      <c r="D7" s="5" t="inlineStr">
        <is>
          <t>Assessing Clinician Consistency in Wound Tissue Classification and the Value of AI‐Assisted Quantification: A Cross‐Sectional Study</t>
        </is>
      </c>
      <c r="F7" s="5" t="inlineStr">
        <is>
          <t>Automated image segmentation and quantitative wound-image analysis</t>
        </is>
      </c>
      <c r="G7" s="5" t="inlineStr">
        <is>
          <t>Study count</t>
        </is>
      </c>
      <c r="H7" s="6" t="inlineStr">
        <is>
          <t>1</t>
        </is>
      </c>
      <c r="K7" s="5" t="inlineStr">
        <is>
          <t xml:space="preserve">; </t>
        </is>
      </c>
      <c r="M7" s="5" t="inlineStr">
        <is>
          <t>100.0</t>
        </is>
      </c>
      <c r="N7" s="5" t="inlineStr">
        <is>
          <t>YES</t>
        </is>
      </c>
    </row>
    <row r="8">
      <c r="A8" s="6" t="n">
        <v>284</v>
      </c>
      <c r="B8" s="5" t="inlineStr">
        <is>
          <t>S4</t>
        </is>
      </c>
      <c r="C8" s="5" t="inlineStr">
        <is>
          <t>2: Wound-boundary segmentation and calibrated area extraction</t>
        </is>
      </c>
      <c r="D8" s="5" t="inlineStr">
        <is>
          <t>WSNet: towards an effective method for wound image segmentation. in Proceedings of the IEEE/CVF winter conference on applications of computer vision</t>
        </is>
      </c>
      <c r="F8" s="5" t="inlineStr">
        <is>
          <t>Automated image segmentation and quantitative wound-image analysis</t>
        </is>
      </c>
      <c r="G8" s="5" t="inlineStr">
        <is>
          <t>Study count</t>
        </is>
      </c>
      <c r="H8" s="6" t="inlineStr">
        <is>
          <t>1</t>
        </is>
      </c>
      <c r="K8" s="5" t="inlineStr">
        <is>
          <t xml:space="preserve">; </t>
        </is>
      </c>
      <c r="M8" s="5" t="inlineStr">
        <is>
          <t>100.0</t>
        </is>
      </c>
      <c r="N8" s="5" t="inlineStr">
        <is>
          <t>YES</t>
        </is>
      </c>
    </row>
    <row r="9">
      <c r="A9" s="6" t="n">
        <v>286</v>
      </c>
      <c r="B9" s="5" t="inlineStr">
        <is>
          <t>S4</t>
        </is>
      </c>
      <c r="C9" s="5" t="inlineStr">
        <is>
          <t>3: Tissue-level and disease-state image phenotyping</t>
        </is>
      </c>
      <c r="D9" s="5" t="inlineStr">
        <is>
          <t>AI-assisted assessment of wound tissue with automatic color and measurement calibration on images taken with a smartphone. in Healthcare</t>
        </is>
      </c>
      <c r="F9" s="5" t="inlineStr">
        <is>
          <t>Automated image segmentation and quantitative wound-image analysis</t>
        </is>
      </c>
      <c r="G9" s="5" t="inlineStr">
        <is>
          <t>Study count</t>
        </is>
      </c>
      <c r="H9" s="6" t="inlineStr">
        <is>
          <t>1</t>
        </is>
      </c>
      <c r="K9" s="5" t="inlineStr">
        <is>
          <t xml:space="preserve">; </t>
        </is>
      </c>
      <c r="M9" s="5" t="inlineStr">
        <is>
          <t>100.0</t>
        </is>
      </c>
      <c r="N9" s="5" t="inlineStr">
        <is>
          <t>YES</t>
        </is>
      </c>
    </row>
    <row r="10">
      <c r="A10" s="6" t="n">
        <v>287</v>
      </c>
      <c r="B10" s="5" t="inlineStr">
        <is>
          <t>S4</t>
        </is>
      </c>
      <c r="C10" s="5" t="inlineStr">
        <is>
          <t>2: Wound-boundary segmentation and calibrated area extraction</t>
        </is>
      </c>
      <c r="D10" s="5" t="inlineStr">
        <is>
          <t>FUSeg: The foot ulcer segmentation challenge</t>
        </is>
      </c>
      <c r="E10" t="inlineStr">
        <is>
          <t>10.3390/info15030140</t>
        </is>
      </c>
      <c r="F10" s="5" t="inlineStr">
        <is>
          <t>Automated image segmentation and quantitative wound-image analysis</t>
        </is>
      </c>
      <c r="G10" s="5" t="inlineStr">
        <is>
          <t>Study count</t>
        </is>
      </c>
      <c r="H10" s="6" t="inlineStr">
        <is>
          <t>1</t>
        </is>
      </c>
      <c r="K10" s="5" t="inlineStr">
        <is>
          <t xml:space="preserve">; </t>
        </is>
      </c>
      <c r="M10" s="5" t="inlineStr">
        <is>
          <t>100.0</t>
        </is>
      </c>
      <c r="N10" s="5" t="inlineStr">
        <is>
          <t>YES</t>
        </is>
      </c>
    </row>
    <row r="11">
      <c r="A11" s="6" t="n">
        <v>288</v>
      </c>
      <c r="B11" s="5" t="inlineStr">
        <is>
          <t>S4</t>
        </is>
      </c>
      <c r="C11" s="5" t="inlineStr">
        <is>
          <t>2: Wound-boundary segmentation and calibrated area extraction</t>
        </is>
      </c>
      <c r="D11" s="5" t="inlineStr">
        <is>
          <t>Analysis of training data augmentation for diabetic foot ulcer semantic segmentation</t>
        </is>
      </c>
      <c r="E11" s="5" t="n"/>
      <c r="F11" s="5" t="inlineStr">
        <is>
          <t>Automated image segmentation and quantitative wound-image analysis</t>
        </is>
      </c>
      <c r="G11" s="5" t="inlineStr">
        <is>
          <t>Study count</t>
        </is>
      </c>
      <c r="H11" s="6" t="inlineStr">
        <is>
          <t>1</t>
        </is>
      </c>
      <c r="K11" s="5" t="inlineStr">
        <is>
          <t xml:space="preserve">; </t>
        </is>
      </c>
      <c r="M11" s="5" t="inlineStr">
        <is>
          <t>100.0</t>
        </is>
      </c>
      <c r="N11" s="5" t="inlineStr">
        <is>
          <t>YES</t>
        </is>
      </c>
    </row>
    <row r="12">
      <c r="A12" s="6" t="n">
        <v>282</v>
      </c>
      <c r="B12" s="5" t="inlineStr">
        <is>
          <t>S4</t>
        </is>
      </c>
      <c r="C12" s="5" t="inlineStr">
        <is>
          <t>3: Tissue-level and disease-state image phenotyping</t>
        </is>
      </c>
      <c r="D12" s="5" t="inlineStr">
        <is>
          <t>Recognition of ischaemia and infection in diabetic foot ulcers: Dataset and techniques</t>
        </is>
      </c>
      <c r="E12" t="inlineStr">
        <is>
          <t>10.1016/j.compbiomed.2020.103616</t>
        </is>
      </c>
      <c r="F12" s="5" t="inlineStr">
        <is>
          <t>Image-based classification and detection</t>
        </is>
      </c>
      <c r="G12" s="5" t="inlineStr">
        <is>
          <t>Study count</t>
        </is>
      </c>
      <c r="H12" s="6" t="inlineStr">
        <is>
          <t>1</t>
        </is>
      </c>
      <c r="K12" s="5" t="inlineStr">
        <is>
          <t xml:space="preserve">; </t>
        </is>
      </c>
      <c r="M12" s="5" t="inlineStr">
        <is>
          <t>100.0</t>
        </is>
      </c>
      <c r="N12" s="5" t="inlineStr">
        <is>
          <t>YES</t>
        </is>
      </c>
    </row>
    <row r="13">
      <c r="A13" s="6" t="n">
        <v>283</v>
      </c>
      <c r="B13" s="5" t="inlineStr">
        <is>
          <t>S4</t>
        </is>
      </c>
      <c r="C13" s="5" t="inlineStr">
        <is>
          <t>3: Tissue-level and disease-state image phenotyping</t>
        </is>
      </c>
      <c r="D13" s="5" t="inlineStr">
        <is>
          <t>Protocol for metadata and image collection at diabetic foot ulcer clinics: enabling research in wound analytics and deep learning</t>
        </is>
      </c>
      <c r="E13" s="5" t="n"/>
      <c r="F13" s="5" t="inlineStr">
        <is>
          <t>Image-based classification and detection</t>
        </is>
      </c>
      <c r="G13" s="5" t="inlineStr">
        <is>
          <t>Study count</t>
        </is>
      </c>
      <c r="H13" s="6" t="inlineStr">
        <is>
          <t>1</t>
        </is>
      </c>
      <c r="K13" s="5" t="inlineStr">
        <is>
          <t xml:space="preserve">; </t>
        </is>
      </c>
      <c r="M13" s="5" t="inlineStr">
        <is>
          <t>100.0</t>
        </is>
      </c>
      <c r="N13" s="5" t="inlineStr">
        <is>
          <t>YES</t>
        </is>
      </c>
    </row>
    <row r="14">
      <c r="A14" s="6" t="n">
        <v>293</v>
      </c>
      <c r="B14" s="5" t="inlineStr">
        <is>
          <t>S4</t>
        </is>
      </c>
      <c r="C14" s="5" t="inlineStr">
        <is>
          <t>5: Longitudinal healing trajectory and time-to-closure prediction</t>
        </is>
      </c>
      <c r="D14" s="5" t="inlineStr">
        <is>
          <t>The use of the artificial neural network for three-month prognosis in diabetic foot syndrome</t>
        </is>
      </c>
      <c r="F14" s="5" t="inlineStr">
        <is>
          <t>Healing prediction, prognosis, and trajectory modeling</t>
        </is>
      </c>
      <c r="G14" s="5" t="inlineStr">
        <is>
          <t>Study count</t>
        </is>
      </c>
      <c r="H14" s="6" t="inlineStr">
        <is>
          <t>1</t>
        </is>
      </c>
      <c r="K14" s="5" t="inlineStr">
        <is>
          <t xml:space="preserve">; </t>
        </is>
      </c>
      <c r="M14" s="5" t="inlineStr">
        <is>
          <t>100.0</t>
        </is>
      </c>
      <c r="N14" s="5" t="inlineStr">
        <is>
          <t>YES</t>
        </is>
      </c>
    </row>
    <row r="15">
      <c r="A15" s="6" t="n">
        <v>296</v>
      </c>
      <c r="B15" s="5" t="inlineStr">
        <is>
          <t>S4</t>
        </is>
      </c>
      <c r="C15" s="5" t="inlineStr">
        <is>
          <t>5: Longitudinal healing trajectory and time-to-closure prediction</t>
        </is>
      </c>
      <c r="D15" s="5" t="inlineStr">
        <is>
          <t>Temporal machine learning framework for diabetic foot ulcer healing trajectory prediction</t>
        </is>
      </c>
      <c r="E15" t="inlineStr">
        <is>
          <t>10.1186/s12938-026-01529-2</t>
        </is>
      </c>
      <c r="F15" s="5" t="inlineStr">
        <is>
          <t>Healing prediction, prognosis, and trajectory modeling</t>
        </is>
      </c>
      <c r="G15" s="5" t="inlineStr">
        <is>
          <t>Study count</t>
        </is>
      </c>
      <c r="H15" s="6" t="inlineStr">
        <is>
          <t>1</t>
        </is>
      </c>
      <c r="K15" s="5" t="inlineStr">
        <is>
          <t xml:space="preserve">; </t>
        </is>
      </c>
      <c r="M15" s="5" t="inlineStr">
        <is>
          <t>100.0</t>
        </is>
      </c>
      <c r="N15" s="5" t="inlineStr">
        <is>
          <t>YES</t>
        </is>
      </c>
    </row>
    <row r="16">
      <c r="A16" s="6" t="n">
        <v>297</v>
      </c>
      <c r="B16" s="5" t="inlineStr">
        <is>
          <t>S4</t>
        </is>
      </c>
      <c r="C16" s="5" t="inlineStr">
        <is>
          <t>5: Longitudinal healing trajectory and time-to-closure prediction</t>
        </is>
      </c>
      <c r="D16" s="5" t="inlineStr">
        <is>
          <t>Dynamic prediction of time to wound healing at routine wound care visits</t>
        </is>
      </c>
      <c r="E16" s="5" t="inlineStr">
        <is>
          <t>10.1089/wound.2024.0069</t>
        </is>
      </c>
      <c r="F16" s="5" t="inlineStr">
        <is>
          <t>Healing prediction, prognosis, and trajectory modeling</t>
        </is>
      </c>
      <c r="G16" s="5" t="inlineStr">
        <is>
          <t>Study count</t>
        </is>
      </c>
      <c r="H16" s="6" t="inlineStr">
        <is>
          <t>1</t>
        </is>
      </c>
      <c r="K16" s="5" t="inlineStr">
        <is>
          <t xml:space="preserve">; </t>
        </is>
      </c>
      <c r="M16" s="5" t="inlineStr">
        <is>
          <t>100.0</t>
        </is>
      </c>
      <c r="N16" s="5" t="inlineStr">
        <is>
          <t>YES</t>
        </is>
      </c>
    </row>
    <row r="17">
      <c r="A17" s="6" t="n">
        <v>298</v>
      </c>
      <c r="B17" s="5" t="inlineStr">
        <is>
          <t>S4</t>
        </is>
      </c>
      <c r="C17" s="5" t="inlineStr">
        <is>
          <t>5: Longitudinal healing trajectory and time-to-closure prediction</t>
        </is>
      </c>
      <c r="D17" s="5" t="inlineStr">
        <is>
          <t>Chronic ulcers healing prediction through machine learning approaches: preliminary results on diabetic foot ulcers case study</t>
        </is>
      </c>
      <c r="E17" s="5" t="n"/>
      <c r="F17" s="5" t="inlineStr">
        <is>
          <t>Healing prediction, prognosis, and trajectory modeling</t>
        </is>
      </c>
      <c r="G17" s="5" t="inlineStr">
        <is>
          <t>Study count</t>
        </is>
      </c>
      <c r="H17" s="6" t="inlineStr">
        <is>
          <t>1</t>
        </is>
      </c>
      <c r="K17" s="5" t="inlineStr">
        <is>
          <t xml:space="preserve">; </t>
        </is>
      </c>
      <c r="M17" s="5" t="inlineStr">
        <is>
          <t>100.0</t>
        </is>
      </c>
      <c r="N17" s="5" t="inlineStr">
        <is>
          <t>YES</t>
        </is>
      </c>
    </row>
    <row r="18">
      <c r="A18" s="6" t="n">
        <v>299</v>
      </c>
      <c r="B18" s="5" t="inlineStr">
        <is>
          <t>S4</t>
        </is>
      </c>
      <c r="C18" s="5" t="inlineStr">
        <is>
          <t>5: Longitudinal healing trajectory and time-to-closure prediction</t>
        </is>
      </c>
      <c r="D18" s="5" t="inlineStr">
        <is>
          <t>Towards an AI-based objective prognostic model for quantifying wound healing</t>
        </is>
      </c>
      <c r="F18" s="5" t="inlineStr">
        <is>
          <t>Healing prediction, prognosis, and trajectory modeling</t>
        </is>
      </c>
      <c r="G18" s="5" t="inlineStr">
        <is>
          <t>Study count</t>
        </is>
      </c>
      <c r="H18" s="6" t="inlineStr">
        <is>
          <t>1</t>
        </is>
      </c>
      <c r="K18" s="5" t="inlineStr">
        <is>
          <t xml:space="preserve">; </t>
        </is>
      </c>
      <c r="M18" s="5" t="inlineStr">
        <is>
          <t>100.0</t>
        </is>
      </c>
      <c r="N18" s="5" t="inlineStr">
        <is>
          <t>YES</t>
        </is>
      </c>
    </row>
    <row r="19">
      <c r="A19" s="6" t="n">
        <v>300</v>
      </c>
      <c r="B19" s="5" t="inlineStr">
        <is>
          <t>S4</t>
        </is>
      </c>
      <c r="C19" s="5" t="inlineStr">
        <is>
          <t>5: Longitudinal healing trajectory and time-to-closure prediction</t>
        </is>
      </c>
      <c r="D19" s="5" t="inlineStr">
        <is>
          <t>Predictive modeling of chronic foot ulcer outcomes using longitudinal photoacoustic imaging</t>
        </is>
      </c>
      <c r="F19" s="5" t="inlineStr">
        <is>
          <t>Healing prediction, prognosis, and trajectory modeling</t>
        </is>
      </c>
      <c r="G19" s="5" t="inlineStr">
        <is>
          <t>Study count</t>
        </is>
      </c>
      <c r="H19" s="6" t="inlineStr">
        <is>
          <t>1</t>
        </is>
      </c>
      <c r="K19" s="5" t="inlineStr">
        <is>
          <t xml:space="preserve">; </t>
        </is>
      </c>
      <c r="M19" s="5" t="inlineStr">
        <is>
          <t>100.0</t>
        </is>
      </c>
      <c r="N19" s="5" t="inlineStr">
        <is>
          <t>YES</t>
        </is>
      </c>
    </row>
    <row r="20">
      <c r="A20" s="6" t="n">
        <v>302</v>
      </c>
      <c r="B20" s="5" t="inlineStr">
        <is>
          <t>S4</t>
        </is>
      </c>
      <c r="C20" s="5" t="inlineStr">
        <is>
          <t>6: Molecular, exudate, biofilm, and treatment-response prediction</t>
        </is>
      </c>
      <c r="D20" s="5" t="inlineStr">
        <is>
          <t>Integrated machine learning analysis of proteomic and transcriptomic data identifies healing associated targets in diabetic wound repair</t>
        </is>
      </c>
      <c r="F20" s="5" t="inlineStr">
        <is>
          <t>Healing prediction, prognosis, and trajectory modeling</t>
        </is>
      </c>
      <c r="G20" s="5" t="inlineStr">
        <is>
          <t>Study count</t>
        </is>
      </c>
      <c r="H20" s="6" t="inlineStr">
        <is>
          <t>1</t>
        </is>
      </c>
      <c r="K20" s="5" t="inlineStr">
        <is>
          <t xml:space="preserve">; </t>
        </is>
      </c>
      <c r="M20" s="5" t="inlineStr">
        <is>
          <t>100.0</t>
        </is>
      </c>
      <c r="N20" s="5" t="inlineStr">
        <is>
          <t>YES</t>
        </is>
      </c>
    </row>
    <row r="21">
      <c r="A21" s="6" t="n">
        <v>91</v>
      </c>
      <c r="B21" s="5" t="inlineStr">
        <is>
          <t>S4</t>
        </is>
      </c>
      <c r="C21" s="5" t="inlineStr">
        <is>
          <t>6: Molecular, exudate, biofilm, and treatment-response prediction</t>
        </is>
      </c>
      <c r="D21" s="5" t="inlineStr">
        <is>
          <t>Promising Biomarkers for Chronic Wound Healing: A Pilot Cohort Study on Wound Cytokines and a Novel Biofilm Detection Kit for Predicting 90‐Day Outcomes</t>
        </is>
      </c>
      <c r="E21" t="inlineStr">
        <is>
          <t>10.1111/wrr.70100</t>
        </is>
      </c>
      <c r="F21" s="5" t="inlineStr">
        <is>
          <t>Healing prediction, prognosis, and trajectory modeling</t>
        </is>
      </c>
      <c r="G21" s="5" t="inlineStr">
        <is>
          <t>Study count</t>
        </is>
      </c>
      <c r="H21" s="6" t="inlineStr">
        <is>
          <t>1</t>
        </is>
      </c>
      <c r="K21" s="5" t="inlineStr">
        <is>
          <t xml:space="preserve">; </t>
        </is>
      </c>
      <c r="M21" s="5" t="inlineStr">
        <is>
          <t>100.0</t>
        </is>
      </c>
      <c r="N21" s="5" t="inlineStr">
        <is>
          <t>YES</t>
        </is>
      </c>
    </row>
    <row r="22">
      <c r="A22" s="6" t="n">
        <v>306</v>
      </c>
      <c r="B22" s="5" t="inlineStr">
        <is>
          <t>S4</t>
        </is>
      </c>
      <c r="C22" s="5" t="inlineStr">
        <is>
          <t>6: Molecular, exudate, biofilm, and treatment-response prediction</t>
        </is>
      </c>
      <c r="D22" s="5" t="inlineStr">
        <is>
          <t>Healing profiles in patients with a chronic diabetic foot ulcer: An exploratory study with machine learning</t>
        </is>
      </c>
      <c r="E22" s="5" t="n"/>
      <c r="F22" s="5" t="inlineStr">
        <is>
          <t>Healing prediction, prognosis, and trajectory modeling</t>
        </is>
      </c>
      <c r="G22" s="5" t="inlineStr">
        <is>
          <t>Study count</t>
        </is>
      </c>
      <c r="H22" s="6" t="inlineStr">
        <is>
          <t>1</t>
        </is>
      </c>
      <c r="K22" s="5" t="inlineStr">
        <is>
          <t xml:space="preserve">; </t>
        </is>
      </c>
      <c r="M22" s="5" t="inlineStr">
        <is>
          <t>100.0</t>
        </is>
      </c>
      <c r="N22" s="5" t="inlineStr">
        <is>
          <t>YES</t>
        </is>
      </c>
    </row>
    <row r="23">
      <c r="A23" s="6" t="n">
        <v>305</v>
      </c>
      <c r="B23" s="5" t="inlineStr">
        <is>
          <t>S4</t>
        </is>
      </c>
      <c r="C23" s="5" t="inlineStr">
        <is>
          <t>6: Molecular, exudate, biofilm, and treatment-response prediction</t>
        </is>
      </c>
      <c r="D23" s="5" t="inlineStr">
        <is>
          <t>Development of an XGBoost-based prediction model for wound recurrence risk in diabetic foot ulcer patients treated with antibiotic-loaded bone cement</t>
        </is>
      </c>
      <c r="F23" s="5" t="inlineStr">
        <is>
          <t>Risk stratification for recurrence, amputation, or mortality</t>
        </is>
      </c>
      <c r="G23" s="5" t="inlineStr">
        <is>
          <t>Study count</t>
        </is>
      </c>
      <c r="H23" s="6" t="inlineStr">
        <is>
          <t>1</t>
        </is>
      </c>
      <c r="K23" s="5" t="inlineStr">
        <is>
          <t xml:space="preserve">; </t>
        </is>
      </c>
      <c r="M23" s="5" t="inlineStr">
        <is>
          <t>100.0</t>
        </is>
      </c>
      <c r="N23" s="5" t="inlineStr">
        <is>
          <t>YES</t>
        </is>
      </c>
    </row>
    <row r="24">
      <c r="A24" s="6" t="n">
        <v>307</v>
      </c>
      <c r="B24" s="5" t="inlineStr">
        <is>
          <t>S4</t>
        </is>
      </c>
      <c r="C24" s="5" t="inlineStr">
        <is>
          <t>7: Recurrence, amputation, mortality, and population-level risk stratification</t>
        </is>
      </c>
      <c r="D24" s="5" t="inlineStr">
        <is>
          <t>Personalized prediction of diabetic foot ulcer recurrence in elderly individuals using machine learning paradigms</t>
        </is>
      </c>
      <c r="E24" t="inlineStr">
        <is>
          <t>10.3233/THC-248023</t>
        </is>
      </c>
      <c r="F24" s="5" t="inlineStr">
        <is>
          <t>Risk stratification for recurrence, amputation, or mortality</t>
        </is>
      </c>
      <c r="G24" s="5" t="inlineStr">
        <is>
          <t>Study count</t>
        </is>
      </c>
      <c r="H24" s="6" t="inlineStr">
        <is>
          <t>1</t>
        </is>
      </c>
      <c r="K24" s="5" t="inlineStr">
        <is>
          <t xml:space="preserve">; </t>
        </is>
      </c>
      <c r="M24" s="5" t="inlineStr">
        <is>
          <t>100.0</t>
        </is>
      </c>
      <c r="N24" s="5" t="inlineStr">
        <is>
          <t>YES</t>
        </is>
      </c>
    </row>
    <row r="25">
      <c r="A25" s="6" t="n">
        <v>308</v>
      </c>
      <c r="B25" s="5" t="inlineStr">
        <is>
          <t>S4</t>
        </is>
      </c>
      <c r="C25" s="5" t="inlineStr">
        <is>
          <t>7: Recurrence, amputation, mortality, and population-level risk stratification</t>
        </is>
      </c>
      <c r="D25" s="5" t="inlineStr">
        <is>
          <t>Interpretable machine learning model for predicting recurrence in patients with diabetic foot ulcers</t>
        </is>
      </c>
      <c r="E25" s="5" t="n"/>
      <c r="F25" s="5" t="inlineStr">
        <is>
          <t>Risk stratification for recurrence, amputation, or mortality</t>
        </is>
      </c>
      <c r="G25" s="5" t="inlineStr">
        <is>
          <t>Study count</t>
        </is>
      </c>
      <c r="H25" s="6" t="inlineStr">
        <is>
          <t>1</t>
        </is>
      </c>
      <c r="K25" s="5" t="inlineStr">
        <is>
          <t xml:space="preserve">; </t>
        </is>
      </c>
      <c r="M25" s="5" t="inlineStr">
        <is>
          <t>100.0</t>
        </is>
      </c>
      <c r="N25" s="5" t="inlineStr">
        <is>
          <t>YES</t>
        </is>
      </c>
    </row>
    <row r="26">
      <c r="A26" s="6" t="n">
        <v>310</v>
      </c>
      <c r="B26" s="5" t="inlineStr">
        <is>
          <t>S4</t>
        </is>
      </c>
      <c r="C26" s="5" t="inlineStr">
        <is>
          <t>7: Recurrence, amputation, mortality, and population-level risk stratification</t>
        </is>
      </c>
      <c r="D26" s="5" t="inlineStr">
        <is>
          <t>Toward machine-learning-based decision support in diabetes care: A risk stratification study on diabetic foot ulcer and amputation</t>
        </is>
      </c>
      <c r="E26" t="inlineStr">
        <is>
          <t>10.3389/fmed.2020.601602</t>
        </is>
      </c>
      <c r="F26" s="5" t="inlineStr">
        <is>
          <t>Risk stratification for recurrence, amputation, or mortality</t>
        </is>
      </c>
      <c r="G26" s="5" t="inlineStr">
        <is>
          <t>Study count</t>
        </is>
      </c>
      <c r="H26" s="6" t="inlineStr">
        <is>
          <t>1</t>
        </is>
      </c>
      <c r="K26" s="5" t="inlineStr">
        <is>
          <t xml:space="preserve">; </t>
        </is>
      </c>
      <c r="M26" s="5" t="inlineStr">
        <is>
          <t>100.0</t>
        </is>
      </c>
      <c r="N26" s="5" t="inlineStr">
        <is>
          <t>YES</t>
        </is>
      </c>
    </row>
    <row r="27">
      <c r="A27" s="6" t="n">
        <v>311</v>
      </c>
      <c r="B27" s="5" t="inlineStr">
        <is>
          <t>S4</t>
        </is>
      </c>
      <c r="C27" s="5" t="inlineStr">
        <is>
          <t>7: Recurrence, amputation, mortality, and population-level risk stratification</t>
        </is>
      </c>
      <c r="D27" s="5" t="inlineStr">
        <is>
          <t>Survival prediction in diabetic foot ulcers: a machine learning approach</t>
        </is>
      </c>
      <c r="E27" s="5" t="inlineStr">
        <is>
          <t>10.3390/jcm12185816</t>
        </is>
      </c>
      <c r="F27" s="5" t="inlineStr">
        <is>
          <t>Risk stratification for recurrence, amputation, or mortality</t>
        </is>
      </c>
      <c r="G27" s="5" t="inlineStr">
        <is>
          <t>Study count</t>
        </is>
      </c>
      <c r="H27" s="6" t="inlineStr">
        <is>
          <t>1</t>
        </is>
      </c>
      <c r="K27" s="5" t="inlineStr">
        <is>
          <t xml:space="preserve">; </t>
        </is>
      </c>
      <c r="M27" s="5" t="inlineStr">
        <is>
          <t>100.0</t>
        </is>
      </c>
      <c r="N27" s="5" t="inlineStr">
        <is>
          <t>YES</t>
        </is>
      </c>
    </row>
    <row r="28">
      <c r="A28" s="6" t="n">
        <v>312</v>
      </c>
      <c r="B28" s="5" t="inlineStr">
        <is>
          <t>S4</t>
        </is>
      </c>
      <c r="C28" s="5" t="inlineStr">
        <is>
          <t>7: Recurrence, amputation, mortality, and population-level risk stratification</t>
        </is>
      </c>
      <c r="D28" s="5" t="inlineStr">
        <is>
          <t>An interpreting machine learning models to predict amputation risk in patients with diabetic foot ulcers: a multi-center study</t>
        </is>
      </c>
      <c r="E28" s="5" t="n"/>
      <c r="F28" s="5" t="inlineStr">
        <is>
          <t>Risk stratification for recurrence, amputation, or mortality</t>
        </is>
      </c>
      <c r="G28" s="5" t="inlineStr">
        <is>
          <t>Study count</t>
        </is>
      </c>
      <c r="H28" s="6" t="inlineStr">
        <is>
          <t>1</t>
        </is>
      </c>
      <c r="K28" s="5" t="inlineStr">
        <is>
          <t xml:space="preserve">; </t>
        </is>
      </c>
      <c r="M28" s="5" t="inlineStr">
        <is>
          <t>100.0</t>
        </is>
      </c>
      <c r="N28" s="5" t="inlineStr">
        <is>
          <t>YES</t>
        </is>
      </c>
    </row>
    <row r="29">
      <c r="A29" s="6" t="n">
        <v>330</v>
      </c>
      <c r="B29" s="5" t="inlineStr">
        <is>
          <t>S4</t>
        </is>
      </c>
      <c r="C29" s="5" t="inlineStr">
        <is>
          <t>9: Release-kinetic and exposure-duration optimization</t>
        </is>
      </c>
      <c r="D29" s="5" t="inlineStr">
        <is>
          <t>Automated active learning to optimize hydrogel drug release profiles</t>
        </is>
      </c>
      <c r="E29" t="inlineStr">
        <is>
          <t>10.1016/j.jconrel.2026.114602</t>
        </is>
      </c>
      <c r="F29" s="5" t="inlineStr">
        <is>
          <t>Biomaterial design and formulation optimization</t>
        </is>
      </c>
      <c r="G29" s="5" t="inlineStr">
        <is>
          <t>Study count</t>
        </is>
      </c>
      <c r="H29" s="6" t="inlineStr">
        <is>
          <t>1</t>
        </is>
      </c>
      <c r="K29" s="5" t="inlineStr">
        <is>
          <t xml:space="preserve">; </t>
        </is>
      </c>
      <c r="M29" s="5" t="inlineStr">
        <is>
          <t>100.0</t>
        </is>
      </c>
      <c r="N29" s="5" t="inlineStr">
        <is>
          <t>YES</t>
        </is>
      </c>
    </row>
    <row r="30">
      <c r="A30" s="6" t="n">
        <v>342</v>
      </c>
      <c r="B30" s="5" t="inlineStr">
        <is>
          <t>S4</t>
        </is>
      </c>
      <c r="C30" s="5" t="inlineStr">
        <is>
          <t>12: AI-enabled wound-state sensing and classification</t>
        </is>
      </c>
      <c r="D30" s="5" t="inlineStr">
        <is>
          <t>Battery-free and AI-enabled multiplexed sensor patches for wound monitoring</t>
        </is>
      </c>
      <c r="E30" s="5" t="inlineStr">
        <is>
          <t>10.1126/sciadv.adg6670</t>
        </is>
      </c>
      <c r="F30" s="5" t="inlineStr">
        <is>
          <t>AI-enabled wound-status sensing and classification</t>
        </is>
      </c>
      <c r="G30" s="5" t="inlineStr">
        <is>
          <t>Study count</t>
        </is>
      </c>
      <c r="H30" s="6" t="inlineStr">
        <is>
          <t>1</t>
        </is>
      </c>
      <c r="K30" s="5" t="inlineStr">
        <is>
          <t xml:space="preserve">; </t>
        </is>
      </c>
      <c r="M30" s="5" t="inlineStr">
        <is>
          <t>100.0</t>
        </is>
      </c>
      <c r="N30" s="5" t="inlineStr">
        <is>
          <t>YES</t>
        </is>
      </c>
    </row>
    <row r="31">
      <c r="A31" s="6" t="n">
        <v>102</v>
      </c>
      <c r="B31" s="5" t="inlineStr">
        <is>
          <t>S4</t>
        </is>
      </c>
      <c r="C31" s="5" t="inlineStr">
        <is>
          <t>12: AI-enabled wound-state sensing and classification</t>
        </is>
      </c>
      <c r="D31" s="5" t="inlineStr">
        <is>
          <t>Multifunctional hydrogel as wound dressing for intelligent wound monitoring</t>
        </is>
      </c>
      <c r="E31" s="5" t="inlineStr">
        <is>
          <t>10.1016/j.cej.2022.134625</t>
        </is>
      </c>
      <c r="F31" s="5" t="inlineStr">
        <is>
          <t>AI-enabled wound-status sensing and classification</t>
        </is>
      </c>
      <c r="G31" s="5" t="inlineStr">
        <is>
          <t>Study count</t>
        </is>
      </c>
      <c r="H31" s="6" t="inlineStr">
        <is>
          <t>1</t>
        </is>
      </c>
      <c r="K31" s="5" t="inlineStr">
        <is>
          <t xml:space="preserve">; </t>
        </is>
      </c>
      <c r="M31" s="5" t="inlineStr">
        <is>
          <t>100.0</t>
        </is>
      </c>
      <c r="N31" s="5" t="inlineStr">
        <is>
          <t>YES</t>
        </is>
      </c>
    </row>
    <row r="32">
      <c r="A32" s="6" t="n">
        <v>340</v>
      </c>
      <c r="B32" s="5" t="inlineStr">
        <is>
          <t>S4</t>
        </is>
      </c>
      <c r="C32" s="5" t="inlineStr">
        <is>
          <t>13: Feedback-capable smart dressings with sensing and controlled release</t>
        </is>
      </c>
      <c r="D32" s="5" t="inlineStr">
        <is>
          <t>Battery‐free and wireless smart wound dressing for wound infection monitoring and electrically controlled on‐demand drug delivery</t>
        </is>
      </c>
      <c r="E32" s="5" t="n"/>
      <c r="F32" s="5" t="inlineStr">
        <is>
          <t>AI-ready smart sensing and closed-loop therapeutic platforms</t>
        </is>
      </c>
      <c r="G32" s="5" t="inlineStr">
        <is>
          <t>Study count</t>
        </is>
      </c>
      <c r="H32" s="6" t="inlineStr">
        <is>
          <t>1</t>
        </is>
      </c>
      <c r="K32" s="5" t="inlineStr">
        <is>
          <t xml:space="preserve">; </t>
        </is>
      </c>
      <c r="M32" s="5" t="inlineStr">
        <is>
          <t>100.0</t>
        </is>
      </c>
      <c r="N32" s="5" t="inlineStr">
        <is>
          <t>YES</t>
        </is>
      </c>
    </row>
    <row r="33">
      <c r="A33" s="6" t="n">
        <v>341</v>
      </c>
      <c r="B33" s="5" t="inlineStr">
        <is>
          <t>S4</t>
        </is>
      </c>
      <c r="C33" s="5" t="inlineStr">
        <is>
          <t>13: Feedback-capable smart dressings with sensing and controlled release</t>
        </is>
      </c>
      <c r="D33" s="5" t="inlineStr">
        <is>
          <t>A closed-loop smart dressing based on microneedle and electrochemical micropump for early diagnosis and in-time therapy of chronic wound</t>
        </is>
      </c>
      <c r="F33" s="5" t="inlineStr">
        <is>
          <t>AI-ready smart sensing and closed-loop therapeutic platforms</t>
        </is>
      </c>
      <c r="G33" s="5" t="inlineStr">
        <is>
          <t>Study count</t>
        </is>
      </c>
      <c r="H33" s="6" t="inlineStr">
        <is>
          <t>1</t>
        </is>
      </c>
      <c r="K33" s="5" t="inlineStr">
        <is>
          <t xml:space="preserve">; </t>
        </is>
      </c>
      <c r="M33" s="5" t="inlineStr">
        <is>
          <t>100.0</t>
        </is>
      </c>
      <c r="N33" s="5" t="inlineStr">
        <is>
          <t>YES</t>
        </is>
      </c>
    </row>
    <row r="34">
      <c r="A34" s="6" t="n">
        <v>343</v>
      </c>
      <c r="B34" s="5" t="inlineStr">
        <is>
          <t>S4</t>
        </is>
      </c>
      <c r="C34" s="5" t="inlineStr">
        <is>
          <t>13: Feedback-capable smart dressings with sensing and controlled release</t>
        </is>
      </c>
      <c r="D34" s="5" t="inlineStr">
        <is>
          <t>Wireless and closed‐loop smart dressing for exudate management and on‐demand treatment of chronic wounds</t>
        </is>
      </c>
      <c r="F34" s="5" t="inlineStr">
        <is>
          <t>AI-ready smart sensing and closed-loop therapeutic platforms</t>
        </is>
      </c>
      <c r="G34" s="5" t="inlineStr">
        <is>
          <t>Study count</t>
        </is>
      </c>
      <c r="H34" s="6" t="inlineStr">
        <is>
          <t>1</t>
        </is>
      </c>
      <c r="K34" s="5" t="inlineStr">
        <is>
          <t xml:space="preserve">; </t>
        </is>
      </c>
      <c r="M34" s="5" t="inlineStr">
        <is>
          <t>100.0</t>
        </is>
      </c>
      <c r="N34" s="5" t="inlineStr">
        <is>
          <t>YES</t>
        </is>
      </c>
    </row>
    <row r="35">
      <c r="A35" s="6" t="n">
        <v>344</v>
      </c>
      <c r="B35" s="5" t="inlineStr">
        <is>
          <t>S4</t>
        </is>
      </c>
      <c r="C35" s="5" t="inlineStr">
        <is>
          <t>13: Feedback-capable smart dressings with sensing and controlled release</t>
        </is>
      </c>
      <c r="D35" s="5" t="inlineStr">
        <is>
          <t>A conducting polymer-based array with multiplex sensing and drug delivery capabilities for smart bandages</t>
        </is>
      </c>
      <c r="F35" s="5" t="inlineStr">
        <is>
          <t>AI-ready smart sensing and closed-loop therapeutic platforms</t>
        </is>
      </c>
      <c r="G35" s="5" t="inlineStr">
        <is>
          <t>Study count</t>
        </is>
      </c>
      <c r="H35" s="6" t="inlineStr">
        <is>
          <t>1</t>
        </is>
      </c>
      <c r="K35" s="5" t="inlineStr">
        <is>
          <t xml:space="preserve">; </t>
        </is>
      </c>
      <c r="M35" s="5" t="inlineStr">
        <is>
          <t>100.0</t>
        </is>
      </c>
      <c r="N35" s="5" t="inlineStr">
        <is>
          <t>YES</t>
        </is>
      </c>
    </row>
    <row r="36">
      <c r="A36" s="6" t="n">
        <v>345</v>
      </c>
      <c r="B36" s="5" t="inlineStr">
        <is>
          <t>S4</t>
        </is>
      </c>
      <c r="C36" s="5" t="inlineStr">
        <is>
          <t>13: Feedback-capable smart dressings with sensing and controlled release</t>
        </is>
      </c>
      <c r="D36" s="5" t="inlineStr">
        <is>
          <t>Wireless matrix metalloproteinase-9 sensing by smart wound dressing with controlled antibacterial nanoparticles release toward chronic wound management</t>
        </is>
      </c>
      <c r="E36" t="inlineStr">
        <is>
          <t>10.1016/j.bios.2024.116860</t>
        </is>
      </c>
      <c r="F36" s="5" t="inlineStr">
        <is>
          <t>AI-ready smart sensing and closed-loop therapeutic platforms</t>
        </is>
      </c>
      <c r="G36" s="5" t="inlineStr">
        <is>
          <t>Study count</t>
        </is>
      </c>
      <c r="H36" s="6" t="inlineStr">
        <is>
          <t>1</t>
        </is>
      </c>
      <c r="K36" s="5" t="inlineStr">
        <is>
          <t xml:space="preserve">; </t>
        </is>
      </c>
      <c r="M36" s="5" t="inlineStr">
        <is>
          <t>100.0</t>
        </is>
      </c>
      <c r="N36" s="5" t="inlineStr">
        <is>
          <t>YES</t>
        </is>
      </c>
    </row>
    <row r="37">
      <c r="A37" s="6" t="n">
        <v>351</v>
      </c>
      <c r="B37" s="5" t="inlineStr">
        <is>
          <t>S4</t>
        </is>
      </c>
      <c r="C37" s="5" t="inlineStr">
        <is>
          <t>13: Feedback-capable smart dressings with sensing and controlled release</t>
        </is>
      </c>
      <c r="D37" s="5" t="inlineStr">
        <is>
          <t>Smart flexible electronics‐integrated wound dressing for real‐time monitoring and on‐demand treatment of infected wounds</t>
        </is>
      </c>
      <c r="E37" s="5" t="inlineStr">
        <is>
          <t>10.1002/advs.201902673</t>
        </is>
      </c>
      <c r="F37" s="5" t="inlineStr">
        <is>
          <t>AI-ready smart sensing and closed-loop therapeutic platforms</t>
        </is>
      </c>
      <c r="G37" s="5" t="inlineStr">
        <is>
          <t>Study count</t>
        </is>
      </c>
      <c r="H37" s="6" t="inlineStr">
        <is>
          <t>1</t>
        </is>
      </c>
      <c r="K37" s="5" t="inlineStr">
        <is>
          <t xml:space="preserve">; </t>
        </is>
      </c>
      <c r="M37" s="5" t="inlineStr">
        <is>
          <t>100.0</t>
        </is>
      </c>
      <c r="N37" s="5" t="inlineStr">
        <is>
          <t>YES</t>
        </is>
      </c>
    </row>
    <row r="38">
      <c r="A38" s="6" t="n">
        <v>352</v>
      </c>
      <c r="B38" s="5" t="inlineStr">
        <is>
          <t>S4</t>
        </is>
      </c>
      <c r="C38" s="5" t="inlineStr">
        <is>
          <t>13: Feedback-capable smart dressings with sensing and controlled release</t>
        </is>
      </c>
      <c r="D38" s="5" t="inlineStr">
        <is>
          <t>A highly stretchable smart dressing for wound infection monitoring and treatment</t>
        </is>
      </c>
      <c r="E38" s="5" t="n"/>
      <c r="F38" s="5" t="inlineStr">
        <is>
          <t>AI-ready smart sensing and closed-loop therapeutic platforms</t>
        </is>
      </c>
      <c r="G38" s="5" t="inlineStr">
        <is>
          <t>Study count</t>
        </is>
      </c>
      <c r="H38" s="6" t="inlineStr">
        <is>
          <t>1</t>
        </is>
      </c>
      <c r="K38" s="5" t="inlineStr">
        <is>
          <t xml:space="preserve">; </t>
        </is>
      </c>
      <c r="M38" s="5" t="inlineStr">
        <is>
          <t>100.0</t>
        </is>
      </c>
      <c r="N38" s="5" t="inlineStr">
        <is>
          <t>YES</t>
        </is>
      </c>
    </row>
    <row r="39">
      <c r="A39" s="6" t="n">
        <v>346</v>
      </c>
      <c r="B39" s="5" t="inlineStr">
        <is>
          <t>S4</t>
        </is>
      </c>
      <c r="C39" s="5" t="inlineStr">
        <is>
          <t>14: Wound-cue-mediated adaptive release and integrated therapeutic feedback</t>
        </is>
      </c>
      <c r="D39" s="5" t="inlineStr">
        <is>
          <t>Closed‐Loop Responsive Smart Bandages for Dynamic Monitoring and Self‐Regulated Antibacterial Therapy in Wound Healing</t>
        </is>
      </c>
      <c r="F39" s="5" t="inlineStr">
        <is>
          <t>AI-ready smart sensing and closed-loop therapeutic platforms</t>
        </is>
      </c>
      <c r="G39" s="5" t="inlineStr">
        <is>
          <t>Study count</t>
        </is>
      </c>
      <c r="H39" s="6" t="inlineStr">
        <is>
          <t>1</t>
        </is>
      </c>
      <c r="K39" s="5" t="inlineStr">
        <is>
          <t xml:space="preserve">; </t>
        </is>
      </c>
      <c r="M39" s="5" t="inlineStr">
        <is>
          <t>100.0</t>
        </is>
      </c>
      <c r="N39" s="5" t="inlineStr">
        <is>
          <t>YES</t>
        </is>
      </c>
    </row>
    <row r="40">
      <c r="A40" s="6" t="n">
        <v>347</v>
      </c>
      <c r="B40" s="5" t="inlineStr">
        <is>
          <t>S4</t>
        </is>
      </c>
      <c r="C40" s="5" t="inlineStr">
        <is>
          <t>14: Wound-cue-mediated adaptive release and integrated therapeutic feedback</t>
        </is>
      </c>
      <c r="D40" s="5" t="inlineStr">
        <is>
          <t>A closed-loop patch based on bioinspired infection sensor for wound management</t>
        </is>
      </c>
      <c r="E40" t="inlineStr">
        <is>
          <t>10.1016/j.nantod.2024.102400</t>
        </is>
      </c>
      <c r="F40" s="5" t="inlineStr">
        <is>
          <t>AI-ready smart sensing and closed-loop therapeutic platforms</t>
        </is>
      </c>
      <c r="G40" s="5" t="inlineStr">
        <is>
          <t>Study count</t>
        </is>
      </c>
      <c r="H40" s="6" t="inlineStr">
        <is>
          <t>1</t>
        </is>
      </c>
      <c r="K40" s="5" t="inlineStr">
        <is>
          <t xml:space="preserve">; </t>
        </is>
      </c>
      <c r="M40" s="5" t="inlineStr">
        <is>
          <t>100.0</t>
        </is>
      </c>
      <c r="N40" s="5" t="inlineStr">
        <is>
          <t>YES</t>
        </is>
      </c>
    </row>
    <row r="41">
      <c r="A41" s="6" t="n">
        <v>348</v>
      </c>
      <c r="B41" s="5" t="inlineStr">
        <is>
          <t>S4</t>
        </is>
      </c>
      <c r="C41" s="5" t="inlineStr">
        <is>
          <t>14: Wound-cue-mediated adaptive release and integrated therapeutic feedback</t>
        </is>
      </c>
      <c r="D41" s="5" t="inlineStr">
        <is>
          <t>Injectable hydrogels with integrated Ph probes and ultrasound‐responsive microcapsules as smart wound dressings for visual monitoring and on‐demand treatment of chronic wounds</t>
        </is>
      </c>
      <c r="E41" s="5" t="n"/>
      <c r="F41" s="5" t="inlineStr">
        <is>
          <t>AI-ready smart sensing and closed-loop therapeutic platforms</t>
        </is>
      </c>
      <c r="G41" s="5" t="inlineStr">
        <is>
          <t>Study count</t>
        </is>
      </c>
      <c r="H41" s="6" t="inlineStr">
        <is>
          <t>1</t>
        </is>
      </c>
      <c r="K41" s="5" t="inlineStr">
        <is>
          <t xml:space="preserve">; </t>
        </is>
      </c>
      <c r="M41" s="5" t="inlineStr">
        <is>
          <t>100.0</t>
        </is>
      </c>
      <c r="N41" s="5" t="inlineStr">
        <is>
          <t>YES</t>
        </is>
      </c>
    </row>
    <row r="42">
      <c r="A42" s="6" t="n">
        <v>349</v>
      </c>
      <c r="B42" s="5" t="inlineStr">
        <is>
          <t>S4</t>
        </is>
      </c>
      <c r="C42" s="5" t="inlineStr">
        <is>
          <t>14: Wound-cue-mediated adaptive release and integrated therapeutic feedback</t>
        </is>
      </c>
      <c r="D42" s="5" t="inlineStr">
        <is>
          <t>A skin-interfaced three-dimensional closed-loop sensing and therapeutic electronic wound bandage</t>
        </is>
      </c>
      <c r="E42" t="inlineStr">
        <is>
          <t>10.1038/s41467-025-61261-8</t>
        </is>
      </c>
      <c r="F42" s="5" t="inlineStr">
        <is>
          <t>AI-ready smart sensing and closed-loop therapeutic platforms</t>
        </is>
      </c>
      <c r="G42" s="5" t="inlineStr">
        <is>
          <t>Study count</t>
        </is>
      </c>
      <c r="H42" s="6" t="inlineStr">
        <is>
          <t>1</t>
        </is>
      </c>
      <c r="K42" s="5" t="inlineStr">
        <is>
          <t xml:space="preserve">; </t>
        </is>
      </c>
      <c r="M42" s="5" t="inlineStr">
        <is>
          <t>100.0</t>
        </is>
      </c>
      <c r="N42" s="5" t="inlineStr">
        <is>
          <t>YES</t>
        </is>
      </c>
    </row>
    <row r="43">
      <c r="A43" s="6" t="n">
        <v>353</v>
      </c>
      <c r="B43" s="5" t="inlineStr">
        <is>
          <t>S4</t>
        </is>
      </c>
      <c r="C43" s="5" t="inlineStr">
        <is>
          <t>14: Wound-cue-mediated adaptive release and integrated therapeutic feedback</t>
        </is>
      </c>
      <c r="D43" s="5" t="inlineStr">
        <is>
          <t>Wearable, battery-free, and wireless microneedle-based bioelectronics for robustly-integrated chronic wound management and therapeutic diagnosis</t>
        </is>
      </c>
      <c r="E43" s="5" t="n"/>
      <c r="F43" s="5" t="inlineStr">
        <is>
          <t>AI-ready smart sensing and closed-loop therapeutic platforms</t>
        </is>
      </c>
      <c r="G43" s="5" t="inlineStr">
        <is>
          <t>Study count</t>
        </is>
      </c>
      <c r="H43" s="6" t="inlineStr">
        <is>
          <t>1</t>
        </is>
      </c>
      <c r="K43" s="5" t="inlineStr">
        <is>
          <t xml:space="preserve">; </t>
        </is>
      </c>
      <c r="M43" s="5" t="inlineStr">
        <is>
          <t>100.0</t>
        </is>
      </c>
      <c r="N43" s="5" t="inlineStr">
        <is>
          <t>YES</t>
        </is>
      </c>
    </row>
    <row r="44">
      <c r="A44" s="6" t="n">
        <v>295</v>
      </c>
      <c r="B44" s="5" t="inlineStr">
        <is>
          <t>S4</t>
        </is>
      </c>
      <c r="C44" s="5" t="inlineStr">
        <is>
          <t>5: Longitudinal healing trajectory and time-to-closure prediction</t>
        </is>
      </c>
      <c r="D44" s="5" t="inlineStr">
        <is>
          <t>Machine learning models for predicting the risk of hard-to-heal diabetic foot ulcers in a Chinese population</t>
        </is>
      </c>
      <c r="E44" t="inlineStr">
        <is>
          <t>10.2147/DMSO.S383960</t>
        </is>
      </c>
      <c r="F44" s="5" t="inlineStr">
        <is>
          <t>Healing prediction, prognosis, and trajectory modeling</t>
        </is>
      </c>
      <c r="G44" s="5" t="inlineStr">
        <is>
          <t>Study count</t>
        </is>
      </c>
      <c r="H44" s="6" t="inlineStr">
        <is>
          <t>1</t>
        </is>
      </c>
      <c r="K44" s="5" t="inlineStr">
        <is>
          <t xml:space="preserve">; </t>
        </is>
      </c>
      <c r="M44" s="5" t="inlineStr">
        <is>
          <t>100.0</t>
        </is>
      </c>
      <c r="N44" s="5" t="inlineStr">
        <is>
          <t>YES</t>
        </is>
      </c>
    </row>
    <row r="45">
      <c r="A45" s="6" t="n">
        <v>321</v>
      </c>
      <c r="B45" s="5" t="inlineStr">
        <is>
          <t>S4</t>
        </is>
      </c>
      <c r="C45" s="5" t="inlineStr">
        <is>
          <t>10: Biologically constrained formulation optimization</t>
        </is>
      </c>
      <c r="D45" s="5" t="inlineStr">
        <is>
          <t>Machine learning-driven optimization of therapeutic substance composition for high-hardness, fast-dissolving microneedles for androgenetic alopecia treatment</t>
        </is>
      </c>
      <c r="E45" s="5" t="inlineStr">
        <is>
          <t>10.1021/acsnano.5c05505</t>
        </is>
      </c>
      <c r="F45" s="5" t="inlineStr">
        <is>
          <t>Biomaterial design and formulation optimization</t>
        </is>
      </c>
      <c r="G45" s="5" t="inlineStr">
        <is>
          <t>Study count</t>
        </is>
      </c>
      <c r="H45" s="6" t="inlineStr">
        <is>
          <t>1</t>
        </is>
      </c>
      <c r="K45" s="5" t="inlineStr">
        <is>
          <t xml:space="preserve">; </t>
        </is>
      </c>
      <c r="M45" s="5" t="inlineStr">
        <is>
          <t>100.0</t>
        </is>
      </c>
      <c r="N45" s="5" t="inlineStr">
        <is>
          <t>YES</t>
        </is>
      </c>
    </row>
    <row r="46">
      <c r="A46" s="6" t="n">
        <v>331</v>
      </c>
      <c r="B46" s="5" t="inlineStr">
        <is>
          <t>S4</t>
        </is>
      </c>
      <c r="C46" s="5" t="inlineStr">
        <is>
          <t>9: Release-kinetic and exposure-duration optimization</t>
        </is>
      </c>
      <c r="D46" s="5" t="inlineStr">
        <is>
          <t>A hybrid machine learning framework for predicting drug-release profiles, kinetics, and mechanisms of temperature-responsive hydrogels</t>
        </is>
      </c>
      <c r="E46" s="5" t="inlineStr">
        <is>
          <t>10.1007/s00289-025-05645-2</t>
        </is>
      </c>
      <c r="F46" s="5" t="inlineStr">
        <is>
          <t>Biomaterial design and formulation optimization</t>
        </is>
      </c>
      <c r="G46" s="5" t="inlineStr">
        <is>
          <t>Study count</t>
        </is>
      </c>
      <c r="H46" s="6" t="inlineStr">
        <is>
          <t>1</t>
        </is>
      </c>
      <c r="K46" s="5" t="inlineStr">
        <is>
          <t xml:space="preserve">; </t>
        </is>
      </c>
      <c r="M46" s="5" t="inlineStr">
        <is>
          <t>100.0</t>
        </is>
      </c>
      <c r="N46" s="5" t="inlineStr">
        <is>
          <t>YES</t>
        </is>
      </c>
    </row>
  </sheetData>
  <autoFilter ref="A1:N47"/>
  <pageMargins left="0.7" right="0.7" top="0.75" bottom="0.75" header="0.3" footer="0.3"/>
</worksheet>
</file>

<file path=xl/worksheets/sheet21.xml><?xml version="1.0" encoding="utf-8"?>
<worksheet xmlns="http://schemas.openxmlformats.org/spreadsheetml/2006/main">
  <sheetPr>
    <tabColor rgb="FF23678D"/>
    <outlinePr summaryBelow="1" summaryRight="1"/>
    <pageSetUpPr/>
  </sheetPr>
  <dimension ref="A1:B8"/>
  <sheetViews>
    <sheetView showGridLines="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56.7109375" customWidth="1" min="1" max="1"/>
    <col width="19.7109375" customWidth="1" min="2" max="2"/>
  </cols>
  <sheetData>
    <row r="1" ht="75" customHeight="1">
      <c r="A1" s="2" t="inlineStr">
        <is>
          <t>Coded domain/category</t>
        </is>
      </c>
      <c r="B1" s="2" t="inlineStr">
        <is>
          <t>Study count</t>
        </is>
      </c>
    </row>
    <row r="2">
      <c r="A2" s="5" t="inlineStr">
        <is>
          <t>Automated image segmentation and quantitative wound-image analysis</t>
        </is>
      </c>
      <c r="B2" s="7" t="n">
        <f>COUNTIFS('Code_S08'!$F$2:$F$46,SUBSTITUTE($A2,CHAR(10)," "),'Code_S08'!$H$2:$H$46,1)</f>
        <v>10</v>
      </c>
    </row>
    <row r="3">
      <c r="A3" s="5" t="inlineStr">
        <is>
          <t>Image-based classification and detection</t>
        </is>
      </c>
      <c r="B3" s="7" t="n">
        <f>COUNTIFS('Code_S08'!$F$2:$F$46,SUBSTITUTE($A3,CHAR(10)," "),'Code_S08'!$H$2:$H$46,1)</f>
        <v>2</v>
      </c>
    </row>
    <row r="4">
      <c r="A4" s="5" t="inlineStr">
        <is>
          <t>Healing prediction, prognosis, and trajectory modeling</t>
        </is>
      </c>
      <c r="B4" s="7" t="n">
        <f>COUNTIFS('Code_S08'!$F$2:$F$46,SUBSTITUTE($A4,CHAR(10)," "),'Code_S08'!$H$2:$H$46,1)</f>
        <v>10</v>
      </c>
    </row>
    <row r="5">
      <c r="A5" s="5" t="inlineStr">
        <is>
          <t>Risk stratification for recurrence, amputation, or mortality</t>
        </is>
      </c>
      <c r="B5" s="7" t="n">
        <f>COUNTIFS('Code_S08'!$F$2:$F$46,SUBSTITUTE($A5,CHAR(10)," "),'Code_S08'!$H$2:$H$46,1)</f>
        <v>6</v>
      </c>
    </row>
    <row r="6">
      <c r="A6" s="5" t="inlineStr">
        <is>
          <t>Biomaterial design and formulation optimization</t>
        </is>
      </c>
      <c r="B6" s="7" t="n">
        <f>COUNTIFS('Code_S08'!$F$2:$F$46,SUBSTITUTE($A6,CHAR(10)," "),'Code_S08'!$H$2:$H$46,1)</f>
        <v>3</v>
      </c>
    </row>
    <row r="7">
      <c r="A7" s="5" t="inlineStr">
        <is>
          <t>AI-enabled wound-status sensing and classification</t>
        </is>
      </c>
      <c r="B7" s="7" t="n">
        <f>COUNTIFS('Code_S08'!$F$2:$F$46,SUBSTITUTE($A7,CHAR(10)," "),'Code_S08'!$H$2:$H$46,1)</f>
        <v>2</v>
      </c>
    </row>
    <row r="8">
      <c r="A8" s="5" t="inlineStr">
        <is>
          <t>AI-ready smart sensing and closed-loop therapeutic platforms</t>
        </is>
      </c>
      <c r="B8" s="7" t="n">
        <f>COUNTIFS('Code_S08'!$F$2:$F$46,SUBSTITUTE($A8,CHAR(10)," "),'Code_S08'!$H$2:$H$46,1)</f>
        <v>12</v>
      </c>
    </row>
  </sheetData>
  <pageMargins left="0.7" right="0.7" top="0.75" bottom="0.75" header="0.3" footer="0.3"/>
</worksheet>
</file>

<file path=xl/worksheets/sheet22.xml><?xml version="1.0" encoding="utf-8"?>
<worksheet xmlns="http://schemas.openxmlformats.org/spreadsheetml/2006/main">
  <sheetPr>
    <tabColor rgb="FF2B8C83"/>
    <outlinePr summaryBelow="1" summaryRight="1"/>
    <pageSetUpPr/>
  </sheetPr>
  <dimension ref="A1:N74"/>
  <sheetViews>
    <sheetView showGridLines="0" workbookViewId="0">
      <pane xSplit="3" ySplit="1" topLeftCell="D2" activePane="bottomRight" state="frozen"/>
      <selection pane="topRight" activeCell="D1" sqref="D1"/>
      <selection pane="bottomLeft" activeCell="A2" sqref="A2"/>
      <selection pane="bottomRight" activeCell="A1" sqref="A1"/>
    </sheetView>
  </sheetViews>
  <sheetFormatPr baseColWidth="8" defaultRowHeight="15"/>
  <cols>
    <col width="14.7109375" customWidth="1" min="1" max="1"/>
    <col width="15.7109375" customWidth="1" min="2" max="2"/>
    <col width="50.7109375" customWidth="1" min="3" max="3"/>
    <col width="65.7109375" customWidth="1" min="4" max="4"/>
    <col width="25.7109375" customWidth="1" min="5" max="5"/>
    <col width="60.7109375" customWidth="1" min="6" max="6"/>
    <col width="43.7109375" customWidth="1" min="7" max="7"/>
    <col width="15.7109375" customWidth="1" min="8" max="8"/>
    <col width="17.7109375" customWidth="1" min="9" max="10"/>
    <col width="58.7109375" customWidth="1" min="11" max="11"/>
    <col width="57.7109375" customWidth="1" min="12" max="12"/>
    <col width="22.7109375" customWidth="1" min="13" max="13"/>
    <col width="20.7109375" customWidth="1" min="14" max="14"/>
  </cols>
  <sheetData>
    <row r="1" ht="51" customHeight="1">
      <c r="A1" s="2" t="inlineStr">
        <is>
          <t>Main_ref</t>
        </is>
      </c>
      <c r="B1" s="2" t="inlineStr">
        <is>
          <t>SI_source_table</t>
        </is>
      </c>
      <c r="C1" s="2" t="inlineStr">
        <is>
          <t>SI_table_row</t>
        </is>
      </c>
      <c r="D1" s="2" t="inlineStr">
        <is>
          <t>Main_article_title</t>
        </is>
      </c>
      <c r="E1" s="2" t="inlineStr">
        <is>
          <t>DOI_in_main_register</t>
        </is>
      </c>
      <c r="F1" s="2" t="inlineStr">
        <is>
          <t>Group</t>
        </is>
      </c>
      <c r="G1" s="2" t="inlineStr">
        <is>
          <t>Domain</t>
        </is>
      </c>
      <c r="H1" s="2" t="inlineStr">
        <is>
          <t>Code_0_1</t>
        </is>
      </c>
      <c r="I1" s="2" t="inlineStr">
        <is>
          <t>Proposed_structural_score</t>
        </is>
      </c>
      <c r="J1" s="2" t="inlineStr">
        <is>
          <t>Proposed_disease_score</t>
        </is>
      </c>
      <c r="K1" s="2" t="inlineStr">
        <is>
          <t>Provenance_note</t>
        </is>
      </c>
      <c r="L1" s="2" t="inlineStr">
        <is>
          <t>Source_URL</t>
        </is>
      </c>
      <c r="M1" s="2" t="inlineStr">
        <is>
          <t>Bibliography_title_match_pct</t>
        </is>
      </c>
      <c r="N1" s="2" t="inlineStr">
        <is>
          <t>Citation_present_in_main</t>
        </is>
      </c>
    </row>
    <row r="2">
      <c r="A2" s="6" t="n">
        <v>271</v>
      </c>
      <c r="B2" s="5" t="inlineStr">
        <is>
          <t>S4</t>
        </is>
      </c>
      <c r="C2" s="5" t="inlineStr">
        <is>
          <t>2: Wound-boundary segmentation and calibrated area extraction</t>
        </is>
      </c>
      <c r="D2" s="5" t="inlineStr">
        <is>
          <t>Diabetic foot ulcers segmentation challenge report: Benchmark and analysis</t>
        </is>
      </c>
      <c r="E2" s="5" t="inlineStr">
        <is>
          <t>10.1016/j.media.2024.103153</t>
        </is>
      </c>
      <c r="F2" s="5" t="inlineStr">
        <is>
          <t>Automated image segmentation and quantitative wound-image analysis</t>
        </is>
      </c>
      <c r="G2" s="5" t="inlineStr">
        <is>
          <t>2D wound images</t>
        </is>
      </c>
      <c r="H2" s="6" t="inlineStr">
        <is>
          <t>1</t>
        </is>
      </c>
      <c r="K2" s="5" t="inlineStr">
        <is>
          <t xml:space="preserve">; </t>
        </is>
      </c>
      <c r="M2" s="5" t="inlineStr">
        <is>
          <t>100.0</t>
        </is>
      </c>
      <c r="N2" s="5" t="inlineStr">
        <is>
          <t>YES</t>
        </is>
      </c>
    </row>
    <row r="3">
      <c r="A3" s="6" t="n">
        <v>272</v>
      </c>
      <c r="B3" s="5" t="inlineStr">
        <is>
          <t>S4</t>
        </is>
      </c>
      <c r="C3" s="5" t="inlineStr">
        <is>
          <t>2: Wound-boundary segmentation and calibrated area extraction</t>
        </is>
      </c>
      <c r="D3" s="5" t="inlineStr">
        <is>
          <t>Fully convolutional networks for diabetic foot ulcer segmentation. in 2017 IEEE international conference on systems, man, and cybernetics (SMC)</t>
        </is>
      </c>
      <c r="F3" s="5" t="inlineStr">
        <is>
          <t>Automated image segmentation and quantitative wound-image analysis</t>
        </is>
      </c>
      <c r="G3" s="5" t="inlineStr">
        <is>
          <t>2D wound images</t>
        </is>
      </c>
      <c r="H3" s="6" t="inlineStr">
        <is>
          <t>1</t>
        </is>
      </c>
      <c r="K3" s="5" t="inlineStr">
        <is>
          <t xml:space="preserve">; </t>
        </is>
      </c>
      <c r="M3" s="5" t="inlineStr">
        <is>
          <t>100.0</t>
        </is>
      </c>
      <c r="N3" s="5" t="inlineStr">
        <is>
          <t>YES</t>
        </is>
      </c>
    </row>
    <row r="4">
      <c r="A4" s="6" t="n">
        <v>275</v>
      </c>
      <c r="B4" s="5" t="inlineStr">
        <is>
          <t>S4</t>
        </is>
      </c>
      <c r="C4" s="5" t="inlineStr">
        <is>
          <t>2: Wound-boundary segmentation and calibrated area extraction</t>
        </is>
      </c>
      <c r="D4" s="5" t="inlineStr">
        <is>
          <t>FUSegNet: A deep convolutional neural network for foot ulcer segmentation</t>
        </is>
      </c>
      <c r="E4" s="5" t="inlineStr">
        <is>
          <t>10.1016/j.bspc.2024.106057</t>
        </is>
      </c>
      <c r="F4" s="5" t="inlineStr">
        <is>
          <t>Automated image segmentation and quantitative wound-image analysis</t>
        </is>
      </c>
      <c r="G4" s="5" t="inlineStr">
        <is>
          <t>2D wound images</t>
        </is>
      </c>
      <c r="H4" s="6" t="inlineStr">
        <is>
          <t>1</t>
        </is>
      </c>
      <c r="K4" s="5" t="inlineStr">
        <is>
          <t xml:space="preserve">; </t>
        </is>
      </c>
      <c r="M4" s="5" t="inlineStr">
        <is>
          <t>100.0</t>
        </is>
      </c>
      <c r="N4" s="5" t="inlineStr">
        <is>
          <t>YES</t>
        </is>
      </c>
    </row>
    <row r="5">
      <c r="A5" s="6" t="n">
        <v>276</v>
      </c>
      <c r="B5" s="5" t="inlineStr">
        <is>
          <t>S4</t>
        </is>
      </c>
      <c r="C5" s="5" t="inlineStr">
        <is>
          <t>2: Wound-boundary segmentation and calibrated area extraction</t>
        </is>
      </c>
      <c r="D5" s="5" t="inlineStr">
        <is>
          <t>Fully automatic wound segmentation with deep convolutional neural networks</t>
        </is>
      </c>
      <c r="E5" s="5" t="inlineStr">
        <is>
          <t>10.1038/s41598-020-78799-w</t>
        </is>
      </c>
      <c r="F5" s="5" t="inlineStr">
        <is>
          <t>Automated image segmentation and quantitative wound-image analysis</t>
        </is>
      </c>
      <c r="G5" s="5" t="inlineStr">
        <is>
          <t>2D wound images</t>
        </is>
      </c>
      <c r="H5" s="6" t="inlineStr">
        <is>
          <t>1</t>
        </is>
      </c>
      <c r="K5" s="5" t="inlineStr">
        <is>
          <t xml:space="preserve">; </t>
        </is>
      </c>
      <c r="M5" s="5" t="inlineStr">
        <is>
          <t>100.0</t>
        </is>
      </c>
      <c r="N5" s="5" t="inlineStr">
        <is>
          <t>YES</t>
        </is>
      </c>
    </row>
    <row r="6">
      <c r="A6" s="6" t="n">
        <v>277</v>
      </c>
      <c r="B6" s="5" t="inlineStr">
        <is>
          <t>S4</t>
        </is>
      </c>
      <c r="C6" s="5" t="inlineStr">
        <is>
          <t>2: Wound-boundary segmentation and calibrated area extraction</t>
        </is>
      </c>
      <c r="D6" s="5" t="inlineStr">
        <is>
          <t>Detect-and-segment: A deep learning approach to automate wound image segmentation</t>
        </is>
      </c>
      <c r="E6" s="5" t="inlineStr">
        <is>
          <t>10.1016/j.imu.2022.100884</t>
        </is>
      </c>
      <c r="F6" s="5" t="inlineStr">
        <is>
          <t>Automated image segmentation and quantitative wound-image analysis</t>
        </is>
      </c>
      <c r="G6" s="5" t="inlineStr">
        <is>
          <t>2D wound images</t>
        </is>
      </c>
      <c r="H6" s="6" t="inlineStr">
        <is>
          <t>1</t>
        </is>
      </c>
      <c r="K6" s="5" t="inlineStr">
        <is>
          <t xml:space="preserve">; </t>
        </is>
      </c>
      <c r="M6" s="5" t="inlineStr">
        <is>
          <t>100.0</t>
        </is>
      </c>
      <c r="N6" s="5" t="inlineStr">
        <is>
          <t>YES</t>
        </is>
      </c>
    </row>
    <row r="7">
      <c r="A7" s="6" t="n">
        <v>281</v>
      </c>
      <c r="B7" s="5" t="inlineStr">
        <is>
          <t>S4</t>
        </is>
      </c>
      <c r="C7" s="5" t="inlineStr">
        <is>
          <t>3: Tissue-level and disease-state image phenotyping</t>
        </is>
      </c>
      <c r="D7" s="5" t="inlineStr">
        <is>
          <t>Assessing Clinician Consistency in Wound Tissue Classification and the Value of AI‐Assisted Quantification: A Cross‐Sectional Study</t>
        </is>
      </c>
      <c r="F7" s="5" t="inlineStr">
        <is>
          <t>Automated image segmentation and quantitative wound-image analysis</t>
        </is>
      </c>
      <c r="G7" s="5" t="inlineStr">
        <is>
          <t>2D wound images</t>
        </is>
      </c>
      <c r="H7" s="6" t="inlineStr">
        <is>
          <t>1</t>
        </is>
      </c>
      <c r="K7" s="5" t="inlineStr">
        <is>
          <t xml:space="preserve">; </t>
        </is>
      </c>
      <c r="M7" s="5" t="inlineStr">
        <is>
          <t>100.0</t>
        </is>
      </c>
      <c r="N7" s="5" t="inlineStr">
        <is>
          <t>YES</t>
        </is>
      </c>
    </row>
    <row r="8">
      <c r="A8" s="6" t="n">
        <v>284</v>
      </c>
      <c r="B8" s="5" t="inlineStr">
        <is>
          <t>S4</t>
        </is>
      </c>
      <c r="C8" s="5" t="inlineStr">
        <is>
          <t>2: Wound-boundary segmentation and calibrated area extraction</t>
        </is>
      </c>
      <c r="D8" s="5" t="inlineStr">
        <is>
          <t>WSNet: towards an effective method for wound image segmentation. in Proceedings of the IEEE/CVF winter conference on applications of computer vision</t>
        </is>
      </c>
      <c r="F8" s="5" t="inlineStr">
        <is>
          <t>Automated image segmentation and quantitative wound-image analysis</t>
        </is>
      </c>
      <c r="G8" s="5" t="inlineStr">
        <is>
          <t>2D wound images</t>
        </is>
      </c>
      <c r="H8" s="6" t="inlineStr">
        <is>
          <t>1</t>
        </is>
      </c>
      <c r="K8" s="5" t="inlineStr">
        <is>
          <t xml:space="preserve">; </t>
        </is>
      </c>
      <c r="M8" s="5" t="inlineStr">
        <is>
          <t>100.0</t>
        </is>
      </c>
      <c r="N8" s="5" t="inlineStr">
        <is>
          <t>YES</t>
        </is>
      </c>
    </row>
    <row r="9">
      <c r="A9" s="6" t="n">
        <v>286</v>
      </c>
      <c r="B9" s="5" t="inlineStr">
        <is>
          <t>S4</t>
        </is>
      </c>
      <c r="C9" s="5" t="inlineStr">
        <is>
          <t>3: Tissue-level and disease-state image phenotyping</t>
        </is>
      </c>
      <c r="D9" s="5" t="inlineStr">
        <is>
          <t>AI-assisted assessment of wound tissue with automatic color and measurement calibration on images taken with a smartphone. in Healthcare</t>
        </is>
      </c>
      <c r="F9" s="5" t="inlineStr">
        <is>
          <t>Automated image segmentation and quantitative wound-image analysis</t>
        </is>
      </c>
      <c r="G9" s="5" t="inlineStr">
        <is>
          <t>2D wound images</t>
        </is>
      </c>
      <c r="H9" s="6" t="inlineStr">
        <is>
          <t>1</t>
        </is>
      </c>
      <c r="K9" s="5" t="inlineStr">
        <is>
          <t xml:space="preserve">; </t>
        </is>
      </c>
      <c r="M9" s="5" t="inlineStr">
        <is>
          <t>100.0</t>
        </is>
      </c>
      <c r="N9" s="5" t="inlineStr">
        <is>
          <t>YES</t>
        </is>
      </c>
    </row>
    <row r="10">
      <c r="A10" s="6" t="n">
        <v>287</v>
      </c>
      <c r="B10" s="5" t="inlineStr">
        <is>
          <t>S4</t>
        </is>
      </c>
      <c r="C10" s="5" t="inlineStr">
        <is>
          <t>2: Wound-boundary segmentation and calibrated area extraction</t>
        </is>
      </c>
      <c r="D10" s="5" t="inlineStr">
        <is>
          <t>FUSeg: The foot ulcer segmentation challenge</t>
        </is>
      </c>
      <c r="E10" t="inlineStr">
        <is>
          <t>10.3390/info15030140</t>
        </is>
      </c>
      <c r="F10" s="5" t="inlineStr">
        <is>
          <t>Automated image segmentation and quantitative wound-image analysis</t>
        </is>
      </c>
      <c r="G10" s="5" t="inlineStr">
        <is>
          <t>2D wound images</t>
        </is>
      </c>
      <c r="H10" s="6" t="inlineStr">
        <is>
          <t>1</t>
        </is>
      </c>
      <c r="K10" s="5" t="inlineStr">
        <is>
          <t xml:space="preserve">; </t>
        </is>
      </c>
      <c r="M10" s="5" t="inlineStr">
        <is>
          <t>100.0</t>
        </is>
      </c>
      <c r="N10" s="5" t="inlineStr">
        <is>
          <t>YES</t>
        </is>
      </c>
    </row>
    <row r="11">
      <c r="A11" s="6" t="n">
        <v>288</v>
      </c>
      <c r="B11" s="5" t="inlineStr">
        <is>
          <t>S4</t>
        </is>
      </c>
      <c r="C11" s="5" t="inlineStr">
        <is>
          <t>2: Wound-boundary segmentation and calibrated area extraction</t>
        </is>
      </c>
      <c r="D11" s="5" t="inlineStr">
        <is>
          <t>Analysis of training data augmentation for diabetic foot ulcer semantic segmentation</t>
        </is>
      </c>
      <c r="E11" s="5" t="n"/>
      <c r="F11" s="5" t="inlineStr">
        <is>
          <t>Automated image segmentation and quantitative wound-image analysis</t>
        </is>
      </c>
      <c r="G11" s="5" t="inlineStr">
        <is>
          <t>2D wound images</t>
        </is>
      </c>
      <c r="H11" s="6" t="inlineStr">
        <is>
          <t>1</t>
        </is>
      </c>
      <c r="K11" s="5" t="inlineStr">
        <is>
          <t xml:space="preserve">; </t>
        </is>
      </c>
      <c r="M11" s="5" t="inlineStr">
        <is>
          <t>100.0</t>
        </is>
      </c>
      <c r="N11" s="5" t="inlineStr">
        <is>
          <t>YES</t>
        </is>
      </c>
    </row>
    <row r="12">
      <c r="A12" s="6" t="n">
        <v>282</v>
      </c>
      <c r="B12" s="5" t="inlineStr">
        <is>
          <t>S4</t>
        </is>
      </c>
      <c r="C12" s="5" t="inlineStr">
        <is>
          <t>3: Tissue-level and disease-state image phenotyping</t>
        </is>
      </c>
      <c r="D12" s="5" t="inlineStr">
        <is>
          <t>Recognition of ischaemia and infection in diabetic foot ulcers: Dataset and techniques</t>
        </is>
      </c>
      <c r="E12" t="inlineStr">
        <is>
          <t>10.1016/j.compbiomed.2020.103616</t>
        </is>
      </c>
      <c r="F12" s="5" t="inlineStr">
        <is>
          <t>Image-based classification and detection</t>
        </is>
      </c>
      <c r="G12" s="5" t="inlineStr">
        <is>
          <t>2D wound images</t>
        </is>
      </c>
      <c r="H12" s="6" t="inlineStr">
        <is>
          <t>1</t>
        </is>
      </c>
      <c r="K12" s="5" t="inlineStr">
        <is>
          <t xml:space="preserve">; </t>
        </is>
      </c>
      <c r="M12" s="5" t="inlineStr">
        <is>
          <t>100.0</t>
        </is>
      </c>
      <c r="N12" s="5" t="inlineStr">
        <is>
          <t>YES</t>
        </is>
      </c>
    </row>
    <row r="13">
      <c r="A13" s="6" t="n">
        <v>283</v>
      </c>
      <c r="B13" s="5" t="inlineStr">
        <is>
          <t>S4</t>
        </is>
      </c>
      <c r="C13" s="5" t="inlineStr">
        <is>
          <t>3: Tissue-level and disease-state image phenotyping</t>
        </is>
      </c>
      <c r="D13" s="5" t="inlineStr">
        <is>
          <t>Protocol for metadata and image collection at diabetic foot ulcer clinics: enabling research in wound analytics and deep learning</t>
        </is>
      </c>
      <c r="E13" s="5" t="n"/>
      <c r="F13" s="5" t="inlineStr">
        <is>
          <t>Image-based classification and detection</t>
        </is>
      </c>
      <c r="G13" s="5" t="inlineStr">
        <is>
          <t>2D wound images</t>
        </is>
      </c>
      <c r="H13" s="6" t="inlineStr">
        <is>
          <t>1</t>
        </is>
      </c>
      <c r="K13" s="5" t="inlineStr">
        <is>
          <t xml:space="preserve">; </t>
        </is>
      </c>
      <c r="M13" s="5" t="inlineStr">
        <is>
          <t>100.0</t>
        </is>
      </c>
      <c r="N13" s="5" t="inlineStr">
        <is>
          <t>YES</t>
        </is>
      </c>
    </row>
    <row r="14">
      <c r="A14" s="6" t="n">
        <v>283</v>
      </c>
      <c r="B14" s="5" t="inlineStr">
        <is>
          <t>S4</t>
        </is>
      </c>
      <c r="C14" s="5" t="inlineStr">
        <is>
          <t>3: Tissue-level and disease-state image phenotyping</t>
        </is>
      </c>
      <c r="D14" s="5" t="inlineStr">
        <is>
          <t>Protocol for metadata and image collection at diabetic foot ulcer clinics: enabling research in wound analytics and deep learning</t>
        </is>
      </c>
      <c r="F14" s="5" t="inlineStr">
        <is>
          <t>Image-based classification and detection</t>
        </is>
      </c>
      <c r="G14" s="5" t="inlineStr">
        <is>
          <t>Multimodal / advanced imaging</t>
        </is>
      </c>
      <c r="H14" s="6" t="inlineStr">
        <is>
          <t>1</t>
        </is>
      </c>
      <c r="K14" s="5" t="inlineStr">
        <is>
          <t xml:space="preserve">; </t>
        </is>
      </c>
      <c r="M14" s="5" t="inlineStr">
        <is>
          <t>100.0</t>
        </is>
      </c>
      <c r="N14" s="5" t="inlineStr">
        <is>
          <t>YES</t>
        </is>
      </c>
    </row>
    <row r="15">
      <c r="A15" s="6" t="n">
        <v>293</v>
      </c>
      <c r="B15" s="5" t="inlineStr">
        <is>
          <t>S4</t>
        </is>
      </c>
      <c r="C15" s="5" t="inlineStr">
        <is>
          <t>5: Longitudinal healing trajectory and time-to-closure prediction</t>
        </is>
      </c>
      <c r="D15" s="5" t="inlineStr">
        <is>
          <t>The use of the artificial neural network for three-month prognosis in diabetic foot syndrome</t>
        </is>
      </c>
      <c r="F15" s="5" t="inlineStr">
        <is>
          <t>Healing prediction, prognosis, and trajectory modeling</t>
        </is>
      </c>
      <c r="G15" s="5" t="inlineStr">
        <is>
          <t>Clinical / EMR variables</t>
        </is>
      </c>
      <c r="H15" s="6" t="inlineStr">
        <is>
          <t>1</t>
        </is>
      </c>
      <c r="K15" s="5" t="inlineStr">
        <is>
          <t xml:space="preserve">; </t>
        </is>
      </c>
      <c r="M15" s="5" t="inlineStr">
        <is>
          <t>100.0</t>
        </is>
      </c>
      <c r="N15" s="5" t="inlineStr">
        <is>
          <t>YES</t>
        </is>
      </c>
    </row>
    <row r="16">
      <c r="A16" s="6" t="n">
        <v>296</v>
      </c>
      <c r="B16" s="5" t="inlineStr">
        <is>
          <t>S4</t>
        </is>
      </c>
      <c r="C16" s="5" t="inlineStr">
        <is>
          <t>5: Longitudinal healing trajectory and time-to-closure prediction</t>
        </is>
      </c>
      <c r="D16" s="5" t="inlineStr">
        <is>
          <t>Temporal machine learning framework for diabetic foot ulcer healing trajectory prediction</t>
        </is>
      </c>
      <c r="E16" t="inlineStr">
        <is>
          <t>10.1186/s12938-026-01529-2</t>
        </is>
      </c>
      <c r="F16" s="5" t="inlineStr">
        <is>
          <t>Healing prediction, prognosis, and trajectory modeling</t>
        </is>
      </c>
      <c r="G16" s="5" t="inlineStr">
        <is>
          <t>Clinical / EMR variables</t>
        </is>
      </c>
      <c r="H16" s="6" t="inlineStr">
        <is>
          <t>1</t>
        </is>
      </c>
      <c r="K16" s="5" t="inlineStr">
        <is>
          <t xml:space="preserve">; </t>
        </is>
      </c>
      <c r="M16" s="5" t="inlineStr">
        <is>
          <t>100.0</t>
        </is>
      </c>
      <c r="N16" s="5" t="inlineStr">
        <is>
          <t>YES</t>
        </is>
      </c>
    </row>
    <row r="17">
      <c r="A17" s="6" t="n">
        <v>296</v>
      </c>
      <c r="B17" s="5" t="inlineStr">
        <is>
          <t>S4</t>
        </is>
      </c>
      <c r="C17" s="5" t="inlineStr">
        <is>
          <t>5: Longitudinal healing trajectory and time-to-closure prediction</t>
        </is>
      </c>
      <c r="D17" s="5" t="inlineStr">
        <is>
          <t>Temporal machine learning framework for diabetic foot ulcer healing trajectory prediction</t>
        </is>
      </c>
      <c r="E17" s="5" t="inlineStr">
        <is>
          <t>10.1186/s12938-026-01529-2</t>
        </is>
      </c>
      <c r="F17" s="5" t="inlineStr">
        <is>
          <t>Healing prediction, prognosis, and trajectory modeling</t>
        </is>
      </c>
      <c r="G17" s="5" t="inlineStr">
        <is>
          <t>Longitudinal / time-series data</t>
        </is>
      </c>
      <c r="H17" s="6" t="inlineStr">
        <is>
          <t>1</t>
        </is>
      </c>
      <c r="K17" s="5" t="inlineStr">
        <is>
          <t xml:space="preserve">; </t>
        </is>
      </c>
      <c r="M17" s="5" t="inlineStr">
        <is>
          <t>100.0</t>
        </is>
      </c>
      <c r="N17" s="5" t="inlineStr">
        <is>
          <t>YES</t>
        </is>
      </c>
    </row>
    <row r="18">
      <c r="A18" s="6" t="n">
        <v>297</v>
      </c>
      <c r="B18" s="5" t="inlineStr">
        <is>
          <t>S4</t>
        </is>
      </c>
      <c r="C18" s="5" t="inlineStr">
        <is>
          <t>5: Longitudinal healing trajectory and time-to-closure prediction</t>
        </is>
      </c>
      <c r="D18" s="5" t="inlineStr">
        <is>
          <t>Dynamic prediction of time to wound healing at routine wound care visits</t>
        </is>
      </c>
      <c r="E18" s="5" t="inlineStr">
        <is>
          <t>10.1089/wound.2024.0069</t>
        </is>
      </c>
      <c r="F18" s="5" t="inlineStr">
        <is>
          <t>Healing prediction, prognosis, and trajectory modeling</t>
        </is>
      </c>
      <c r="G18" s="5" t="inlineStr">
        <is>
          <t>Clinical / EMR variables</t>
        </is>
      </c>
      <c r="H18" s="6" t="inlineStr">
        <is>
          <t>1</t>
        </is>
      </c>
      <c r="K18" s="5" t="inlineStr">
        <is>
          <t xml:space="preserve">; </t>
        </is>
      </c>
      <c r="M18" s="5" t="inlineStr">
        <is>
          <t>100.0</t>
        </is>
      </c>
      <c r="N18" s="5" t="inlineStr">
        <is>
          <t>YES</t>
        </is>
      </c>
    </row>
    <row r="19">
      <c r="A19" s="6" t="n">
        <v>297</v>
      </c>
      <c r="B19" s="5" t="inlineStr">
        <is>
          <t>S4</t>
        </is>
      </c>
      <c r="C19" s="5" t="inlineStr">
        <is>
          <t>5: Longitudinal healing trajectory and time-to-closure prediction</t>
        </is>
      </c>
      <c r="D19" s="5" t="inlineStr">
        <is>
          <t>Dynamic prediction of time to wound healing at routine wound care visits</t>
        </is>
      </c>
      <c r="E19" s="5" t="inlineStr">
        <is>
          <t>10.1089/wound.2024.0069</t>
        </is>
      </c>
      <c r="F19" s="5" t="inlineStr">
        <is>
          <t>Healing prediction, prognosis, and trajectory modeling</t>
        </is>
      </c>
      <c r="G19" s="5" t="inlineStr">
        <is>
          <t>Longitudinal / time-series data</t>
        </is>
      </c>
      <c r="H19" s="6" t="inlineStr">
        <is>
          <t>1</t>
        </is>
      </c>
      <c r="K19" s="5" t="inlineStr">
        <is>
          <t xml:space="preserve">; </t>
        </is>
      </c>
      <c r="M19" s="5" t="inlineStr">
        <is>
          <t>100.0</t>
        </is>
      </c>
      <c r="N19" s="5" t="inlineStr">
        <is>
          <t>YES</t>
        </is>
      </c>
    </row>
    <row r="20">
      <c r="A20" s="6" t="n">
        <v>298</v>
      </c>
      <c r="B20" s="5" t="inlineStr">
        <is>
          <t>S4</t>
        </is>
      </c>
      <c r="C20" s="5" t="inlineStr">
        <is>
          <t>5: Longitudinal healing trajectory and time-to-closure prediction</t>
        </is>
      </c>
      <c r="D20" s="5" t="inlineStr">
        <is>
          <t>Chronic ulcers healing prediction through machine learning approaches: preliminary results on diabetic foot ulcers case study</t>
        </is>
      </c>
      <c r="E20" s="5" t="n"/>
      <c r="F20" s="5" t="inlineStr">
        <is>
          <t>Healing prediction, prognosis, and trajectory modeling</t>
        </is>
      </c>
      <c r="G20" s="5" t="inlineStr">
        <is>
          <t>Longitudinal / time-series data</t>
        </is>
      </c>
      <c r="H20" s="6" t="inlineStr">
        <is>
          <t>1</t>
        </is>
      </c>
      <c r="K20" s="5" t="inlineStr">
        <is>
          <t xml:space="preserve">; </t>
        </is>
      </c>
      <c r="M20" s="5" t="inlineStr">
        <is>
          <t>100.0</t>
        </is>
      </c>
      <c r="N20" s="5" t="inlineStr">
        <is>
          <t>YES</t>
        </is>
      </c>
    </row>
    <row r="21">
      <c r="A21" s="6" t="n">
        <v>298</v>
      </c>
      <c r="B21" s="5" t="inlineStr">
        <is>
          <t>S4</t>
        </is>
      </c>
      <c r="C21" s="5" t="inlineStr">
        <is>
          <t>5: Longitudinal healing trajectory and time-to-closure prediction</t>
        </is>
      </c>
      <c r="D21" s="5" t="inlineStr">
        <is>
          <t>Chronic ulcers healing prediction through machine learning approaches: preliminary results on diabetic foot ulcers case study</t>
        </is>
      </c>
      <c r="F21" s="5" t="inlineStr">
        <is>
          <t>Healing prediction, prognosis, and trajectory modeling</t>
        </is>
      </c>
      <c r="G21" s="5" t="inlineStr">
        <is>
          <t>2D wound images</t>
        </is>
      </c>
      <c r="H21" s="6" t="inlineStr">
        <is>
          <t>1</t>
        </is>
      </c>
      <c r="K21" s="5" t="inlineStr">
        <is>
          <t xml:space="preserve">; </t>
        </is>
      </c>
      <c r="M21" s="5" t="inlineStr">
        <is>
          <t>100.0</t>
        </is>
      </c>
      <c r="N21" s="5" t="inlineStr">
        <is>
          <t>YES</t>
        </is>
      </c>
    </row>
    <row r="22">
      <c r="A22" s="6" t="n">
        <v>299</v>
      </c>
      <c r="B22" s="5" t="inlineStr">
        <is>
          <t>S4</t>
        </is>
      </c>
      <c r="C22" s="5" t="inlineStr">
        <is>
          <t>5: Longitudinal healing trajectory and time-to-closure prediction</t>
        </is>
      </c>
      <c r="D22" s="5" t="inlineStr">
        <is>
          <t>Towards an AI-based objective prognostic model for quantifying wound healing</t>
        </is>
      </c>
      <c r="F22" s="5" t="inlineStr">
        <is>
          <t>Healing prediction, prognosis, and trajectory modeling</t>
        </is>
      </c>
      <c r="G22" s="5" t="inlineStr">
        <is>
          <t>2D wound images</t>
        </is>
      </c>
      <c r="H22" s="6" t="inlineStr">
        <is>
          <t>1</t>
        </is>
      </c>
      <c r="K22" s="5" t="inlineStr">
        <is>
          <t xml:space="preserve">; </t>
        </is>
      </c>
      <c r="M22" s="5" t="inlineStr">
        <is>
          <t>100.0</t>
        </is>
      </c>
      <c r="N22" s="5" t="inlineStr">
        <is>
          <t>YES</t>
        </is>
      </c>
    </row>
    <row r="23">
      <c r="A23" s="6" t="n">
        <v>299</v>
      </c>
      <c r="B23" s="5" t="inlineStr">
        <is>
          <t>S4</t>
        </is>
      </c>
      <c r="C23" s="5" t="inlineStr">
        <is>
          <t>5: Longitudinal healing trajectory and time-to-closure prediction</t>
        </is>
      </c>
      <c r="D23" s="5" t="inlineStr">
        <is>
          <t>Towards an AI-based objective prognostic model for quantifying wound healing</t>
        </is>
      </c>
      <c r="F23" s="5" t="inlineStr">
        <is>
          <t>Healing prediction, prognosis, and trajectory modeling</t>
        </is>
      </c>
      <c r="G23" s="5" t="inlineStr">
        <is>
          <t>Clinical / EMR variables</t>
        </is>
      </c>
      <c r="H23" s="6" t="inlineStr">
        <is>
          <t>1</t>
        </is>
      </c>
      <c r="K23" s="5" t="inlineStr">
        <is>
          <t xml:space="preserve">; </t>
        </is>
      </c>
      <c r="M23" s="5" t="inlineStr">
        <is>
          <t>100.0</t>
        </is>
      </c>
      <c r="N23" s="5" t="inlineStr">
        <is>
          <t>YES</t>
        </is>
      </c>
    </row>
    <row r="24">
      <c r="A24" s="6" t="n">
        <v>299</v>
      </c>
      <c r="B24" s="5" t="inlineStr">
        <is>
          <t>S4</t>
        </is>
      </c>
      <c r="C24" s="5" t="inlineStr">
        <is>
          <t>5: Longitudinal healing trajectory and time-to-closure prediction</t>
        </is>
      </c>
      <c r="D24" s="5" t="inlineStr">
        <is>
          <t>Towards an AI-based objective prognostic model for quantifying wound healing</t>
        </is>
      </c>
      <c r="F24" s="5" t="inlineStr">
        <is>
          <t>Healing prediction, prognosis, and trajectory modeling</t>
        </is>
      </c>
      <c r="G24" s="5" t="inlineStr">
        <is>
          <t>Longitudinal / time-series data</t>
        </is>
      </c>
      <c r="H24" s="6" t="inlineStr">
        <is>
          <t>1</t>
        </is>
      </c>
      <c r="K24" s="5" t="inlineStr">
        <is>
          <t xml:space="preserve">; </t>
        </is>
      </c>
      <c r="M24" s="5" t="inlineStr">
        <is>
          <t>100.0</t>
        </is>
      </c>
      <c r="N24" s="5" t="inlineStr">
        <is>
          <t>YES</t>
        </is>
      </c>
    </row>
    <row r="25">
      <c r="A25" s="6" t="n">
        <v>300</v>
      </c>
      <c r="B25" s="5" t="inlineStr">
        <is>
          <t>S4</t>
        </is>
      </c>
      <c r="C25" s="5" t="inlineStr">
        <is>
          <t>5: Longitudinal healing trajectory and time-to-closure prediction</t>
        </is>
      </c>
      <c r="D25" s="5" t="inlineStr">
        <is>
          <t>Predictive modeling of chronic foot ulcer outcomes using longitudinal photoacoustic imaging</t>
        </is>
      </c>
      <c r="F25" s="5" t="inlineStr">
        <is>
          <t>Healing prediction, prognosis, and trajectory modeling</t>
        </is>
      </c>
      <c r="G25" s="5" t="inlineStr">
        <is>
          <t>Multimodal / advanced imaging</t>
        </is>
      </c>
      <c r="H25" s="6" t="inlineStr">
        <is>
          <t>1</t>
        </is>
      </c>
      <c r="K25" s="5" t="inlineStr">
        <is>
          <t xml:space="preserve">; </t>
        </is>
      </c>
      <c r="M25" s="5" t="inlineStr">
        <is>
          <t>100.0</t>
        </is>
      </c>
      <c r="N25" s="5" t="inlineStr">
        <is>
          <t>YES</t>
        </is>
      </c>
    </row>
    <row r="26">
      <c r="A26" s="6" t="n">
        <v>300</v>
      </c>
      <c r="B26" s="5" t="inlineStr">
        <is>
          <t>S4</t>
        </is>
      </c>
      <c r="C26" s="5" t="inlineStr">
        <is>
          <t>5: Longitudinal healing trajectory and time-to-closure prediction</t>
        </is>
      </c>
      <c r="D26" s="5" t="inlineStr">
        <is>
          <t>Predictive modeling of chronic foot ulcer outcomes using longitudinal photoacoustic imaging</t>
        </is>
      </c>
      <c r="F26" s="5" t="inlineStr">
        <is>
          <t>Healing prediction, prognosis, and trajectory modeling</t>
        </is>
      </c>
      <c r="G26" s="5" t="inlineStr">
        <is>
          <t>Longitudinal / time-series data</t>
        </is>
      </c>
      <c r="H26" s="6" t="inlineStr">
        <is>
          <t>1</t>
        </is>
      </c>
      <c r="K26" s="5" t="inlineStr">
        <is>
          <t xml:space="preserve">; </t>
        </is>
      </c>
      <c r="M26" s="5" t="inlineStr">
        <is>
          <t>100.0</t>
        </is>
      </c>
      <c r="N26" s="5" t="inlineStr">
        <is>
          <t>YES</t>
        </is>
      </c>
    </row>
    <row r="27">
      <c r="A27" s="6" t="n">
        <v>302</v>
      </c>
      <c r="B27" s="5" t="inlineStr">
        <is>
          <t>S4</t>
        </is>
      </c>
      <c r="C27" s="5" t="inlineStr">
        <is>
          <t>6: Molecular, exudate, biofilm, and treatment-response prediction</t>
        </is>
      </c>
      <c r="D27" s="5" t="inlineStr">
        <is>
          <t>Integrated machine learning analysis of proteomic and transcriptomic data identifies healing associated targets in diabetic wound repair</t>
        </is>
      </c>
      <c r="F27" s="5" t="inlineStr">
        <is>
          <t>Healing prediction, prognosis, and trajectory modeling</t>
        </is>
      </c>
      <c r="G27" s="5" t="inlineStr">
        <is>
          <t>Omics / molecular biomarkers</t>
        </is>
      </c>
      <c r="H27" s="6" t="inlineStr">
        <is>
          <t>1</t>
        </is>
      </c>
      <c r="K27" s="5" t="inlineStr">
        <is>
          <t xml:space="preserve">; </t>
        </is>
      </c>
      <c r="M27" s="5" t="inlineStr">
        <is>
          <t>100.0</t>
        </is>
      </c>
      <c r="N27" s="5" t="inlineStr">
        <is>
          <t>YES</t>
        </is>
      </c>
    </row>
    <row r="28">
      <c r="A28" s="6" t="n">
        <v>302</v>
      </c>
      <c r="B28" s="5" t="inlineStr">
        <is>
          <t>S4</t>
        </is>
      </c>
      <c r="C28" s="5" t="inlineStr">
        <is>
          <t>6: Molecular, exudate, biofilm, and treatment-response prediction</t>
        </is>
      </c>
      <c r="D28" s="5" t="inlineStr">
        <is>
          <t>Integrated machine learning analysis of proteomic and transcriptomic data identifies healing associated targets in diabetic wound repair</t>
        </is>
      </c>
      <c r="F28" s="5" t="inlineStr">
        <is>
          <t>Healing prediction, prognosis, and trajectory modeling</t>
        </is>
      </c>
      <c r="G28" s="5" t="inlineStr">
        <is>
          <t>Longitudinal / time-series data</t>
        </is>
      </c>
      <c r="H28" s="6" t="inlineStr">
        <is>
          <t>1</t>
        </is>
      </c>
      <c r="K28" s="5" t="inlineStr">
        <is>
          <t xml:space="preserve">; </t>
        </is>
      </c>
      <c r="M28" s="5" t="inlineStr">
        <is>
          <t>100.0</t>
        </is>
      </c>
      <c r="N28" s="5" t="inlineStr">
        <is>
          <t>YES</t>
        </is>
      </c>
    </row>
    <row r="29">
      <c r="A29" s="6" t="n">
        <v>91</v>
      </c>
      <c r="B29" s="5" t="inlineStr">
        <is>
          <t>S4</t>
        </is>
      </c>
      <c r="C29" s="5" t="inlineStr">
        <is>
          <t>6: Molecular, exudate, biofilm, and treatment-response prediction</t>
        </is>
      </c>
      <c r="D29" s="5" t="inlineStr">
        <is>
          <t>Promising Biomarkers for Chronic Wound Healing: A Pilot Cohort Study on Wound Cytokines and a Novel Biofilm Detection Kit for Predicting 90‐Day Outcomes</t>
        </is>
      </c>
      <c r="E29" t="inlineStr">
        <is>
          <t>10.1111/wrr.70100</t>
        </is>
      </c>
      <c r="F29" s="5" t="inlineStr">
        <is>
          <t>Healing prediction, prognosis, and trajectory modeling</t>
        </is>
      </c>
      <c r="G29" s="5" t="inlineStr">
        <is>
          <t>Clinical / EMR variables</t>
        </is>
      </c>
      <c r="H29" s="6" t="inlineStr">
        <is>
          <t>1</t>
        </is>
      </c>
      <c r="K29" s="5" t="inlineStr">
        <is>
          <t xml:space="preserve">; </t>
        </is>
      </c>
      <c r="M29" s="5" t="inlineStr">
        <is>
          <t>100.0</t>
        </is>
      </c>
      <c r="N29" s="5" t="inlineStr">
        <is>
          <t>YES</t>
        </is>
      </c>
    </row>
    <row r="30">
      <c r="A30" s="6" t="n">
        <v>91</v>
      </c>
      <c r="B30" s="5" t="inlineStr">
        <is>
          <t>S4</t>
        </is>
      </c>
      <c r="C30" s="5" t="inlineStr">
        <is>
          <t>6: Molecular, exudate, biofilm, and treatment-response prediction</t>
        </is>
      </c>
      <c r="D30" s="5" t="inlineStr">
        <is>
          <t>Promising Biomarkers for Chronic Wound Healing: A Pilot Cohort Study on Wound Cytokines and a Novel Biofilm Detection Kit for Predicting 90‐Day Outcomes</t>
        </is>
      </c>
      <c r="E30" s="5" t="inlineStr">
        <is>
          <t>10.1111/wrr.70100</t>
        </is>
      </c>
      <c r="F30" s="5" t="inlineStr">
        <is>
          <t>Healing prediction, prognosis, and trajectory modeling</t>
        </is>
      </c>
      <c r="G30" s="5" t="inlineStr">
        <is>
          <t>Omics / molecular biomarkers</t>
        </is>
      </c>
      <c r="H30" s="6" t="inlineStr">
        <is>
          <t>1</t>
        </is>
      </c>
      <c r="K30" s="5" t="inlineStr">
        <is>
          <t xml:space="preserve">; </t>
        </is>
      </c>
      <c r="M30" s="5" t="inlineStr">
        <is>
          <t>100.0</t>
        </is>
      </c>
      <c r="N30" s="5" t="inlineStr">
        <is>
          <t>YES</t>
        </is>
      </c>
    </row>
    <row r="31">
      <c r="A31" s="6" t="n">
        <v>306</v>
      </c>
      <c r="B31" s="5" t="inlineStr">
        <is>
          <t>S4</t>
        </is>
      </c>
      <c r="C31" s="5" t="inlineStr">
        <is>
          <t>6: Molecular, exudate, biofilm, and treatment-response prediction</t>
        </is>
      </c>
      <c r="D31" s="5" t="inlineStr">
        <is>
          <t>Healing profiles in patients with a chronic diabetic foot ulcer: An exploratory study with machine learning</t>
        </is>
      </c>
      <c r="E31" s="5" t="n"/>
      <c r="F31" s="5" t="inlineStr">
        <is>
          <t>Healing prediction, prognosis, and trajectory modeling</t>
        </is>
      </c>
      <c r="G31" s="5" t="inlineStr">
        <is>
          <t>Clinical / EMR variables</t>
        </is>
      </c>
      <c r="H31" s="6" t="inlineStr">
        <is>
          <t>1</t>
        </is>
      </c>
      <c r="K31" s="5" t="inlineStr">
        <is>
          <t xml:space="preserve">; </t>
        </is>
      </c>
      <c r="M31" s="5" t="inlineStr">
        <is>
          <t>100.0</t>
        </is>
      </c>
      <c r="N31" s="5" t="inlineStr">
        <is>
          <t>YES</t>
        </is>
      </c>
    </row>
    <row r="32">
      <c r="A32" s="6" t="n">
        <v>306</v>
      </c>
      <c r="B32" s="5" t="inlineStr">
        <is>
          <t>S4</t>
        </is>
      </c>
      <c r="C32" s="5" t="inlineStr">
        <is>
          <t>6: Molecular, exudate, biofilm, and treatment-response prediction</t>
        </is>
      </c>
      <c r="D32" s="5" t="inlineStr">
        <is>
          <t>Healing profiles in patients with a chronic diabetic foot ulcer: An exploratory study with machine learning</t>
        </is>
      </c>
      <c r="F32" s="5" t="inlineStr">
        <is>
          <t>Healing prediction, prognosis, and trajectory modeling</t>
        </is>
      </c>
      <c r="G32" s="5" t="inlineStr">
        <is>
          <t>Omics / molecular biomarkers</t>
        </is>
      </c>
      <c r="H32" s="6" t="inlineStr">
        <is>
          <t>1</t>
        </is>
      </c>
      <c r="K32" s="5" t="inlineStr">
        <is>
          <t xml:space="preserve">; </t>
        </is>
      </c>
      <c r="M32" s="5" t="inlineStr">
        <is>
          <t>100.0</t>
        </is>
      </c>
      <c r="N32" s="5" t="inlineStr">
        <is>
          <t>YES</t>
        </is>
      </c>
    </row>
    <row r="33">
      <c r="A33" s="6" t="n">
        <v>306</v>
      </c>
      <c r="B33" s="5" t="inlineStr">
        <is>
          <t>S4</t>
        </is>
      </c>
      <c r="C33" s="5" t="inlineStr">
        <is>
          <t>6: Molecular, exudate, biofilm, and treatment-response prediction</t>
        </is>
      </c>
      <c r="D33" s="5" t="inlineStr">
        <is>
          <t>Healing profiles in patients with a chronic diabetic foot ulcer: An exploratory study with machine learning</t>
        </is>
      </c>
      <c r="F33" s="5" t="inlineStr">
        <is>
          <t>Healing prediction, prognosis, and trajectory modeling</t>
        </is>
      </c>
      <c r="G33" s="5" t="inlineStr">
        <is>
          <t>Longitudinal / time-series data</t>
        </is>
      </c>
      <c r="H33" s="6" t="inlineStr">
        <is>
          <t>1</t>
        </is>
      </c>
      <c r="K33" s="5" t="inlineStr">
        <is>
          <t xml:space="preserve">; </t>
        </is>
      </c>
      <c r="M33" s="5" t="inlineStr">
        <is>
          <t>100.0</t>
        </is>
      </c>
      <c r="N33" s="5" t="inlineStr">
        <is>
          <t>YES</t>
        </is>
      </c>
    </row>
    <row r="34">
      <c r="A34" s="6" t="n">
        <v>305</v>
      </c>
      <c r="B34" s="5" t="inlineStr">
        <is>
          <t>S4</t>
        </is>
      </c>
      <c r="C34" s="5" t="inlineStr">
        <is>
          <t>6: Molecular, exudate, biofilm, and treatment-response prediction</t>
        </is>
      </c>
      <c r="D34" s="5" t="inlineStr">
        <is>
          <t>Development of an XGBoost-based prediction model for wound recurrence risk in diabetic foot ulcer patients treated with antibiotic-loaded bone cement</t>
        </is>
      </c>
      <c r="F34" s="5" t="inlineStr">
        <is>
          <t>Risk stratification for recurrence, amputation, or mortality</t>
        </is>
      </c>
      <c r="G34" s="5" t="inlineStr">
        <is>
          <t>Clinical / EMR variables</t>
        </is>
      </c>
      <c r="H34" s="6" t="inlineStr">
        <is>
          <t>1</t>
        </is>
      </c>
      <c r="K34" s="5" t="inlineStr">
        <is>
          <t xml:space="preserve">; </t>
        </is>
      </c>
      <c r="M34" s="5" t="inlineStr">
        <is>
          <t>100.0</t>
        </is>
      </c>
      <c r="N34" s="5" t="inlineStr">
        <is>
          <t>YES</t>
        </is>
      </c>
    </row>
    <row r="35">
      <c r="A35" s="6" t="n">
        <v>307</v>
      </c>
      <c r="B35" s="5" t="inlineStr">
        <is>
          <t>S4</t>
        </is>
      </c>
      <c r="C35" s="5" t="inlineStr">
        <is>
          <t>7: Recurrence, amputation, mortality, and population-level risk stratification</t>
        </is>
      </c>
      <c r="D35" s="5" t="inlineStr">
        <is>
          <t>Personalized prediction of diabetic foot ulcer recurrence in elderly individuals using machine learning paradigms</t>
        </is>
      </c>
      <c r="E35" t="inlineStr">
        <is>
          <t>10.3233/THC-248023</t>
        </is>
      </c>
      <c r="F35" s="5" t="inlineStr">
        <is>
          <t>Risk stratification for recurrence, amputation, or mortality</t>
        </is>
      </c>
      <c r="G35" s="5" t="inlineStr">
        <is>
          <t>Clinical / EMR variables</t>
        </is>
      </c>
      <c r="H35" s="6" t="inlineStr">
        <is>
          <t>1</t>
        </is>
      </c>
      <c r="K35" s="5" t="inlineStr">
        <is>
          <t xml:space="preserve">; </t>
        </is>
      </c>
      <c r="M35" s="5" t="inlineStr">
        <is>
          <t>100.0</t>
        </is>
      </c>
      <c r="N35" s="5" t="inlineStr">
        <is>
          <t>YES</t>
        </is>
      </c>
    </row>
    <row r="36">
      <c r="A36" s="6" t="n">
        <v>308</v>
      </c>
      <c r="B36" s="5" t="inlineStr">
        <is>
          <t>S4</t>
        </is>
      </c>
      <c r="C36" s="5" t="inlineStr">
        <is>
          <t>7: Recurrence, amputation, mortality, and population-level risk stratification</t>
        </is>
      </c>
      <c r="D36" s="5" t="inlineStr">
        <is>
          <t>Interpretable machine learning model for predicting recurrence in patients with diabetic foot ulcers</t>
        </is>
      </c>
      <c r="E36" s="5" t="n"/>
      <c r="F36" s="5" t="inlineStr">
        <is>
          <t>Risk stratification for recurrence, amputation, or mortality</t>
        </is>
      </c>
      <c r="G36" s="5" t="inlineStr">
        <is>
          <t>Clinical / EMR variables</t>
        </is>
      </c>
      <c r="H36" s="6" t="inlineStr">
        <is>
          <t>1</t>
        </is>
      </c>
      <c r="K36" s="5" t="inlineStr">
        <is>
          <t xml:space="preserve">; </t>
        </is>
      </c>
      <c r="M36" s="5" t="inlineStr">
        <is>
          <t>100.0</t>
        </is>
      </c>
      <c r="N36" s="5" t="inlineStr">
        <is>
          <t>YES</t>
        </is>
      </c>
    </row>
    <row r="37">
      <c r="A37" s="6" t="n">
        <v>310</v>
      </c>
      <c r="B37" s="5" t="inlineStr">
        <is>
          <t>S4</t>
        </is>
      </c>
      <c r="C37" s="5" t="inlineStr">
        <is>
          <t>7: Recurrence, amputation, mortality, and population-level risk stratification</t>
        </is>
      </c>
      <c r="D37" s="5" t="inlineStr">
        <is>
          <t>Toward machine-learning-based decision support in diabetes care: A risk stratification study on diabetic foot ulcer and amputation</t>
        </is>
      </c>
      <c r="E37" t="inlineStr">
        <is>
          <t>10.3389/fmed.2020.601602</t>
        </is>
      </c>
      <c r="F37" s="5" t="inlineStr">
        <is>
          <t>Risk stratification for recurrence, amputation, or mortality</t>
        </is>
      </c>
      <c r="G37" s="5" t="inlineStr">
        <is>
          <t>Clinical / EMR variables</t>
        </is>
      </c>
      <c r="H37" s="6" t="inlineStr">
        <is>
          <t>1</t>
        </is>
      </c>
      <c r="K37" s="5" t="inlineStr">
        <is>
          <t xml:space="preserve">; </t>
        </is>
      </c>
      <c r="M37" s="5" t="inlineStr">
        <is>
          <t>100.0</t>
        </is>
      </c>
      <c r="N37" s="5" t="inlineStr">
        <is>
          <t>YES</t>
        </is>
      </c>
    </row>
    <row r="38">
      <c r="A38" s="6" t="n">
        <v>311</v>
      </c>
      <c r="B38" s="5" t="inlineStr">
        <is>
          <t>S4</t>
        </is>
      </c>
      <c r="C38" s="5" t="inlineStr">
        <is>
          <t>7: Recurrence, amputation, mortality, and population-level risk stratification</t>
        </is>
      </c>
      <c r="D38" s="5" t="inlineStr">
        <is>
          <t>Survival prediction in diabetic foot ulcers: a machine learning approach</t>
        </is>
      </c>
      <c r="E38" s="5" t="inlineStr">
        <is>
          <t>10.3390/jcm12185816</t>
        </is>
      </c>
      <c r="F38" s="5" t="inlineStr">
        <is>
          <t>Risk stratification for recurrence, amputation, or mortality</t>
        </is>
      </c>
      <c r="G38" s="5" t="inlineStr">
        <is>
          <t>Clinical / EMR variables</t>
        </is>
      </c>
      <c r="H38" s="6" t="inlineStr">
        <is>
          <t>1</t>
        </is>
      </c>
      <c r="K38" s="5" t="inlineStr">
        <is>
          <t xml:space="preserve">; </t>
        </is>
      </c>
      <c r="M38" s="5" t="inlineStr">
        <is>
          <t>100.0</t>
        </is>
      </c>
      <c r="N38" s="5" t="inlineStr">
        <is>
          <t>YES</t>
        </is>
      </c>
    </row>
    <row r="39">
      <c r="A39" s="6" t="n">
        <v>312</v>
      </c>
      <c r="B39" s="5" t="inlineStr">
        <is>
          <t>S4</t>
        </is>
      </c>
      <c r="C39" s="5" t="inlineStr">
        <is>
          <t>7: Recurrence, amputation, mortality, and population-level risk stratification</t>
        </is>
      </c>
      <c r="D39" s="5" t="inlineStr">
        <is>
          <t>An interpreting machine learning models to predict amputation risk in patients with diabetic foot ulcers: a multi-center study</t>
        </is>
      </c>
      <c r="E39" s="5" t="n"/>
      <c r="F39" s="5" t="inlineStr">
        <is>
          <t>Risk stratification for recurrence, amputation, or mortality</t>
        </is>
      </c>
      <c r="G39" s="5" t="inlineStr">
        <is>
          <t>Clinical / EMR variables</t>
        </is>
      </c>
      <c r="H39" s="6" t="inlineStr">
        <is>
          <t>1</t>
        </is>
      </c>
      <c r="K39" s="5" t="inlineStr">
        <is>
          <t xml:space="preserve">; </t>
        </is>
      </c>
      <c r="M39" s="5" t="inlineStr">
        <is>
          <t>100.0</t>
        </is>
      </c>
      <c r="N39" s="5" t="inlineStr">
        <is>
          <t>YES</t>
        </is>
      </c>
    </row>
    <row r="40">
      <c r="A40" s="6" t="n">
        <v>312</v>
      </c>
      <c r="B40" s="5" t="inlineStr">
        <is>
          <t>S4</t>
        </is>
      </c>
      <c r="C40" s="5" t="inlineStr">
        <is>
          <t>7: Recurrence, amputation, mortality, and population-level risk stratification</t>
        </is>
      </c>
      <c r="D40" s="5" t="inlineStr">
        <is>
          <t>An interpreting machine learning models to predict amputation risk in patients with diabetic foot ulcers: a multi-center study</t>
        </is>
      </c>
      <c r="F40" s="5" t="inlineStr">
        <is>
          <t>Risk stratification for recurrence, amputation, or mortality</t>
        </is>
      </c>
      <c r="G40" s="5" t="inlineStr">
        <is>
          <t>Multimodal / advanced imaging</t>
        </is>
      </c>
      <c r="H40" s="6" t="inlineStr">
        <is>
          <t>1</t>
        </is>
      </c>
      <c r="K40" s="5" t="inlineStr">
        <is>
          <t xml:space="preserve">; </t>
        </is>
      </c>
      <c r="M40" s="5" t="inlineStr">
        <is>
          <t>100.0</t>
        </is>
      </c>
      <c r="N40" s="5" t="inlineStr">
        <is>
          <t>YES</t>
        </is>
      </c>
    </row>
    <row r="41">
      <c r="A41" s="6" t="n">
        <v>330</v>
      </c>
      <c r="B41" s="5" t="inlineStr">
        <is>
          <t>S4</t>
        </is>
      </c>
      <c r="C41" s="5" t="inlineStr">
        <is>
          <t>9: Release-kinetic and exposure-duration optimization</t>
        </is>
      </c>
      <c r="D41" s="5" t="inlineStr">
        <is>
          <t>Automated active learning to optimize hydrogel drug release profiles</t>
        </is>
      </c>
      <c r="E41" t="inlineStr">
        <is>
          <t>10.1016/j.jconrel.2026.114602</t>
        </is>
      </c>
      <c r="F41" s="5" t="inlineStr">
        <is>
          <t>Biomaterial design and formulation optimization</t>
        </is>
      </c>
      <c r="G41" s="5" t="inlineStr">
        <is>
          <t>Material / formulation descriptors</t>
        </is>
      </c>
      <c r="H41" s="6" t="inlineStr">
        <is>
          <t>1</t>
        </is>
      </c>
      <c r="K41" s="5" t="inlineStr">
        <is>
          <t xml:space="preserve">; </t>
        </is>
      </c>
      <c r="M41" s="5" t="inlineStr">
        <is>
          <t>100.0</t>
        </is>
      </c>
      <c r="N41" s="5" t="inlineStr">
        <is>
          <t>YES</t>
        </is>
      </c>
    </row>
    <row r="42">
      <c r="A42" s="6" t="n">
        <v>342</v>
      </c>
      <c r="B42" s="5" t="inlineStr">
        <is>
          <t>S4</t>
        </is>
      </c>
      <c r="C42" s="5" t="inlineStr">
        <is>
          <t>12: AI-enabled wound-state sensing and classification</t>
        </is>
      </c>
      <c r="D42" s="5" t="inlineStr">
        <is>
          <t>Battery-free and AI-enabled multiplexed sensor patches for wound monitoring</t>
        </is>
      </c>
      <c r="E42" s="5" t="inlineStr">
        <is>
          <t>10.1126/sciadv.adg6670</t>
        </is>
      </c>
      <c r="F42" s="5" t="inlineStr">
        <is>
          <t>AI-enabled wound-status sensing and classification</t>
        </is>
      </c>
      <c r="G42" s="5" t="inlineStr">
        <is>
          <t>Sensor / electronic signals</t>
        </is>
      </c>
      <c r="H42" s="6" t="inlineStr">
        <is>
          <t>1</t>
        </is>
      </c>
      <c r="K42" s="5" t="inlineStr">
        <is>
          <t xml:space="preserve">; </t>
        </is>
      </c>
      <c r="M42" s="5" t="inlineStr">
        <is>
          <t>100.0</t>
        </is>
      </c>
      <c r="N42" s="5" t="inlineStr">
        <is>
          <t>YES</t>
        </is>
      </c>
    </row>
    <row r="43">
      <c r="A43" s="6" t="n">
        <v>342</v>
      </c>
      <c r="B43" s="5" t="inlineStr">
        <is>
          <t>S4</t>
        </is>
      </c>
      <c r="C43" s="5" t="inlineStr">
        <is>
          <t>12: AI-enabled wound-state sensing and classification</t>
        </is>
      </c>
      <c r="D43" s="5" t="inlineStr">
        <is>
          <t>Battery-free and AI-enabled multiplexed sensor patches for wound monitoring</t>
        </is>
      </c>
      <c r="E43" s="5" t="inlineStr">
        <is>
          <t>10.1126/sciadv.adg6670</t>
        </is>
      </c>
      <c r="F43" s="5" t="inlineStr">
        <is>
          <t>AI-enabled wound-status sensing and classification</t>
        </is>
      </c>
      <c r="G43" s="5" t="inlineStr">
        <is>
          <t>2D wound images</t>
        </is>
      </c>
      <c r="H43" s="6" t="inlineStr">
        <is>
          <t>1</t>
        </is>
      </c>
      <c r="K43" s="5" t="inlineStr">
        <is>
          <t xml:space="preserve">; </t>
        </is>
      </c>
      <c r="M43" s="5" t="inlineStr">
        <is>
          <t>100.0</t>
        </is>
      </c>
      <c r="N43" s="5" t="inlineStr">
        <is>
          <t>YES</t>
        </is>
      </c>
    </row>
    <row r="44">
      <c r="A44" s="6" t="n">
        <v>102</v>
      </c>
      <c r="B44" s="5" t="inlineStr">
        <is>
          <t>S4</t>
        </is>
      </c>
      <c r="C44" s="5" t="inlineStr">
        <is>
          <t>12: AI-enabled wound-state sensing and classification</t>
        </is>
      </c>
      <c r="D44" s="5" t="inlineStr">
        <is>
          <t>Multifunctional hydrogel as wound dressing for intelligent wound monitoring</t>
        </is>
      </c>
      <c r="E44" s="5" t="inlineStr">
        <is>
          <t>10.1016/j.cej.2022.134625</t>
        </is>
      </c>
      <c r="F44" s="5" t="inlineStr">
        <is>
          <t>AI-enabled wound-status sensing and classification</t>
        </is>
      </c>
      <c r="G44" s="5" t="inlineStr">
        <is>
          <t>Sensor / electronic signals</t>
        </is>
      </c>
      <c r="H44" s="6" t="inlineStr">
        <is>
          <t>1</t>
        </is>
      </c>
      <c r="K44" s="5" t="inlineStr">
        <is>
          <t xml:space="preserve">; </t>
        </is>
      </c>
      <c r="M44" s="5" t="inlineStr">
        <is>
          <t>100.0</t>
        </is>
      </c>
      <c r="N44" s="5" t="inlineStr">
        <is>
          <t>YES</t>
        </is>
      </c>
    </row>
    <row r="45">
      <c r="A45" s="6" t="n">
        <v>102</v>
      </c>
      <c r="B45" s="5" t="inlineStr">
        <is>
          <t>S4</t>
        </is>
      </c>
      <c r="C45" s="5" t="inlineStr">
        <is>
          <t>12: AI-enabled wound-state sensing and classification</t>
        </is>
      </c>
      <c r="D45" s="5" t="inlineStr">
        <is>
          <t>Multifunctional hydrogel as wound dressing for intelligent wound monitoring</t>
        </is>
      </c>
      <c r="E45" s="5" t="inlineStr">
        <is>
          <t>10.1016/j.cej.2022.134625</t>
        </is>
      </c>
      <c r="F45" s="5" t="inlineStr">
        <is>
          <t>AI-enabled wound-status sensing and classification</t>
        </is>
      </c>
      <c r="G45" s="5" t="inlineStr">
        <is>
          <t>2D wound images</t>
        </is>
      </c>
      <c r="H45" s="6" t="inlineStr">
        <is>
          <t>1</t>
        </is>
      </c>
      <c r="K45" s="5" t="inlineStr">
        <is>
          <t xml:space="preserve">; </t>
        </is>
      </c>
      <c r="M45" s="5" t="inlineStr">
        <is>
          <t>100.0</t>
        </is>
      </c>
      <c r="N45" s="5" t="inlineStr">
        <is>
          <t>YES</t>
        </is>
      </c>
    </row>
    <row r="46">
      <c r="A46" s="6" t="n">
        <v>340</v>
      </c>
      <c r="B46" s="5" t="inlineStr">
        <is>
          <t>S4</t>
        </is>
      </c>
      <c r="C46" s="5" t="inlineStr">
        <is>
          <t>13: Feedback-capable smart dressings with sensing and controlled release</t>
        </is>
      </c>
      <c r="D46" s="5" t="inlineStr">
        <is>
          <t>Battery‐free and wireless smart wound dressing for wound infection monitoring and electrically controlled on‐demand drug delivery</t>
        </is>
      </c>
      <c r="E46" s="5" t="n"/>
      <c r="F46" s="5" t="inlineStr">
        <is>
          <t>AI-ready smart sensing and closed-loop therapeutic platforms</t>
        </is>
      </c>
      <c r="G46" s="5" t="inlineStr">
        <is>
          <t>Sensor / electronic signals</t>
        </is>
      </c>
      <c r="H46" s="6" t="inlineStr">
        <is>
          <t>1</t>
        </is>
      </c>
      <c r="K46" s="5" t="inlineStr">
        <is>
          <t xml:space="preserve">; </t>
        </is>
      </c>
      <c r="M46" s="5" t="inlineStr">
        <is>
          <t>100.0</t>
        </is>
      </c>
      <c r="N46" s="5" t="inlineStr">
        <is>
          <t>YES</t>
        </is>
      </c>
    </row>
    <row r="47">
      <c r="A47" s="6" t="n">
        <v>340</v>
      </c>
      <c r="B47" s="5" t="inlineStr">
        <is>
          <t>S4</t>
        </is>
      </c>
      <c r="C47" s="5" t="inlineStr">
        <is>
          <t>13: Feedback-capable smart dressings with sensing and controlled release</t>
        </is>
      </c>
      <c r="D47" s="5" t="inlineStr">
        <is>
          <t>Battery‐free and wireless smart wound dressing for wound infection monitoring and electrically controlled on‐demand drug delivery</t>
        </is>
      </c>
      <c r="F47" s="5" t="inlineStr">
        <is>
          <t>AI-ready smart sensing and closed-loop therapeutic platforms</t>
        </is>
      </c>
      <c r="G47" s="5" t="inlineStr">
        <is>
          <t>Closed-loop / actuation variables</t>
        </is>
      </c>
      <c r="H47" s="6" t="inlineStr">
        <is>
          <t>1</t>
        </is>
      </c>
      <c r="K47" s="5" t="inlineStr">
        <is>
          <t xml:space="preserve">; </t>
        </is>
      </c>
      <c r="M47" s="5" t="inlineStr">
        <is>
          <t>100.0</t>
        </is>
      </c>
      <c r="N47" s="5" t="inlineStr">
        <is>
          <t>YES</t>
        </is>
      </c>
    </row>
    <row r="48">
      <c r="A48" s="6" t="n">
        <v>341</v>
      </c>
      <c r="B48" s="5" t="inlineStr">
        <is>
          <t>S4</t>
        </is>
      </c>
      <c r="C48" s="5" t="inlineStr">
        <is>
          <t>13: Feedback-capable smart dressings with sensing and controlled release</t>
        </is>
      </c>
      <c r="D48" s="5" t="inlineStr">
        <is>
          <t>A closed-loop smart dressing based on microneedle and electrochemical micropump for early diagnosis and in-time therapy of chronic wound</t>
        </is>
      </c>
      <c r="F48" s="5" t="inlineStr">
        <is>
          <t>AI-ready smart sensing and closed-loop therapeutic platforms</t>
        </is>
      </c>
      <c r="G48" s="5" t="inlineStr">
        <is>
          <t>Sensor / electronic signals</t>
        </is>
      </c>
      <c r="H48" s="6" t="inlineStr">
        <is>
          <t>1</t>
        </is>
      </c>
      <c r="K48" s="5" t="inlineStr">
        <is>
          <t xml:space="preserve">; </t>
        </is>
      </c>
      <c r="M48" s="5" t="inlineStr">
        <is>
          <t>100.0</t>
        </is>
      </c>
      <c r="N48" s="5" t="inlineStr">
        <is>
          <t>YES</t>
        </is>
      </c>
    </row>
    <row r="49">
      <c r="A49" s="6" t="n">
        <v>341</v>
      </c>
      <c r="B49" s="5" t="inlineStr">
        <is>
          <t>S4</t>
        </is>
      </c>
      <c r="C49" s="5" t="inlineStr">
        <is>
          <t>13: Feedback-capable smart dressings with sensing and controlled release</t>
        </is>
      </c>
      <c r="D49" s="5" t="inlineStr">
        <is>
          <t>A closed-loop smart dressing based on microneedle and electrochemical micropump for early diagnosis and in-time therapy of chronic wound</t>
        </is>
      </c>
      <c r="F49" s="5" t="inlineStr">
        <is>
          <t>AI-ready smart sensing and closed-loop therapeutic platforms</t>
        </is>
      </c>
      <c r="G49" s="5" t="inlineStr">
        <is>
          <t>Closed-loop / actuation variables</t>
        </is>
      </c>
      <c r="H49" s="6" t="inlineStr">
        <is>
          <t>1</t>
        </is>
      </c>
      <c r="K49" s="5" t="inlineStr">
        <is>
          <t xml:space="preserve">; </t>
        </is>
      </c>
      <c r="M49" s="5" t="inlineStr">
        <is>
          <t>100.0</t>
        </is>
      </c>
      <c r="N49" s="5" t="inlineStr">
        <is>
          <t>YES</t>
        </is>
      </c>
    </row>
    <row r="50">
      <c r="A50" s="6" t="n">
        <v>343</v>
      </c>
      <c r="B50" s="5" t="inlineStr">
        <is>
          <t>S4</t>
        </is>
      </c>
      <c r="C50" s="5" t="inlineStr">
        <is>
          <t>13: Feedback-capable smart dressings with sensing and controlled release</t>
        </is>
      </c>
      <c r="D50" s="5" t="inlineStr">
        <is>
          <t>Wireless and closed‐loop smart dressing for exudate management and on‐demand treatment of chronic wounds</t>
        </is>
      </c>
      <c r="F50" s="5" t="inlineStr">
        <is>
          <t>AI-ready smart sensing and closed-loop therapeutic platforms</t>
        </is>
      </c>
      <c r="G50" s="5" t="inlineStr">
        <is>
          <t>Sensor / electronic signals</t>
        </is>
      </c>
      <c r="H50" s="6" t="inlineStr">
        <is>
          <t>1</t>
        </is>
      </c>
      <c r="K50" s="5" t="inlineStr">
        <is>
          <t xml:space="preserve">; </t>
        </is>
      </c>
      <c r="M50" s="5" t="inlineStr">
        <is>
          <t>100.0</t>
        </is>
      </c>
      <c r="N50" s="5" t="inlineStr">
        <is>
          <t>YES</t>
        </is>
      </c>
    </row>
    <row r="51">
      <c r="A51" s="6" t="n">
        <v>343</v>
      </c>
      <c r="B51" s="5" t="inlineStr">
        <is>
          <t>S4</t>
        </is>
      </c>
      <c r="C51" s="5" t="inlineStr">
        <is>
          <t>13: Feedback-capable smart dressings with sensing and controlled release</t>
        </is>
      </c>
      <c r="D51" s="5" t="inlineStr">
        <is>
          <t>Wireless and closed‐loop smart dressing for exudate management and on‐demand treatment of chronic wounds</t>
        </is>
      </c>
      <c r="F51" s="5" t="inlineStr">
        <is>
          <t>AI-ready smart sensing and closed-loop therapeutic platforms</t>
        </is>
      </c>
      <c r="G51" s="5" t="inlineStr">
        <is>
          <t>Closed-loop / actuation variables</t>
        </is>
      </c>
      <c r="H51" s="6" t="inlineStr">
        <is>
          <t>1</t>
        </is>
      </c>
      <c r="K51" s="5" t="inlineStr">
        <is>
          <t xml:space="preserve">; </t>
        </is>
      </c>
      <c r="M51" s="5" t="inlineStr">
        <is>
          <t>100.0</t>
        </is>
      </c>
      <c r="N51" s="5" t="inlineStr">
        <is>
          <t>YES</t>
        </is>
      </c>
    </row>
    <row r="52">
      <c r="A52" s="6" t="n">
        <v>344</v>
      </c>
      <c r="B52" s="5" t="inlineStr">
        <is>
          <t>S4</t>
        </is>
      </c>
      <c r="C52" s="5" t="inlineStr">
        <is>
          <t>13: Feedback-capable smart dressings with sensing and controlled release</t>
        </is>
      </c>
      <c r="D52" s="5" t="inlineStr">
        <is>
          <t>A conducting polymer-based array with multiplex sensing and drug delivery capabilities for smart bandages</t>
        </is>
      </c>
      <c r="F52" s="5" t="inlineStr">
        <is>
          <t>AI-ready smart sensing and closed-loop therapeutic platforms</t>
        </is>
      </c>
      <c r="G52" s="5" t="inlineStr">
        <is>
          <t>Sensor / electronic signals</t>
        </is>
      </c>
      <c r="H52" s="6" t="inlineStr">
        <is>
          <t>1</t>
        </is>
      </c>
      <c r="K52" s="5" t="inlineStr">
        <is>
          <t xml:space="preserve">; </t>
        </is>
      </c>
      <c r="M52" s="5" t="inlineStr">
        <is>
          <t>100.0</t>
        </is>
      </c>
      <c r="N52" s="5" t="inlineStr">
        <is>
          <t>YES</t>
        </is>
      </c>
    </row>
    <row r="53">
      <c r="A53" s="6" t="n">
        <v>344</v>
      </c>
      <c r="B53" s="5" t="inlineStr">
        <is>
          <t>S4</t>
        </is>
      </c>
      <c r="C53" s="5" t="inlineStr">
        <is>
          <t>13: Feedback-capable smart dressings with sensing and controlled release</t>
        </is>
      </c>
      <c r="D53" s="5" t="inlineStr">
        <is>
          <t>A conducting polymer-based array with multiplex sensing and drug delivery capabilities for smart bandages</t>
        </is>
      </c>
      <c r="F53" s="5" t="inlineStr">
        <is>
          <t>AI-ready smart sensing and closed-loop therapeutic platforms</t>
        </is>
      </c>
      <c r="G53" s="5" t="inlineStr">
        <is>
          <t>Closed-loop / actuation variables</t>
        </is>
      </c>
      <c r="H53" s="6" t="inlineStr">
        <is>
          <t>1</t>
        </is>
      </c>
      <c r="K53" s="5" t="inlineStr">
        <is>
          <t xml:space="preserve">; </t>
        </is>
      </c>
      <c r="M53" s="5" t="inlineStr">
        <is>
          <t>100.0</t>
        </is>
      </c>
      <c r="N53" s="5" t="inlineStr">
        <is>
          <t>YES</t>
        </is>
      </c>
    </row>
    <row r="54">
      <c r="A54" s="6" t="n">
        <v>345</v>
      </c>
      <c r="B54" s="5" t="inlineStr">
        <is>
          <t>S4</t>
        </is>
      </c>
      <c r="C54" s="5" t="inlineStr">
        <is>
          <t>13: Feedback-capable smart dressings with sensing and controlled release</t>
        </is>
      </c>
      <c r="D54" s="5" t="inlineStr">
        <is>
          <t>Wireless matrix metalloproteinase-9 sensing by smart wound dressing with controlled antibacterial nanoparticles release toward chronic wound management</t>
        </is>
      </c>
      <c r="E54" t="inlineStr">
        <is>
          <t>10.1016/j.bios.2024.116860</t>
        </is>
      </c>
      <c r="F54" s="5" t="inlineStr">
        <is>
          <t>AI-ready smart sensing and closed-loop therapeutic platforms</t>
        </is>
      </c>
      <c r="G54" s="5" t="inlineStr">
        <is>
          <t>Sensor / electronic signals</t>
        </is>
      </c>
      <c r="H54" s="6" t="inlineStr">
        <is>
          <t>1</t>
        </is>
      </c>
      <c r="K54" s="5" t="inlineStr">
        <is>
          <t xml:space="preserve">; </t>
        </is>
      </c>
      <c r="M54" s="5" t="inlineStr">
        <is>
          <t>100.0</t>
        </is>
      </c>
      <c r="N54" s="5" t="inlineStr">
        <is>
          <t>YES</t>
        </is>
      </c>
    </row>
    <row r="55">
      <c r="A55" s="6" t="n">
        <v>345</v>
      </c>
      <c r="B55" s="5" t="inlineStr">
        <is>
          <t>S4</t>
        </is>
      </c>
      <c r="C55" s="5" t="inlineStr">
        <is>
          <t>13: Feedback-capable smart dressings with sensing and controlled release</t>
        </is>
      </c>
      <c r="D55" s="5" t="inlineStr">
        <is>
          <t>Wireless matrix metalloproteinase-9 sensing by smart wound dressing with controlled antibacterial nanoparticles release toward chronic wound management</t>
        </is>
      </c>
      <c r="E55" s="5" t="inlineStr">
        <is>
          <t>10.1016/j.bios.2024.116860</t>
        </is>
      </c>
      <c r="F55" s="5" t="inlineStr">
        <is>
          <t>AI-ready smart sensing and closed-loop therapeutic platforms</t>
        </is>
      </c>
      <c r="G55" s="5" t="inlineStr">
        <is>
          <t>Closed-loop / actuation variables</t>
        </is>
      </c>
      <c r="H55" s="6" t="inlineStr">
        <is>
          <t>1</t>
        </is>
      </c>
      <c r="K55" s="5" t="inlineStr">
        <is>
          <t xml:space="preserve">; </t>
        </is>
      </c>
      <c r="M55" s="5" t="inlineStr">
        <is>
          <t>100.0</t>
        </is>
      </c>
      <c r="N55" s="5" t="inlineStr">
        <is>
          <t>YES</t>
        </is>
      </c>
    </row>
    <row r="56">
      <c r="A56" s="6" t="n">
        <v>345</v>
      </c>
      <c r="B56" s="5" t="inlineStr">
        <is>
          <t>S4</t>
        </is>
      </c>
      <c r="C56" s="5" t="inlineStr">
        <is>
          <t>13: Feedback-capable smart dressings with sensing and controlled release</t>
        </is>
      </c>
      <c r="D56" s="5" t="inlineStr">
        <is>
          <t>Wireless matrix metalloproteinase-9 sensing by smart wound dressing with controlled antibacterial nanoparticles release toward chronic wound management</t>
        </is>
      </c>
      <c r="E56" s="5" t="inlineStr">
        <is>
          <t>10.1016/j.bios.2024.116860</t>
        </is>
      </c>
      <c r="F56" s="5" t="inlineStr">
        <is>
          <t>AI-ready smart sensing and closed-loop therapeutic platforms</t>
        </is>
      </c>
      <c r="G56" s="5" t="inlineStr">
        <is>
          <t>Omics / molecular biomarkers</t>
        </is>
      </c>
      <c r="H56" s="6" t="inlineStr">
        <is>
          <t>1</t>
        </is>
      </c>
      <c r="K56" s="5" t="inlineStr">
        <is>
          <t xml:space="preserve">; </t>
        </is>
      </c>
      <c r="M56" s="5" t="inlineStr">
        <is>
          <t>100.0</t>
        </is>
      </c>
      <c r="N56" s="5" t="inlineStr">
        <is>
          <t>YES</t>
        </is>
      </c>
    </row>
    <row r="57">
      <c r="A57" s="6" t="n">
        <v>351</v>
      </c>
      <c r="B57" s="5" t="inlineStr">
        <is>
          <t>S4</t>
        </is>
      </c>
      <c r="C57" s="5" t="inlineStr">
        <is>
          <t>13: Feedback-capable smart dressings with sensing and controlled release</t>
        </is>
      </c>
      <c r="D57" s="5" t="inlineStr">
        <is>
          <t>Smart flexible electronics‐integrated wound dressing for real‐time monitoring and on‐demand treatment of infected wounds</t>
        </is>
      </c>
      <c r="E57" s="5" t="inlineStr">
        <is>
          <t>10.1002/advs.201902673</t>
        </is>
      </c>
      <c r="F57" s="5" t="inlineStr">
        <is>
          <t>AI-ready smart sensing and closed-loop therapeutic platforms</t>
        </is>
      </c>
      <c r="G57" s="5" t="inlineStr">
        <is>
          <t>Sensor / electronic signals</t>
        </is>
      </c>
      <c r="H57" s="6" t="inlineStr">
        <is>
          <t>1</t>
        </is>
      </c>
      <c r="K57" s="5" t="inlineStr">
        <is>
          <t xml:space="preserve">; </t>
        </is>
      </c>
      <c r="M57" s="5" t="inlineStr">
        <is>
          <t>100.0</t>
        </is>
      </c>
      <c r="N57" s="5" t="inlineStr">
        <is>
          <t>YES</t>
        </is>
      </c>
    </row>
    <row r="58">
      <c r="A58" s="6" t="n">
        <v>351</v>
      </c>
      <c r="B58" s="5" t="inlineStr">
        <is>
          <t>S4</t>
        </is>
      </c>
      <c r="C58" s="5" t="inlineStr">
        <is>
          <t>13: Feedback-capable smart dressings with sensing and controlled release</t>
        </is>
      </c>
      <c r="D58" s="5" t="inlineStr">
        <is>
          <t>Smart flexible electronics‐integrated wound dressing for real‐time monitoring and on‐demand treatment of infected wounds</t>
        </is>
      </c>
      <c r="E58" s="5" t="inlineStr">
        <is>
          <t>10.1002/advs.201902673</t>
        </is>
      </c>
      <c r="F58" s="5" t="inlineStr">
        <is>
          <t>AI-ready smart sensing and closed-loop therapeutic platforms</t>
        </is>
      </c>
      <c r="G58" s="5" t="inlineStr">
        <is>
          <t>Closed-loop / actuation variables</t>
        </is>
      </c>
      <c r="H58" s="6" t="inlineStr">
        <is>
          <t>1</t>
        </is>
      </c>
      <c r="K58" s="5" t="inlineStr">
        <is>
          <t xml:space="preserve">; </t>
        </is>
      </c>
      <c r="M58" s="5" t="inlineStr">
        <is>
          <t>100.0</t>
        </is>
      </c>
      <c r="N58" s="5" t="inlineStr">
        <is>
          <t>YES</t>
        </is>
      </c>
    </row>
    <row r="59">
      <c r="A59" s="6" t="n">
        <v>352</v>
      </c>
      <c r="B59" s="5" t="inlineStr">
        <is>
          <t>S4</t>
        </is>
      </c>
      <c r="C59" s="5" t="inlineStr">
        <is>
          <t>13: Feedback-capable smart dressings with sensing and controlled release</t>
        </is>
      </c>
      <c r="D59" s="5" t="inlineStr">
        <is>
          <t>A highly stretchable smart dressing for wound infection monitoring and treatment</t>
        </is>
      </c>
      <c r="E59" s="5" t="n"/>
      <c r="F59" s="5" t="inlineStr">
        <is>
          <t>AI-ready smart sensing and closed-loop therapeutic platforms</t>
        </is>
      </c>
      <c r="G59" s="5" t="inlineStr">
        <is>
          <t>Sensor / electronic signals</t>
        </is>
      </c>
      <c r="H59" s="6" t="inlineStr">
        <is>
          <t>1</t>
        </is>
      </c>
      <c r="K59" s="5" t="inlineStr">
        <is>
          <t xml:space="preserve">; </t>
        </is>
      </c>
      <c r="M59" s="5" t="inlineStr">
        <is>
          <t>100.0</t>
        </is>
      </c>
      <c r="N59" s="5" t="inlineStr">
        <is>
          <t>YES</t>
        </is>
      </c>
    </row>
    <row r="60">
      <c r="A60" s="6" t="n">
        <v>352</v>
      </c>
      <c r="B60" s="5" t="inlineStr">
        <is>
          <t>S4</t>
        </is>
      </c>
      <c r="C60" s="5" t="inlineStr">
        <is>
          <t>13: Feedback-capable smart dressings with sensing and controlled release</t>
        </is>
      </c>
      <c r="D60" s="5" t="inlineStr">
        <is>
          <t>A highly stretchable smart dressing for wound infection monitoring and treatment</t>
        </is>
      </c>
      <c r="F60" s="5" t="inlineStr">
        <is>
          <t>AI-ready smart sensing and closed-loop therapeutic platforms</t>
        </is>
      </c>
      <c r="G60" s="5" t="inlineStr">
        <is>
          <t>Closed-loop / actuation variables</t>
        </is>
      </c>
      <c r="H60" s="6" t="inlineStr">
        <is>
          <t>1</t>
        </is>
      </c>
      <c r="K60" s="5" t="inlineStr">
        <is>
          <t xml:space="preserve">; </t>
        </is>
      </c>
      <c r="M60" s="5" t="inlineStr">
        <is>
          <t>100.0</t>
        </is>
      </c>
      <c r="N60" s="5" t="inlineStr">
        <is>
          <t>YES</t>
        </is>
      </c>
    </row>
    <row r="61">
      <c r="A61" s="6" t="n">
        <v>346</v>
      </c>
      <c r="B61" s="5" t="inlineStr">
        <is>
          <t>S4</t>
        </is>
      </c>
      <c r="C61" s="5" t="inlineStr">
        <is>
          <t>14: Wound-cue-mediated adaptive release and integrated therapeutic feedback</t>
        </is>
      </c>
      <c r="D61" s="5" t="inlineStr">
        <is>
          <t>Closed‐Loop Responsive Smart Bandages for Dynamic Monitoring and Self‐Regulated Antibacterial Therapy in Wound Healing</t>
        </is>
      </c>
      <c r="F61" s="5" t="inlineStr">
        <is>
          <t>AI-ready smart sensing and closed-loop therapeutic platforms</t>
        </is>
      </c>
      <c r="G61" s="5" t="inlineStr">
        <is>
          <t>Sensor / electronic signals</t>
        </is>
      </c>
      <c r="H61" s="6" t="inlineStr">
        <is>
          <t>1</t>
        </is>
      </c>
      <c r="K61" s="5" t="inlineStr">
        <is>
          <t xml:space="preserve">; </t>
        </is>
      </c>
      <c r="M61" s="5" t="inlineStr">
        <is>
          <t>100.0</t>
        </is>
      </c>
      <c r="N61" s="5" t="inlineStr">
        <is>
          <t>YES</t>
        </is>
      </c>
    </row>
    <row r="62">
      <c r="A62" s="6" t="n">
        <v>346</v>
      </c>
      <c r="B62" s="5" t="inlineStr">
        <is>
          <t>S4</t>
        </is>
      </c>
      <c r="C62" s="5" t="inlineStr">
        <is>
          <t>14: Wound-cue-mediated adaptive release and integrated therapeutic feedback</t>
        </is>
      </c>
      <c r="D62" s="5" t="inlineStr">
        <is>
          <t>Closed‐Loop Responsive Smart Bandages for Dynamic Monitoring and Self‐Regulated Antibacterial Therapy in Wound Healing</t>
        </is>
      </c>
      <c r="F62" s="5" t="inlineStr">
        <is>
          <t>AI-ready smart sensing and closed-loop therapeutic platforms</t>
        </is>
      </c>
      <c r="G62" s="5" t="inlineStr">
        <is>
          <t>Closed-loop / actuation variables</t>
        </is>
      </c>
      <c r="H62" s="6" t="inlineStr">
        <is>
          <t>1</t>
        </is>
      </c>
      <c r="K62" s="5" t="inlineStr">
        <is>
          <t xml:space="preserve">; </t>
        </is>
      </c>
      <c r="M62" s="5" t="inlineStr">
        <is>
          <t>100.0</t>
        </is>
      </c>
      <c r="N62" s="5" t="inlineStr">
        <is>
          <t>YES</t>
        </is>
      </c>
    </row>
    <row r="63">
      <c r="A63" s="6" t="n">
        <v>347</v>
      </c>
      <c r="B63" s="5" t="inlineStr">
        <is>
          <t>S4</t>
        </is>
      </c>
      <c r="C63" s="5" t="inlineStr">
        <is>
          <t>14: Wound-cue-mediated adaptive release and integrated therapeutic feedback</t>
        </is>
      </c>
      <c r="D63" s="5" t="inlineStr">
        <is>
          <t>A closed-loop patch based on bioinspired infection sensor for wound management</t>
        </is>
      </c>
      <c r="E63" t="inlineStr">
        <is>
          <t>10.1016/j.nantod.2024.102400</t>
        </is>
      </c>
      <c r="F63" s="5" t="inlineStr">
        <is>
          <t>AI-ready smart sensing and closed-loop therapeutic platforms</t>
        </is>
      </c>
      <c r="G63" s="5" t="inlineStr">
        <is>
          <t>Sensor / electronic signals</t>
        </is>
      </c>
      <c r="H63" s="6" t="inlineStr">
        <is>
          <t>1</t>
        </is>
      </c>
      <c r="K63" s="5" t="inlineStr">
        <is>
          <t xml:space="preserve">; </t>
        </is>
      </c>
      <c r="M63" s="5" t="inlineStr">
        <is>
          <t>100.0</t>
        </is>
      </c>
      <c r="N63" s="5" t="inlineStr">
        <is>
          <t>YES</t>
        </is>
      </c>
    </row>
    <row r="64">
      <c r="A64" s="6" t="n">
        <v>347</v>
      </c>
      <c r="B64" s="5" t="inlineStr">
        <is>
          <t>S4</t>
        </is>
      </c>
      <c r="C64" s="5" t="inlineStr">
        <is>
          <t>14: Wound-cue-mediated adaptive release and integrated therapeutic feedback</t>
        </is>
      </c>
      <c r="D64" s="5" t="inlineStr">
        <is>
          <t>A closed-loop patch based on bioinspired infection sensor for wound management</t>
        </is>
      </c>
      <c r="E64" s="5" t="inlineStr">
        <is>
          <t>10.1016/j.nantod.2024.102400</t>
        </is>
      </c>
      <c r="F64" s="5" t="inlineStr">
        <is>
          <t>AI-ready smart sensing and closed-loop therapeutic platforms</t>
        </is>
      </c>
      <c r="G64" s="5" t="inlineStr">
        <is>
          <t>Closed-loop / actuation variables</t>
        </is>
      </c>
      <c r="H64" s="6" t="inlineStr">
        <is>
          <t>1</t>
        </is>
      </c>
      <c r="K64" s="5" t="inlineStr">
        <is>
          <t xml:space="preserve">; </t>
        </is>
      </c>
      <c r="M64" s="5" t="inlineStr">
        <is>
          <t>100.0</t>
        </is>
      </c>
      <c r="N64" s="5" t="inlineStr">
        <is>
          <t>YES</t>
        </is>
      </c>
    </row>
    <row r="65">
      <c r="A65" s="6" t="n">
        <v>348</v>
      </c>
      <c r="B65" s="5" t="inlineStr">
        <is>
          <t>S4</t>
        </is>
      </c>
      <c r="C65" s="5" t="inlineStr">
        <is>
          <t>14: Wound-cue-mediated adaptive release and integrated therapeutic feedback</t>
        </is>
      </c>
      <c r="D65" s="5" t="inlineStr">
        <is>
          <t>Injectable hydrogels with integrated Ph probes and ultrasound‐responsive microcapsules as smart wound dressings for visual monitoring and on‐demand treatment of chronic wounds</t>
        </is>
      </c>
      <c r="E65" s="5" t="n"/>
      <c r="F65" s="5" t="inlineStr">
        <is>
          <t>AI-ready smart sensing and closed-loop therapeutic platforms</t>
        </is>
      </c>
      <c r="G65" s="5" t="inlineStr">
        <is>
          <t>Sensor / electronic signals</t>
        </is>
      </c>
      <c r="H65" s="6" t="inlineStr">
        <is>
          <t>1</t>
        </is>
      </c>
      <c r="K65" s="5" t="inlineStr">
        <is>
          <t xml:space="preserve">; </t>
        </is>
      </c>
      <c r="M65" s="5" t="inlineStr">
        <is>
          <t>100.0</t>
        </is>
      </c>
      <c r="N65" s="5" t="inlineStr">
        <is>
          <t>YES</t>
        </is>
      </c>
    </row>
    <row r="66">
      <c r="A66" s="6" t="n">
        <v>348</v>
      </c>
      <c r="B66" s="5" t="inlineStr">
        <is>
          <t>S4</t>
        </is>
      </c>
      <c r="C66" s="5" t="inlineStr">
        <is>
          <t>14: Wound-cue-mediated adaptive release and integrated therapeutic feedback</t>
        </is>
      </c>
      <c r="D66" s="5" t="inlineStr">
        <is>
          <t>Injectable hydrogels with integrated Ph probes and ultrasound‐responsive microcapsules as smart wound dressings for visual monitoring and on‐demand treatment of chronic wounds</t>
        </is>
      </c>
      <c r="F66" s="5" t="inlineStr">
        <is>
          <t>AI-ready smart sensing and closed-loop therapeutic platforms</t>
        </is>
      </c>
      <c r="G66" s="5" t="inlineStr">
        <is>
          <t>Closed-loop / actuation variables</t>
        </is>
      </c>
      <c r="H66" s="6" t="inlineStr">
        <is>
          <t>1</t>
        </is>
      </c>
      <c r="K66" s="5" t="inlineStr">
        <is>
          <t xml:space="preserve">; </t>
        </is>
      </c>
      <c r="M66" s="5" t="inlineStr">
        <is>
          <t>100.0</t>
        </is>
      </c>
      <c r="N66" s="5" t="inlineStr">
        <is>
          <t>YES</t>
        </is>
      </c>
    </row>
    <row r="67">
      <c r="A67" s="6" t="n">
        <v>349</v>
      </c>
      <c r="B67" s="5" t="inlineStr">
        <is>
          <t>S4</t>
        </is>
      </c>
      <c r="C67" s="5" t="inlineStr">
        <is>
          <t>14: Wound-cue-mediated adaptive release and integrated therapeutic feedback</t>
        </is>
      </c>
      <c r="D67" s="5" t="inlineStr">
        <is>
          <t>A skin-interfaced three-dimensional closed-loop sensing and therapeutic electronic wound bandage</t>
        </is>
      </c>
      <c r="E67" t="inlineStr">
        <is>
          <t>10.1038/s41467-025-61261-8</t>
        </is>
      </c>
      <c r="F67" s="5" t="inlineStr">
        <is>
          <t>AI-ready smart sensing and closed-loop therapeutic platforms</t>
        </is>
      </c>
      <c r="G67" s="5" t="inlineStr">
        <is>
          <t>Sensor / electronic signals</t>
        </is>
      </c>
      <c r="H67" s="6" t="inlineStr">
        <is>
          <t>1</t>
        </is>
      </c>
      <c r="K67" s="5" t="inlineStr">
        <is>
          <t xml:space="preserve">; </t>
        </is>
      </c>
      <c r="M67" s="5" t="inlineStr">
        <is>
          <t>100.0</t>
        </is>
      </c>
      <c r="N67" s="5" t="inlineStr">
        <is>
          <t>YES</t>
        </is>
      </c>
    </row>
    <row r="68">
      <c r="A68" s="6" t="n">
        <v>349</v>
      </c>
      <c r="B68" s="5" t="inlineStr">
        <is>
          <t>S4</t>
        </is>
      </c>
      <c r="C68" s="5" t="inlineStr">
        <is>
          <t>14: Wound-cue-mediated adaptive release and integrated therapeutic feedback</t>
        </is>
      </c>
      <c r="D68" s="5" t="inlineStr">
        <is>
          <t>A skin-interfaced three-dimensional closed-loop sensing and therapeutic electronic wound bandage</t>
        </is>
      </c>
      <c r="E68" s="5" t="inlineStr">
        <is>
          <t>10.1038/s41467-025-61261-8</t>
        </is>
      </c>
      <c r="F68" s="5" t="inlineStr">
        <is>
          <t>AI-ready smart sensing and closed-loop therapeutic platforms</t>
        </is>
      </c>
      <c r="G68" s="5" t="inlineStr">
        <is>
          <t>Closed-loop / actuation variables</t>
        </is>
      </c>
      <c r="H68" s="6" t="inlineStr">
        <is>
          <t>1</t>
        </is>
      </c>
      <c r="K68" s="5" t="inlineStr">
        <is>
          <t xml:space="preserve">; </t>
        </is>
      </c>
      <c r="M68" s="5" t="inlineStr">
        <is>
          <t>100.0</t>
        </is>
      </c>
      <c r="N68" s="5" t="inlineStr">
        <is>
          <t>YES</t>
        </is>
      </c>
    </row>
    <row r="69">
      <c r="A69" s="6" t="n">
        <v>353</v>
      </c>
      <c r="B69" s="5" t="inlineStr">
        <is>
          <t>S4</t>
        </is>
      </c>
      <c r="C69" s="5" t="inlineStr">
        <is>
          <t>14: Wound-cue-mediated adaptive release and integrated therapeutic feedback</t>
        </is>
      </c>
      <c r="D69" s="5" t="inlineStr">
        <is>
          <t>Wearable, battery-free, and wireless microneedle-based bioelectronics for robustly-integrated chronic wound management and therapeutic diagnosis</t>
        </is>
      </c>
      <c r="E69" s="5" t="n"/>
      <c r="F69" s="5" t="inlineStr">
        <is>
          <t>AI-ready smart sensing and closed-loop therapeutic platforms</t>
        </is>
      </c>
      <c r="G69" s="5" t="inlineStr">
        <is>
          <t>Sensor / electronic signals</t>
        </is>
      </c>
      <c r="H69" s="6" t="inlineStr">
        <is>
          <t>1</t>
        </is>
      </c>
      <c r="K69" s="5" t="inlineStr">
        <is>
          <t xml:space="preserve">; </t>
        </is>
      </c>
      <c r="M69" s="5" t="inlineStr">
        <is>
          <t>100.0</t>
        </is>
      </c>
      <c r="N69" s="5" t="inlineStr">
        <is>
          <t>YES</t>
        </is>
      </c>
    </row>
    <row r="70">
      <c r="A70" s="6" t="n">
        <v>353</v>
      </c>
      <c r="B70" s="5" t="inlineStr">
        <is>
          <t>S4</t>
        </is>
      </c>
      <c r="C70" s="5" t="inlineStr">
        <is>
          <t>14: Wound-cue-mediated adaptive release and integrated therapeutic feedback</t>
        </is>
      </c>
      <c r="D70" s="5" t="inlineStr">
        <is>
          <t>Wearable, battery-free, and wireless microneedle-based bioelectronics for robustly-integrated chronic wound management and therapeutic diagnosis</t>
        </is>
      </c>
      <c r="F70" s="5" t="inlineStr">
        <is>
          <t>AI-ready smart sensing and closed-loop therapeutic platforms</t>
        </is>
      </c>
      <c r="G70" s="5" t="inlineStr">
        <is>
          <t>Closed-loop / actuation variables</t>
        </is>
      </c>
      <c r="H70" s="6" t="inlineStr">
        <is>
          <t>1</t>
        </is>
      </c>
      <c r="K70" s="5" t="inlineStr">
        <is>
          <t xml:space="preserve">; </t>
        </is>
      </c>
      <c r="M70" s="5" t="inlineStr">
        <is>
          <t>100.0</t>
        </is>
      </c>
      <c r="N70" s="5" t="inlineStr">
        <is>
          <t>YES</t>
        </is>
      </c>
    </row>
    <row r="71">
      <c r="A71" s="6" t="n">
        <v>295</v>
      </c>
      <c r="B71" s="5" t="inlineStr">
        <is>
          <t>S4</t>
        </is>
      </c>
      <c r="C71" s="5" t="inlineStr">
        <is>
          <t>5: Longitudinal healing trajectory and time-to-closure prediction</t>
        </is>
      </c>
      <c r="D71" s="5" t="inlineStr">
        <is>
          <t>Machine learning models for predicting the risk of hard-to-heal diabetic foot ulcers in a Chinese population</t>
        </is>
      </c>
      <c r="E71" t="inlineStr">
        <is>
          <t>10.2147/DMSO.S383960</t>
        </is>
      </c>
      <c r="F71" s="5" t="inlineStr">
        <is>
          <t>Healing prediction, prognosis, and trajectory modeling</t>
        </is>
      </c>
      <c r="G71" s="5" t="inlineStr">
        <is>
          <t>Clinical / EMR variables</t>
        </is>
      </c>
      <c r="H71" s="6" t="inlineStr">
        <is>
          <t>1</t>
        </is>
      </c>
      <c r="K71" s="5" t="inlineStr">
        <is>
          <t xml:space="preserve">; </t>
        </is>
      </c>
      <c r="M71" s="5" t="inlineStr">
        <is>
          <t>100.0</t>
        </is>
      </c>
      <c r="N71" s="5" t="inlineStr">
        <is>
          <t>YES</t>
        </is>
      </c>
    </row>
    <row r="72">
      <c r="A72" s="6" t="n">
        <v>321</v>
      </c>
      <c r="B72" s="5" t="inlineStr">
        <is>
          <t>S4</t>
        </is>
      </c>
      <c r="C72" s="5" t="inlineStr">
        <is>
          <t>10: Biologically constrained formulation optimization</t>
        </is>
      </c>
      <c r="D72" s="5" t="inlineStr">
        <is>
          <t>Machine learning-driven optimization of therapeutic substance composition for high-hardness, fast-dissolving microneedles for androgenetic alopecia treatment</t>
        </is>
      </c>
      <c r="E72" s="5" t="inlineStr">
        <is>
          <t>10.1021/acsnano.5c05505</t>
        </is>
      </c>
      <c r="F72" s="5" t="inlineStr">
        <is>
          <t>Biomaterial design and formulation optimization</t>
        </is>
      </c>
      <c r="G72" s="5" t="inlineStr">
        <is>
          <t>Material / formulation descriptors</t>
        </is>
      </c>
      <c r="H72" s="6" t="inlineStr">
        <is>
          <t>1</t>
        </is>
      </c>
      <c r="K72" s="5" t="inlineStr">
        <is>
          <t xml:space="preserve">; </t>
        </is>
      </c>
      <c r="M72" s="5" t="inlineStr">
        <is>
          <t>100.0</t>
        </is>
      </c>
      <c r="N72" s="5" t="inlineStr">
        <is>
          <t>YES</t>
        </is>
      </c>
    </row>
    <row r="73">
      <c r="A73" s="6" t="n">
        <v>331</v>
      </c>
      <c r="B73" s="5" t="inlineStr">
        <is>
          <t>S4</t>
        </is>
      </c>
      <c r="C73" s="5" t="inlineStr">
        <is>
          <t>9: Release-kinetic and exposure-duration optimization</t>
        </is>
      </c>
      <c r="D73" s="5" t="inlineStr">
        <is>
          <t>A hybrid machine learning framework for predicting drug-release profiles, kinetics, and mechanisms of temperature-responsive hydrogels</t>
        </is>
      </c>
      <c r="E73" s="5" t="inlineStr">
        <is>
          <t>10.1007/s00289-025-05645-2</t>
        </is>
      </c>
      <c r="F73" s="5" t="inlineStr">
        <is>
          <t>Biomaterial design and formulation optimization</t>
        </is>
      </c>
      <c r="G73" s="5" t="inlineStr">
        <is>
          <t>Material / formulation descriptors</t>
        </is>
      </c>
      <c r="H73" s="6" t="inlineStr">
        <is>
          <t>1</t>
        </is>
      </c>
      <c r="K73" s="5" t="inlineStr">
        <is>
          <t xml:space="preserve">; </t>
        </is>
      </c>
      <c r="M73" s="5" t="inlineStr">
        <is>
          <t>100.0</t>
        </is>
      </c>
      <c r="N73" s="5" t="inlineStr">
        <is>
          <t>YES</t>
        </is>
      </c>
    </row>
    <row r="74">
      <c r="A74" s="6" t="n">
        <v>331</v>
      </c>
      <c r="B74" s="5" t="inlineStr">
        <is>
          <t>S4</t>
        </is>
      </c>
      <c r="C74" s="5" t="inlineStr">
        <is>
          <t>9: Release-kinetic and exposure-duration optimization</t>
        </is>
      </c>
      <c r="D74" s="5" t="inlineStr">
        <is>
          <t>A hybrid machine learning framework for predicting drug-release profiles, kinetics, and mechanisms of temperature-responsive hydrogels</t>
        </is>
      </c>
      <c r="E74" s="5" t="inlineStr">
        <is>
          <t>10.1007/s00289-025-05645-2</t>
        </is>
      </c>
      <c r="F74" s="5" t="inlineStr">
        <is>
          <t>Biomaterial design and formulation optimization</t>
        </is>
      </c>
      <c r="G74" s="5" t="inlineStr">
        <is>
          <t>Longitudinal / time-series data</t>
        </is>
      </c>
      <c r="H74" s="6" t="inlineStr">
        <is>
          <t>1</t>
        </is>
      </c>
      <c r="K74" s="5" t="inlineStr">
        <is>
          <t xml:space="preserve">; </t>
        </is>
      </c>
      <c r="M74" s="5" t="inlineStr">
        <is>
          <t>100.0</t>
        </is>
      </c>
      <c r="N74" s="5" t="inlineStr">
        <is>
          <t>YES</t>
        </is>
      </c>
    </row>
  </sheetData>
  <autoFilter ref="A1:N75"/>
  <pageMargins left="0.7" right="0.7" top="0.75" bottom="0.75" header="0.3" footer="0.3"/>
</worksheet>
</file>

<file path=xl/worksheets/sheet23.xml><?xml version="1.0" encoding="utf-8"?>
<worksheet xmlns="http://schemas.openxmlformats.org/spreadsheetml/2006/main">
  <sheetPr>
    <tabColor rgb="FF23678D"/>
    <outlinePr summaryBelow="1" summaryRight="1"/>
    <pageSetUpPr/>
  </sheetPr>
  <dimension ref="A1:J8"/>
  <sheetViews>
    <sheetView showGridLines="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56.7109375" customWidth="1" min="1" max="1"/>
    <col width="19.7109375" customWidth="1" min="2" max="10"/>
  </cols>
  <sheetData>
    <row r="1" ht="75" customHeight="1">
      <c r="A1" s="2" t="inlineStr">
        <is>
          <t>Group</t>
        </is>
      </c>
      <c r="B1" s="2" t="inlineStr">
        <is>
          <t>2D wound images</t>
        </is>
      </c>
      <c r="C1" s="2" t="inlineStr">
        <is>
          <t>Multimodal / advanced imaging</t>
        </is>
      </c>
      <c r="D1" s="2" t="inlineStr">
        <is>
          <t>Clinical / EMR variables</t>
        </is>
      </c>
      <c r="E1" s="2" t="inlineStr">
        <is>
          <t>Longitudinal / time-series data</t>
        </is>
      </c>
      <c r="F1" s="2" t="inlineStr">
        <is>
          <t>Omics / molecular biomarkers</t>
        </is>
      </c>
      <c r="G1" s="2" t="inlineStr">
        <is>
          <t>Material / formulation descriptors</t>
        </is>
      </c>
      <c r="H1" s="2" t="inlineStr">
        <is>
          <t>Sensor / electronic signals</t>
        </is>
      </c>
      <c r="I1" s="2" t="inlineStr">
        <is>
          <t>Closed-loop / actuation variables</t>
        </is>
      </c>
      <c r="J1" s="2" t="inlineStr">
        <is>
          <t>Unique studies in group</t>
        </is>
      </c>
    </row>
    <row r="2">
      <c r="A2" s="5" t="inlineStr">
        <is>
          <t>Automated image segmentation and quantitative wound-image analysis</t>
        </is>
      </c>
      <c r="B2" s="7" t="n">
        <f>COUNTIFS('Code_S09'!$F$2:$F$74,SUBSTITUTE($A2,CHAR(10)," "),'Code_S09'!$G$2:$G$74,SUBSTITUTE(B$1,CHAR(10)," "),'Code_S09'!$H$2:$H$74,1)</f>
        <v>10</v>
      </c>
      <c r="C2" s="7" t="n">
        <f>COUNTIFS('Code_S09'!$F$2:$F$74,SUBSTITUTE($A2,CHAR(10)," "),'Code_S09'!$G$2:$G$74,SUBSTITUTE(C$1,CHAR(10)," "),'Code_S09'!$H$2:$H$74,1)</f>
        <v>0</v>
      </c>
      <c r="D2" s="7" t="n">
        <f>COUNTIFS('Code_S09'!$F$2:$F$74,SUBSTITUTE($A2,CHAR(10)," "),'Code_S09'!$G$2:$G$74,SUBSTITUTE(D$1,CHAR(10)," "),'Code_S09'!$H$2:$H$74,1)</f>
        <v>0</v>
      </c>
      <c r="E2" s="7" t="n">
        <f>COUNTIFS('Code_S09'!$F$2:$F$74,SUBSTITUTE($A2,CHAR(10)," "),'Code_S09'!$G$2:$G$74,SUBSTITUTE(E$1,CHAR(10)," "),'Code_S09'!$H$2:$H$74,1)</f>
        <v>0</v>
      </c>
      <c r="F2" s="7" t="n">
        <f>COUNTIFS('Code_S09'!$F$2:$F$74,SUBSTITUTE($A2,CHAR(10)," "),'Code_S09'!$G$2:$G$74,SUBSTITUTE(F$1,CHAR(10)," "),'Code_S09'!$H$2:$H$74,1)</f>
        <v>0</v>
      </c>
      <c r="G2" s="7" t="n">
        <f>COUNTIFS('Code_S09'!$F$2:$F$74,SUBSTITUTE($A2,CHAR(10)," "),'Code_S09'!$G$2:$G$74,SUBSTITUTE(G$1,CHAR(10)," "),'Code_S09'!$H$2:$H$74,1)</f>
        <v>0</v>
      </c>
      <c r="H2" s="7" t="n">
        <f>COUNTIFS('Code_S09'!$F$2:$F$74,SUBSTITUTE($A2,CHAR(10)," "),'Code_S09'!$G$2:$G$74,SUBSTITUTE(H$1,CHAR(10)," "),'Code_S09'!$H$2:$H$74,1)</f>
        <v>0</v>
      </c>
      <c r="I2" s="7" t="n">
        <f>COUNTIFS('Code_S09'!$F$2:$F$74,SUBSTITUTE($A2,CHAR(10)," "),'Code_S09'!$G$2:$G$74,SUBSTITUTE(I$1,CHAR(10)," "),'Code_S09'!$H$2:$H$74,1)</f>
        <v>0</v>
      </c>
      <c r="J2" s="7" t="n">
        <f>COUNTIFS('08_Study_Cohorts'!$A$2:$A$365,"S9",'08_Study_Cohorts'!$C$2:$C$365,SUBSTITUTE($A2,CHAR(10)," "))</f>
        <v>10</v>
      </c>
    </row>
    <row r="3">
      <c r="A3" s="5" t="inlineStr">
        <is>
          <t>Image-based classification and detection</t>
        </is>
      </c>
      <c r="B3" s="7" t="n">
        <f>COUNTIFS('Code_S09'!$F$2:$F$74,SUBSTITUTE($A3,CHAR(10)," "),'Code_S09'!$G$2:$G$74,SUBSTITUTE(B$1,CHAR(10)," "),'Code_S09'!$H$2:$H$74,1)</f>
        <v>2</v>
      </c>
      <c r="C3" s="7" t="n">
        <f>COUNTIFS('Code_S09'!$F$2:$F$74,SUBSTITUTE($A3,CHAR(10)," "),'Code_S09'!$G$2:$G$74,SUBSTITUTE(C$1,CHAR(10)," "),'Code_S09'!$H$2:$H$74,1)</f>
        <v>1</v>
      </c>
      <c r="D3" s="7" t="n">
        <f>COUNTIFS('Code_S09'!$F$2:$F$74,SUBSTITUTE($A3,CHAR(10)," "),'Code_S09'!$G$2:$G$74,SUBSTITUTE(D$1,CHAR(10)," "),'Code_S09'!$H$2:$H$74,1)</f>
        <v>0</v>
      </c>
      <c r="E3" s="7" t="n">
        <f>COUNTIFS('Code_S09'!$F$2:$F$74,SUBSTITUTE($A3,CHAR(10)," "),'Code_S09'!$G$2:$G$74,SUBSTITUTE(E$1,CHAR(10)," "),'Code_S09'!$H$2:$H$74,1)</f>
        <v>0</v>
      </c>
      <c r="F3" s="7" t="n">
        <f>COUNTIFS('Code_S09'!$F$2:$F$74,SUBSTITUTE($A3,CHAR(10)," "),'Code_S09'!$G$2:$G$74,SUBSTITUTE(F$1,CHAR(10)," "),'Code_S09'!$H$2:$H$74,1)</f>
        <v>0</v>
      </c>
      <c r="G3" s="7" t="n">
        <f>COUNTIFS('Code_S09'!$F$2:$F$74,SUBSTITUTE($A3,CHAR(10)," "),'Code_S09'!$G$2:$G$74,SUBSTITUTE(G$1,CHAR(10)," "),'Code_S09'!$H$2:$H$74,1)</f>
        <v>0</v>
      </c>
      <c r="H3" s="7" t="n">
        <f>COUNTIFS('Code_S09'!$F$2:$F$74,SUBSTITUTE($A3,CHAR(10)," "),'Code_S09'!$G$2:$G$74,SUBSTITUTE(H$1,CHAR(10)," "),'Code_S09'!$H$2:$H$74,1)</f>
        <v>0</v>
      </c>
      <c r="I3" s="7" t="n">
        <f>COUNTIFS('Code_S09'!$F$2:$F$74,SUBSTITUTE($A3,CHAR(10)," "),'Code_S09'!$G$2:$G$74,SUBSTITUTE(I$1,CHAR(10)," "),'Code_S09'!$H$2:$H$74,1)</f>
        <v>0</v>
      </c>
      <c r="J3" s="7" t="n">
        <f>COUNTIFS('08_Study_Cohorts'!$A$2:$A$365,"S9",'08_Study_Cohorts'!$C$2:$C$365,SUBSTITUTE($A3,CHAR(10)," "))</f>
        <v>2</v>
      </c>
    </row>
    <row r="4">
      <c r="A4" s="5" t="inlineStr">
        <is>
          <t>Healing prediction, prognosis, and trajectory modeling</t>
        </is>
      </c>
      <c r="B4" s="7" t="n">
        <f>COUNTIFS('Code_S09'!$F$2:$F$74,SUBSTITUTE($A4,CHAR(10)," "),'Code_S09'!$G$2:$G$74,SUBSTITUTE(B$1,CHAR(10)," "),'Code_S09'!$H$2:$H$74,1)</f>
        <v>2</v>
      </c>
      <c r="C4" s="7" t="n">
        <f>COUNTIFS('Code_S09'!$F$2:$F$74,SUBSTITUTE($A4,CHAR(10)," "),'Code_S09'!$G$2:$G$74,SUBSTITUTE(C$1,CHAR(10)," "),'Code_S09'!$H$2:$H$74,1)</f>
        <v>1</v>
      </c>
      <c r="D4" s="7" t="n">
        <f>COUNTIFS('Code_S09'!$F$2:$F$74,SUBSTITUTE($A4,CHAR(10)," "),'Code_S09'!$G$2:$G$74,SUBSTITUTE(D$1,CHAR(10)," "),'Code_S09'!$H$2:$H$74,1)</f>
        <v>7</v>
      </c>
      <c r="E4" s="7" t="n">
        <f>COUNTIFS('Code_S09'!$F$2:$F$74,SUBSTITUTE($A4,CHAR(10)," "),'Code_S09'!$G$2:$G$74,SUBSTITUTE(E$1,CHAR(10)," "),'Code_S09'!$H$2:$H$74,1)</f>
        <v>7</v>
      </c>
      <c r="F4" s="7" t="n">
        <f>COUNTIFS('Code_S09'!$F$2:$F$74,SUBSTITUTE($A4,CHAR(10)," "),'Code_S09'!$G$2:$G$74,SUBSTITUTE(F$1,CHAR(10)," "),'Code_S09'!$H$2:$H$74,1)</f>
        <v>3</v>
      </c>
      <c r="G4" s="7" t="n">
        <f>COUNTIFS('Code_S09'!$F$2:$F$74,SUBSTITUTE($A4,CHAR(10)," "),'Code_S09'!$G$2:$G$74,SUBSTITUTE(G$1,CHAR(10)," "),'Code_S09'!$H$2:$H$74,1)</f>
        <v>0</v>
      </c>
      <c r="H4" s="7" t="n">
        <f>COUNTIFS('Code_S09'!$F$2:$F$74,SUBSTITUTE($A4,CHAR(10)," "),'Code_S09'!$G$2:$G$74,SUBSTITUTE(H$1,CHAR(10)," "),'Code_S09'!$H$2:$H$74,1)</f>
        <v>0</v>
      </c>
      <c r="I4" s="7" t="n">
        <f>COUNTIFS('Code_S09'!$F$2:$F$74,SUBSTITUTE($A4,CHAR(10)," "),'Code_S09'!$G$2:$G$74,SUBSTITUTE(I$1,CHAR(10)," "),'Code_S09'!$H$2:$H$74,1)</f>
        <v>0</v>
      </c>
      <c r="J4" s="7" t="n">
        <f>COUNTIFS('08_Study_Cohorts'!$A$2:$A$365,"S9",'08_Study_Cohorts'!$C$2:$C$365,SUBSTITUTE($A4,CHAR(10)," "))</f>
        <v>10</v>
      </c>
    </row>
    <row r="5">
      <c r="A5" s="5" t="inlineStr">
        <is>
          <t>Risk stratification for recurrence, amputation, or mortality</t>
        </is>
      </c>
      <c r="B5" s="7" t="n">
        <f>COUNTIFS('Code_S09'!$F$2:$F$74,SUBSTITUTE($A5,CHAR(10)," "),'Code_S09'!$G$2:$G$74,SUBSTITUTE(B$1,CHAR(10)," "),'Code_S09'!$H$2:$H$74,1)</f>
        <v>0</v>
      </c>
      <c r="C5" s="7" t="n">
        <f>COUNTIFS('Code_S09'!$F$2:$F$74,SUBSTITUTE($A5,CHAR(10)," "),'Code_S09'!$G$2:$G$74,SUBSTITUTE(C$1,CHAR(10)," "),'Code_S09'!$H$2:$H$74,1)</f>
        <v>1</v>
      </c>
      <c r="D5" s="7" t="n">
        <f>COUNTIFS('Code_S09'!$F$2:$F$74,SUBSTITUTE($A5,CHAR(10)," "),'Code_S09'!$G$2:$G$74,SUBSTITUTE(D$1,CHAR(10)," "),'Code_S09'!$H$2:$H$74,1)</f>
        <v>6</v>
      </c>
      <c r="E5" s="7" t="n">
        <f>COUNTIFS('Code_S09'!$F$2:$F$74,SUBSTITUTE($A5,CHAR(10)," "),'Code_S09'!$G$2:$G$74,SUBSTITUTE(E$1,CHAR(10)," "),'Code_S09'!$H$2:$H$74,1)</f>
        <v>0</v>
      </c>
      <c r="F5" s="7" t="n">
        <f>COUNTIFS('Code_S09'!$F$2:$F$74,SUBSTITUTE($A5,CHAR(10)," "),'Code_S09'!$G$2:$G$74,SUBSTITUTE(F$1,CHAR(10)," "),'Code_S09'!$H$2:$H$74,1)</f>
        <v>0</v>
      </c>
      <c r="G5" s="7" t="n">
        <f>COUNTIFS('Code_S09'!$F$2:$F$74,SUBSTITUTE($A5,CHAR(10)," "),'Code_S09'!$G$2:$G$74,SUBSTITUTE(G$1,CHAR(10)," "),'Code_S09'!$H$2:$H$74,1)</f>
        <v>0</v>
      </c>
      <c r="H5" s="7" t="n">
        <f>COUNTIFS('Code_S09'!$F$2:$F$74,SUBSTITUTE($A5,CHAR(10)," "),'Code_S09'!$G$2:$G$74,SUBSTITUTE(H$1,CHAR(10)," "),'Code_S09'!$H$2:$H$74,1)</f>
        <v>0</v>
      </c>
      <c r="I5" s="7" t="n">
        <f>COUNTIFS('Code_S09'!$F$2:$F$74,SUBSTITUTE($A5,CHAR(10)," "),'Code_S09'!$G$2:$G$74,SUBSTITUTE(I$1,CHAR(10)," "),'Code_S09'!$H$2:$H$74,1)</f>
        <v>0</v>
      </c>
      <c r="J5" s="7" t="n">
        <f>COUNTIFS('08_Study_Cohorts'!$A$2:$A$365,"S9",'08_Study_Cohorts'!$C$2:$C$365,SUBSTITUTE($A5,CHAR(10)," "))</f>
        <v>6</v>
      </c>
    </row>
    <row r="6">
      <c r="A6" s="5" t="inlineStr">
        <is>
          <t>Biomaterial design and formulation optimization</t>
        </is>
      </c>
      <c r="B6" s="7" t="n">
        <f>COUNTIFS('Code_S09'!$F$2:$F$74,SUBSTITUTE($A6,CHAR(10)," "),'Code_S09'!$G$2:$G$74,SUBSTITUTE(B$1,CHAR(10)," "),'Code_S09'!$H$2:$H$74,1)</f>
        <v>0</v>
      </c>
      <c r="C6" s="7" t="n">
        <f>COUNTIFS('Code_S09'!$F$2:$F$74,SUBSTITUTE($A6,CHAR(10)," "),'Code_S09'!$G$2:$G$74,SUBSTITUTE(C$1,CHAR(10)," "),'Code_S09'!$H$2:$H$74,1)</f>
        <v>0</v>
      </c>
      <c r="D6" s="7" t="n">
        <f>COUNTIFS('Code_S09'!$F$2:$F$74,SUBSTITUTE($A6,CHAR(10)," "),'Code_S09'!$G$2:$G$74,SUBSTITUTE(D$1,CHAR(10)," "),'Code_S09'!$H$2:$H$74,1)</f>
        <v>0</v>
      </c>
      <c r="E6" s="7" t="n">
        <f>COUNTIFS('Code_S09'!$F$2:$F$74,SUBSTITUTE($A6,CHAR(10)," "),'Code_S09'!$G$2:$G$74,SUBSTITUTE(E$1,CHAR(10)," "),'Code_S09'!$H$2:$H$74,1)</f>
        <v>1</v>
      </c>
      <c r="F6" s="7" t="n">
        <f>COUNTIFS('Code_S09'!$F$2:$F$74,SUBSTITUTE($A6,CHAR(10)," "),'Code_S09'!$G$2:$G$74,SUBSTITUTE(F$1,CHAR(10)," "),'Code_S09'!$H$2:$H$74,1)</f>
        <v>0</v>
      </c>
      <c r="G6" s="7" t="n">
        <f>COUNTIFS('Code_S09'!$F$2:$F$74,SUBSTITUTE($A6,CHAR(10)," "),'Code_S09'!$G$2:$G$74,SUBSTITUTE(G$1,CHAR(10)," "),'Code_S09'!$H$2:$H$74,1)</f>
        <v>3</v>
      </c>
      <c r="H6" s="7" t="n">
        <f>COUNTIFS('Code_S09'!$F$2:$F$74,SUBSTITUTE($A6,CHAR(10)," "),'Code_S09'!$G$2:$G$74,SUBSTITUTE(H$1,CHAR(10)," "),'Code_S09'!$H$2:$H$74,1)</f>
        <v>0</v>
      </c>
      <c r="I6" s="7" t="n">
        <f>COUNTIFS('Code_S09'!$F$2:$F$74,SUBSTITUTE($A6,CHAR(10)," "),'Code_S09'!$G$2:$G$74,SUBSTITUTE(I$1,CHAR(10)," "),'Code_S09'!$H$2:$H$74,1)</f>
        <v>0</v>
      </c>
      <c r="J6" s="7" t="n">
        <f>COUNTIFS('08_Study_Cohorts'!$A$2:$A$365,"S9",'08_Study_Cohorts'!$C$2:$C$365,SUBSTITUTE($A6,CHAR(10)," "))</f>
        <v>3</v>
      </c>
    </row>
    <row r="7">
      <c r="A7" s="5" t="inlineStr">
        <is>
          <t>AI-enabled wound-status sensing and classification</t>
        </is>
      </c>
      <c r="B7" s="7" t="n">
        <f>COUNTIFS('Code_S09'!$F$2:$F$74,SUBSTITUTE($A7,CHAR(10)," "),'Code_S09'!$G$2:$G$74,SUBSTITUTE(B$1,CHAR(10)," "),'Code_S09'!$H$2:$H$74,1)</f>
        <v>2</v>
      </c>
      <c r="C7" s="7" t="n">
        <f>COUNTIFS('Code_S09'!$F$2:$F$74,SUBSTITUTE($A7,CHAR(10)," "),'Code_S09'!$G$2:$G$74,SUBSTITUTE(C$1,CHAR(10)," "),'Code_S09'!$H$2:$H$74,1)</f>
        <v>0</v>
      </c>
      <c r="D7" s="7" t="n">
        <f>COUNTIFS('Code_S09'!$F$2:$F$74,SUBSTITUTE($A7,CHAR(10)," "),'Code_S09'!$G$2:$G$74,SUBSTITUTE(D$1,CHAR(10)," "),'Code_S09'!$H$2:$H$74,1)</f>
        <v>0</v>
      </c>
      <c r="E7" s="7" t="n">
        <f>COUNTIFS('Code_S09'!$F$2:$F$74,SUBSTITUTE($A7,CHAR(10)," "),'Code_S09'!$G$2:$G$74,SUBSTITUTE(E$1,CHAR(10)," "),'Code_S09'!$H$2:$H$74,1)</f>
        <v>0</v>
      </c>
      <c r="F7" s="7" t="n">
        <f>COUNTIFS('Code_S09'!$F$2:$F$74,SUBSTITUTE($A7,CHAR(10)," "),'Code_S09'!$G$2:$G$74,SUBSTITUTE(F$1,CHAR(10)," "),'Code_S09'!$H$2:$H$74,1)</f>
        <v>0</v>
      </c>
      <c r="G7" s="7" t="n">
        <f>COUNTIFS('Code_S09'!$F$2:$F$74,SUBSTITUTE($A7,CHAR(10)," "),'Code_S09'!$G$2:$G$74,SUBSTITUTE(G$1,CHAR(10)," "),'Code_S09'!$H$2:$H$74,1)</f>
        <v>0</v>
      </c>
      <c r="H7" s="7" t="n">
        <f>COUNTIFS('Code_S09'!$F$2:$F$74,SUBSTITUTE($A7,CHAR(10)," "),'Code_S09'!$G$2:$G$74,SUBSTITUTE(H$1,CHAR(10)," "),'Code_S09'!$H$2:$H$74,1)</f>
        <v>2</v>
      </c>
      <c r="I7" s="7" t="n">
        <f>COUNTIFS('Code_S09'!$F$2:$F$74,SUBSTITUTE($A7,CHAR(10)," "),'Code_S09'!$G$2:$G$74,SUBSTITUTE(I$1,CHAR(10)," "),'Code_S09'!$H$2:$H$74,1)</f>
        <v>0</v>
      </c>
      <c r="J7" s="7" t="n">
        <f>COUNTIFS('08_Study_Cohorts'!$A$2:$A$365,"S9",'08_Study_Cohorts'!$C$2:$C$365,SUBSTITUTE($A7,CHAR(10)," "))</f>
        <v>2</v>
      </c>
    </row>
    <row r="8">
      <c r="A8" s="5" t="inlineStr">
        <is>
          <t>AI-ready smart sensing and closed-loop therapeutic platforms</t>
        </is>
      </c>
      <c r="B8" s="7" t="n">
        <f>COUNTIFS('Code_S09'!$F$2:$F$74,SUBSTITUTE($A8,CHAR(10)," "),'Code_S09'!$G$2:$G$74,SUBSTITUTE(B$1,CHAR(10)," "),'Code_S09'!$H$2:$H$74,1)</f>
        <v>0</v>
      </c>
      <c r="C8" s="7" t="n">
        <f>COUNTIFS('Code_S09'!$F$2:$F$74,SUBSTITUTE($A8,CHAR(10)," "),'Code_S09'!$G$2:$G$74,SUBSTITUTE(C$1,CHAR(10)," "),'Code_S09'!$H$2:$H$74,1)</f>
        <v>0</v>
      </c>
      <c r="D8" s="7" t="n">
        <f>COUNTIFS('Code_S09'!$F$2:$F$74,SUBSTITUTE($A8,CHAR(10)," "),'Code_S09'!$G$2:$G$74,SUBSTITUTE(D$1,CHAR(10)," "),'Code_S09'!$H$2:$H$74,1)</f>
        <v>0</v>
      </c>
      <c r="E8" s="7" t="n">
        <f>COUNTIFS('Code_S09'!$F$2:$F$74,SUBSTITUTE($A8,CHAR(10)," "),'Code_S09'!$G$2:$G$74,SUBSTITUTE(E$1,CHAR(10)," "),'Code_S09'!$H$2:$H$74,1)</f>
        <v>0</v>
      </c>
      <c r="F8" s="7" t="n">
        <f>COUNTIFS('Code_S09'!$F$2:$F$74,SUBSTITUTE($A8,CHAR(10)," "),'Code_S09'!$G$2:$G$74,SUBSTITUTE(F$1,CHAR(10)," "),'Code_S09'!$H$2:$H$74,1)</f>
        <v>1</v>
      </c>
      <c r="G8" s="7" t="n">
        <f>COUNTIFS('Code_S09'!$F$2:$F$74,SUBSTITUTE($A8,CHAR(10)," "),'Code_S09'!$G$2:$G$74,SUBSTITUTE(G$1,CHAR(10)," "),'Code_S09'!$H$2:$H$74,1)</f>
        <v>0</v>
      </c>
      <c r="H8" s="7" t="n">
        <f>COUNTIFS('Code_S09'!$F$2:$F$74,SUBSTITUTE($A8,CHAR(10)," "),'Code_S09'!$G$2:$G$74,SUBSTITUTE(H$1,CHAR(10)," "),'Code_S09'!$H$2:$H$74,1)</f>
        <v>12</v>
      </c>
      <c r="I8" s="7" t="n">
        <f>COUNTIFS('Code_S09'!$F$2:$F$74,SUBSTITUTE($A8,CHAR(10)," "),'Code_S09'!$G$2:$G$74,SUBSTITUTE(I$1,CHAR(10)," "),'Code_S09'!$H$2:$H$74,1)</f>
        <v>12</v>
      </c>
      <c r="J8" s="7" t="n">
        <f>COUNTIFS('08_Study_Cohorts'!$A$2:$A$365,"S9",'08_Study_Cohorts'!$C$2:$C$365,SUBSTITUTE($A8,CHAR(10)," "))</f>
        <v>12</v>
      </c>
    </row>
  </sheetData>
  <pageMargins left="0.7" right="0.7" top="0.75" bottom="0.75" header="0.3" footer="0.3"/>
</worksheet>
</file>

<file path=xl/worksheets/sheet24.xml><?xml version="1.0" encoding="utf-8"?>
<worksheet xmlns="http://schemas.openxmlformats.org/spreadsheetml/2006/main">
  <sheetPr>
    <tabColor rgb="FF2B8C83"/>
    <outlinePr summaryBelow="1" summaryRight="1"/>
    <pageSetUpPr/>
  </sheetPr>
  <dimension ref="A1:N101"/>
  <sheetViews>
    <sheetView showGridLines="0" workbookViewId="0">
      <pane xSplit="3" ySplit="1" topLeftCell="D2" activePane="bottomRight" state="frozen"/>
      <selection pane="topRight" activeCell="D1" sqref="D1"/>
      <selection pane="bottomLeft" activeCell="A2" sqref="A2"/>
      <selection pane="bottomRight" activeCell="A1" sqref="A1"/>
    </sheetView>
  </sheetViews>
  <sheetFormatPr baseColWidth="8" defaultRowHeight="15"/>
  <cols>
    <col width="14.7109375" customWidth="1" min="1" max="1"/>
    <col width="15.7109375" customWidth="1" min="2" max="2"/>
    <col width="50.7109375" customWidth="1" min="3" max="3"/>
    <col width="65.7109375" customWidth="1" min="4" max="4"/>
    <col width="25.7109375" customWidth="1" min="5" max="5"/>
    <col width="60.7109375" customWidth="1" min="6" max="6"/>
    <col width="43.7109375" customWidth="1" min="7" max="7"/>
    <col width="15.7109375" customWidth="1" min="8" max="8"/>
    <col width="17.7109375" customWidth="1" min="9" max="10"/>
    <col width="58.7109375" customWidth="1" min="11" max="11"/>
    <col width="57.7109375" customWidth="1" min="12" max="12"/>
    <col width="22.7109375" customWidth="1" min="13" max="13"/>
    <col width="20.7109375" customWidth="1" min="14" max="14"/>
  </cols>
  <sheetData>
    <row r="1" ht="51" customHeight="1">
      <c r="A1" s="2" t="inlineStr">
        <is>
          <t>Main_ref</t>
        </is>
      </c>
      <c r="B1" s="2" t="inlineStr">
        <is>
          <t>SI_source_table</t>
        </is>
      </c>
      <c r="C1" s="2" t="inlineStr">
        <is>
          <t>SI_table_row</t>
        </is>
      </c>
      <c r="D1" s="2" t="inlineStr">
        <is>
          <t>Main_article_title</t>
        </is>
      </c>
      <c r="E1" s="2" t="inlineStr">
        <is>
          <t>DOI_in_main_register</t>
        </is>
      </c>
      <c r="F1" s="2" t="inlineStr">
        <is>
          <t>Group</t>
        </is>
      </c>
      <c r="G1" s="2" t="inlineStr">
        <is>
          <t>Domain</t>
        </is>
      </c>
      <c r="H1" s="2" t="inlineStr">
        <is>
          <t>Code_0_1</t>
        </is>
      </c>
      <c r="I1" s="2" t="inlineStr">
        <is>
          <t>Proposed_structural_score</t>
        </is>
      </c>
      <c r="J1" s="2" t="inlineStr">
        <is>
          <t>Proposed_disease_score</t>
        </is>
      </c>
      <c r="K1" s="2" t="inlineStr">
        <is>
          <t>Provenance_note</t>
        </is>
      </c>
      <c r="L1" s="2" t="inlineStr">
        <is>
          <t>Source_URL</t>
        </is>
      </c>
      <c r="M1" s="2" t="inlineStr">
        <is>
          <t>Bibliography_title_match_pct</t>
        </is>
      </c>
      <c r="N1" s="2" t="inlineStr">
        <is>
          <t>Citation_present_in_main</t>
        </is>
      </c>
    </row>
    <row r="2">
      <c r="A2" s="6" t="n">
        <v>356</v>
      </c>
      <c r="B2" s="5" t="inlineStr">
        <is>
          <t>S5</t>
        </is>
      </c>
      <c r="C2" s="5" t="inlineStr">
        <is>
          <t>2: • Scalable wound-closure and epithelial-migration screening systems</t>
        </is>
      </c>
      <c r="D2" s="5" t="inlineStr">
        <is>
          <t>Wound-on-a-chip: High-throughput 3D wound healing assay with a novel SU-8 mesh chip</t>
        </is>
      </c>
      <c r="G2" s="5" t="inlineStr">
        <is>
          <t>Weak chronic / diabetic / infected wound relevance</t>
        </is>
      </c>
      <c r="H2" s="6" t="inlineStr">
        <is>
          <t>1</t>
        </is>
      </c>
      <c r="K2" s="5" t="inlineStr">
        <is>
          <t xml:space="preserve">; </t>
        </is>
      </c>
      <c r="M2" s="5" t="inlineStr">
        <is>
          <t>100.0</t>
        </is>
      </c>
      <c r="N2" s="5" t="inlineStr">
        <is>
          <t>YES</t>
        </is>
      </c>
    </row>
    <row r="3">
      <c r="A3" s="6" t="n">
        <v>356</v>
      </c>
      <c r="B3" s="5" t="inlineStr">
        <is>
          <t>S5</t>
        </is>
      </c>
      <c r="C3" s="5" t="inlineStr">
        <is>
          <t>2: • Scalable wound-closure and epithelial-migration screening systems</t>
        </is>
      </c>
      <c r="D3" s="5" t="inlineStr">
        <is>
          <t>Wound-on-a-chip: High-throughput 3D wound healing assay with a novel SU-8 mesh chip</t>
        </is>
      </c>
      <c r="G3" s="5" t="inlineStr">
        <is>
          <t>Limited biological complexity or incomplete wound biology</t>
        </is>
      </c>
      <c r="H3" s="6" t="inlineStr">
        <is>
          <t>1</t>
        </is>
      </c>
      <c r="K3" s="5" t="inlineStr">
        <is>
          <t xml:space="preserve">; </t>
        </is>
      </c>
      <c r="M3" s="5" t="inlineStr">
        <is>
          <t>100.0</t>
        </is>
      </c>
      <c r="N3" s="5" t="inlineStr">
        <is>
          <t>YES</t>
        </is>
      </c>
    </row>
    <row r="4">
      <c r="A4" s="6" t="n">
        <v>357</v>
      </c>
      <c r="B4" s="5" t="inlineStr">
        <is>
          <t>S5</t>
        </is>
      </c>
      <c r="C4" s="5" t="inlineStr">
        <is>
          <t>2: • Scalable wound-closure and epithelial-migration screening systems</t>
        </is>
      </c>
      <c r="D4" s="5" t="inlineStr">
        <is>
          <t>High throughput microfluidic drug screening system for corneal epithelial wound healing</t>
        </is>
      </c>
      <c r="G4" s="5" t="inlineStr">
        <is>
          <t>Weak chronic / diabetic / infected wound relevance</t>
        </is>
      </c>
      <c r="H4" s="6" t="inlineStr">
        <is>
          <t>1</t>
        </is>
      </c>
      <c r="K4" s="5" t="inlineStr">
        <is>
          <t xml:space="preserve">; </t>
        </is>
      </c>
      <c r="M4" s="5" t="inlineStr">
        <is>
          <t>100.0</t>
        </is>
      </c>
      <c r="N4" s="5" t="inlineStr">
        <is>
          <t>YES</t>
        </is>
      </c>
    </row>
    <row r="5">
      <c r="A5" s="6" t="n">
        <v>357</v>
      </c>
      <c r="B5" s="5" t="inlineStr">
        <is>
          <t>S5</t>
        </is>
      </c>
      <c r="C5" s="5" t="inlineStr">
        <is>
          <t>2: • Scalable wound-closure and epithelial-migration screening systems</t>
        </is>
      </c>
      <c r="D5" s="5" t="inlineStr">
        <is>
          <t>High throughput microfluidic drug screening system for corneal epithelial wound healing</t>
        </is>
      </c>
      <c r="G5" s="5" t="inlineStr">
        <is>
          <t>Limited biological complexity or incomplete wound biology</t>
        </is>
      </c>
      <c r="H5" s="6" t="inlineStr">
        <is>
          <t>1</t>
        </is>
      </c>
      <c r="K5" s="5" t="inlineStr">
        <is>
          <t xml:space="preserve">; </t>
        </is>
      </c>
      <c r="M5" s="5" t="inlineStr">
        <is>
          <t>100.0</t>
        </is>
      </c>
      <c r="N5" s="5" t="inlineStr">
        <is>
          <t>YES</t>
        </is>
      </c>
    </row>
    <row r="6">
      <c r="A6" s="6" t="n">
        <v>358</v>
      </c>
      <c r="B6" s="5" t="inlineStr">
        <is>
          <t>S5</t>
        </is>
      </c>
      <c r="C6" s="5" t="inlineStr">
        <is>
          <t>3: • Barrier, ECM, and phenotypic repair screening platforms</t>
        </is>
      </c>
      <c r="D6" s="5" t="inlineStr">
        <is>
          <t>Development of tight junction-strengthening compounds using a high-throughput screening system to evaluate cell surface-localized claudin-1 in keratinocytes</t>
        </is>
      </c>
      <c r="E6" s="5" t="inlineStr">
        <is>
          <t>10.1038/s41598-024-53649-1</t>
        </is>
      </c>
      <c r="G6" s="5" t="inlineStr">
        <is>
          <t>Weak chronic / diabetic / infected wound relevance</t>
        </is>
      </c>
      <c r="H6" s="6" t="inlineStr">
        <is>
          <t>1</t>
        </is>
      </c>
      <c r="K6" s="5" t="inlineStr">
        <is>
          <t xml:space="preserve">; </t>
        </is>
      </c>
      <c r="M6" s="5" t="inlineStr">
        <is>
          <t>100.0</t>
        </is>
      </c>
      <c r="N6" s="5" t="inlineStr">
        <is>
          <t>YES</t>
        </is>
      </c>
    </row>
    <row r="7">
      <c r="A7" s="6" t="n">
        <v>358</v>
      </c>
      <c r="B7" s="5" t="inlineStr">
        <is>
          <t>S5</t>
        </is>
      </c>
      <c r="C7" s="5" t="inlineStr">
        <is>
          <t>3: • Barrier, ECM, and phenotypic repair screening platforms</t>
        </is>
      </c>
      <c r="D7" s="5" t="inlineStr">
        <is>
          <t>Development of tight junction-strengthening compounds using a high-throughput screening system to evaluate cell surface-localized claudin-1 in keratinocytes</t>
        </is>
      </c>
      <c r="E7" s="5" t="inlineStr">
        <is>
          <t>10.1038/s41598-024-53649-1</t>
        </is>
      </c>
      <c r="G7" s="5" t="inlineStr">
        <is>
          <t>Limited biological complexity or incomplete wound biology</t>
        </is>
      </c>
      <c r="H7" s="6" t="inlineStr">
        <is>
          <t>1</t>
        </is>
      </c>
      <c r="K7" s="5" t="inlineStr">
        <is>
          <t xml:space="preserve">; </t>
        </is>
      </c>
      <c r="M7" s="5" t="inlineStr">
        <is>
          <t>100.0</t>
        </is>
      </c>
      <c r="N7" s="5" t="inlineStr">
        <is>
          <t>YES</t>
        </is>
      </c>
    </row>
    <row r="8">
      <c r="A8" s="6" t="n">
        <v>359</v>
      </c>
      <c r="B8" s="5" t="inlineStr">
        <is>
          <t>S5</t>
        </is>
      </c>
      <c r="C8" s="5" t="inlineStr">
        <is>
          <t>3: • Barrier, ECM, and phenotypic repair screening platforms</t>
        </is>
      </c>
      <c r="D8" s="5" t="inlineStr">
        <is>
          <t>Identification of a novel collagen-like peptide by high-throughput screening for effective wound-healing therapy</t>
        </is>
      </c>
      <c r="E8" s="5" t="inlineStr">
        <is>
          <t>10.1016/j.ijbiomac.2021.01.104</t>
        </is>
      </c>
      <c r="G8" s="5" t="inlineStr">
        <is>
          <t>Weak chronic / diabetic / infected wound relevance</t>
        </is>
      </c>
      <c r="H8" s="6" t="inlineStr">
        <is>
          <t>1</t>
        </is>
      </c>
      <c r="K8" s="5" t="inlineStr">
        <is>
          <t xml:space="preserve">; </t>
        </is>
      </c>
      <c r="M8" s="5" t="inlineStr">
        <is>
          <t>100.0</t>
        </is>
      </c>
      <c r="N8" s="5" t="inlineStr">
        <is>
          <t>YES</t>
        </is>
      </c>
    </row>
    <row r="9">
      <c r="A9" s="6" t="n">
        <v>359</v>
      </c>
      <c r="B9" s="5" t="inlineStr">
        <is>
          <t>S5</t>
        </is>
      </c>
      <c r="C9" s="5" t="inlineStr">
        <is>
          <t>3: • Barrier, ECM, and phenotypic repair screening platforms</t>
        </is>
      </c>
      <c r="D9" s="5" t="inlineStr">
        <is>
          <t>Identification of a novel collagen-like peptide by high-throughput screening for effective wound-healing therapy</t>
        </is>
      </c>
      <c r="E9" s="5" t="inlineStr">
        <is>
          <t>10.1016/j.ijbiomac.2021.01.104</t>
        </is>
      </c>
      <c r="G9" s="5" t="inlineStr">
        <is>
          <t>Manufacturing, standardization, regulatory, or scale-up barriers</t>
        </is>
      </c>
      <c r="H9" s="6" t="inlineStr">
        <is>
          <t>1</t>
        </is>
      </c>
      <c r="K9" s="5" t="inlineStr">
        <is>
          <t xml:space="preserve">; </t>
        </is>
      </c>
      <c r="M9" s="5" t="inlineStr">
        <is>
          <t>100.0</t>
        </is>
      </c>
      <c r="N9" s="5" t="inlineStr">
        <is>
          <t>YES</t>
        </is>
      </c>
    </row>
    <row r="10">
      <c r="A10" s="6" t="n">
        <v>359</v>
      </c>
      <c r="B10" s="5" t="inlineStr">
        <is>
          <t>S5</t>
        </is>
      </c>
      <c r="C10" s="5" t="inlineStr">
        <is>
          <t>3: • Barrier, ECM, and phenotypic repair screening platforms</t>
        </is>
      </c>
      <c r="D10" s="5" t="inlineStr">
        <is>
          <t>Identification of a novel collagen-like peptide by high-throughput screening for effective wound-healing therapy</t>
        </is>
      </c>
      <c r="E10" s="5" t="inlineStr">
        <is>
          <t>10.1016/j.ijbiomac.2021.01.104</t>
        </is>
      </c>
      <c r="G10" s="5" t="inlineStr">
        <is>
          <t>Safety, toxicity, delivery, stability, or dose concerns</t>
        </is>
      </c>
      <c r="H10" s="6" t="inlineStr">
        <is>
          <t>1</t>
        </is>
      </c>
      <c r="K10" s="5" t="inlineStr">
        <is>
          <t xml:space="preserve">; </t>
        </is>
      </c>
      <c r="M10" s="5" t="inlineStr">
        <is>
          <t>100.0</t>
        </is>
      </c>
      <c r="N10" s="5" t="inlineStr">
        <is>
          <t>YES</t>
        </is>
      </c>
    </row>
    <row r="11">
      <c r="A11" s="6" t="n">
        <v>359</v>
      </c>
      <c r="B11" s="5" t="inlineStr">
        <is>
          <t>S5</t>
        </is>
      </c>
      <c r="C11" s="5" t="inlineStr">
        <is>
          <t>3: • Barrier, ECM, and phenotypic repair screening platforms</t>
        </is>
      </c>
      <c r="D11" s="5" t="inlineStr">
        <is>
          <t>Identification of a novel collagen-like peptide by high-throughput screening for effective wound-healing therapy</t>
        </is>
      </c>
      <c r="E11" s="5" t="inlineStr">
        <is>
          <t>10.1016/j.ijbiomac.2021.01.104</t>
        </is>
      </c>
      <c r="G11" s="5" t="inlineStr">
        <is>
          <t>Mechanistic uncertainty or active-agent complexity</t>
        </is>
      </c>
      <c r="H11" s="6" t="inlineStr">
        <is>
          <t>1</t>
        </is>
      </c>
      <c r="K11" s="5" t="inlineStr">
        <is>
          <t xml:space="preserve">; </t>
        </is>
      </c>
      <c r="M11" s="5" t="inlineStr">
        <is>
          <t>100.0</t>
        </is>
      </c>
      <c r="N11" s="5" t="inlineStr">
        <is>
          <t>YES</t>
        </is>
      </c>
    </row>
    <row r="12">
      <c r="A12" s="6" t="n">
        <v>360</v>
      </c>
      <c r="B12" s="5" t="inlineStr">
        <is>
          <t>S5</t>
        </is>
      </c>
      <c r="C12" s="5" t="inlineStr">
        <is>
          <t>4: • High-content natural-product and nanobiomaterial optimization</t>
        </is>
      </c>
      <c r="D12" s="5" t="inlineStr">
        <is>
          <t>High-throughput screening-based design of multifunctional natural polyphenol nano-vesicles to accelerate diabetic wound healing</t>
        </is>
      </c>
      <c r="E12" s="5" t="inlineStr">
        <is>
          <t>10.1186/s12951-024-02950-2</t>
        </is>
      </c>
      <c r="G12" s="5" t="inlineStr">
        <is>
          <t>Limited human or clinical validation</t>
        </is>
      </c>
      <c r="H12" s="6" t="inlineStr">
        <is>
          <t>1</t>
        </is>
      </c>
      <c r="K12" s="5" t="inlineStr">
        <is>
          <t xml:space="preserve">; </t>
        </is>
      </c>
      <c r="M12" s="5" t="inlineStr">
        <is>
          <t>100.0</t>
        </is>
      </c>
      <c r="N12" s="5" t="inlineStr">
        <is>
          <t>YES</t>
        </is>
      </c>
    </row>
    <row r="13">
      <c r="A13" s="6" t="n">
        <v>360</v>
      </c>
      <c r="B13" s="5" t="inlineStr">
        <is>
          <t>S5</t>
        </is>
      </c>
      <c r="C13" s="5" t="inlineStr">
        <is>
          <t>4: • High-content natural-product and nanobiomaterial optimization</t>
        </is>
      </c>
      <c r="D13" s="5" t="inlineStr">
        <is>
          <t>High-throughput screening-based design of multifunctional natural polyphenol nano-vesicles to accelerate diabetic wound healing</t>
        </is>
      </c>
      <c r="E13" s="5" t="inlineStr">
        <is>
          <t>10.1186/s12951-024-02950-2</t>
        </is>
      </c>
      <c r="G13" s="5" t="inlineStr">
        <is>
          <t>Manufacturing, standardization, regulatory, or scale-up barriers</t>
        </is>
      </c>
      <c r="H13" s="6" t="inlineStr">
        <is>
          <t>1</t>
        </is>
      </c>
      <c r="K13" s="5" t="inlineStr">
        <is>
          <t xml:space="preserve">; </t>
        </is>
      </c>
      <c r="M13" s="5" t="inlineStr">
        <is>
          <t>100.0</t>
        </is>
      </c>
      <c r="N13" s="5" t="inlineStr">
        <is>
          <t>YES</t>
        </is>
      </c>
    </row>
    <row r="14">
      <c r="A14" s="6" t="n">
        <v>360</v>
      </c>
      <c r="B14" s="5" t="inlineStr">
        <is>
          <t>S5</t>
        </is>
      </c>
      <c r="C14" s="5" t="inlineStr">
        <is>
          <t>4: • High-content natural-product and nanobiomaterial optimization</t>
        </is>
      </c>
      <c r="D14" s="5" t="inlineStr">
        <is>
          <t>High-throughput screening-based design of multifunctional natural polyphenol nano-vesicles to accelerate diabetic wound healing</t>
        </is>
      </c>
      <c r="E14" s="5" t="inlineStr">
        <is>
          <t>10.1186/s12951-024-02950-2</t>
        </is>
      </c>
      <c r="G14" s="5" t="inlineStr">
        <is>
          <t>Safety, toxicity, delivery, stability, or dose concerns</t>
        </is>
      </c>
      <c r="H14" s="6" t="inlineStr">
        <is>
          <t>1</t>
        </is>
      </c>
      <c r="K14" s="5" t="inlineStr">
        <is>
          <t xml:space="preserve">; </t>
        </is>
      </c>
      <c r="M14" s="5" t="inlineStr">
        <is>
          <t>100.0</t>
        </is>
      </c>
      <c r="N14" s="5" t="inlineStr">
        <is>
          <t>YES</t>
        </is>
      </c>
    </row>
    <row r="15">
      <c r="A15" s="6" t="n">
        <v>360</v>
      </c>
      <c r="B15" s="5" t="inlineStr">
        <is>
          <t>S5</t>
        </is>
      </c>
      <c r="C15" s="5" t="inlineStr">
        <is>
          <t>4: • High-content natural-product and nanobiomaterial optimization</t>
        </is>
      </c>
      <c r="D15" s="5" t="inlineStr">
        <is>
          <t>High-throughput screening-based design of multifunctional natural polyphenol nano-vesicles to accelerate diabetic wound healing</t>
        </is>
      </c>
      <c r="E15" s="5" t="inlineStr">
        <is>
          <t>10.1186/s12951-024-02950-2</t>
        </is>
      </c>
      <c r="G15" s="5" t="inlineStr">
        <is>
          <t>Mechanistic uncertainty or active-agent complexity</t>
        </is>
      </c>
      <c r="H15" s="6" t="inlineStr">
        <is>
          <t>1</t>
        </is>
      </c>
      <c r="K15" s="5" t="inlineStr">
        <is>
          <t xml:space="preserve">; </t>
        </is>
      </c>
      <c r="M15" s="5" t="inlineStr">
        <is>
          <t>100.0</t>
        </is>
      </c>
      <c r="N15" s="5" t="inlineStr">
        <is>
          <t>YES</t>
        </is>
      </c>
    </row>
    <row r="16">
      <c r="A16" s="6" t="n">
        <v>361</v>
      </c>
      <c r="B16" s="5" t="inlineStr">
        <is>
          <t>S5</t>
        </is>
      </c>
      <c r="C16" s="5" t="inlineStr">
        <is>
          <t>3: • Barrier, ECM, and phenotypic repair screening platforms</t>
        </is>
      </c>
      <c r="D16" s="5" t="inlineStr">
        <is>
          <t>Phenotypic screening identifies synergistically acting natural product enhancing the performance of biomaterial based wound healing</t>
        </is>
      </c>
      <c r="G16" s="5" t="inlineStr">
        <is>
          <t>Weak chronic / diabetic / infected wound relevance</t>
        </is>
      </c>
      <c r="H16" s="6" t="inlineStr">
        <is>
          <t>1</t>
        </is>
      </c>
      <c r="K16" s="5" t="inlineStr">
        <is>
          <t xml:space="preserve">; </t>
        </is>
      </c>
      <c r="M16" s="5" t="inlineStr">
        <is>
          <t>100.0</t>
        </is>
      </c>
      <c r="N16" s="5" t="inlineStr">
        <is>
          <t>YES</t>
        </is>
      </c>
    </row>
    <row r="17">
      <c r="A17" s="6" t="n">
        <v>361</v>
      </c>
      <c r="B17" s="5" t="inlineStr">
        <is>
          <t>S5</t>
        </is>
      </c>
      <c r="C17" s="5" t="inlineStr">
        <is>
          <t>3: • Barrier, ECM, and phenotypic repair screening platforms</t>
        </is>
      </c>
      <c r="D17" s="5" t="inlineStr">
        <is>
          <t>Phenotypic screening identifies synergistically acting natural product enhancing the performance of biomaterial based wound healing</t>
        </is>
      </c>
      <c r="G17" s="5" t="inlineStr">
        <is>
          <t>Manufacturing, standardization, regulatory, or scale-up barriers</t>
        </is>
      </c>
      <c r="H17" s="6" t="inlineStr">
        <is>
          <t>1</t>
        </is>
      </c>
      <c r="K17" s="5" t="inlineStr">
        <is>
          <t xml:space="preserve">; </t>
        </is>
      </c>
      <c r="M17" s="5" t="inlineStr">
        <is>
          <t>100.0</t>
        </is>
      </c>
      <c r="N17" s="5" t="inlineStr">
        <is>
          <t>YES</t>
        </is>
      </c>
    </row>
    <row r="18">
      <c r="A18" s="6" t="n">
        <v>365</v>
      </c>
      <c r="B18" s="5" t="inlineStr">
        <is>
          <t>S5</t>
        </is>
      </c>
      <c r="C18" s="5" t="inlineStr">
        <is>
          <t>5: • Cell-free biologic and regenerative patch screening platforms</t>
        </is>
      </c>
      <c r="D18" s="5" t="inlineStr">
        <is>
          <t>Extracellular vesicles enriched with an endothelial cell pro-survival microRNA affects skin tissue regeneration</t>
        </is>
      </c>
      <c r="E18" s="5" t="inlineStr">
        <is>
          <t>10.1016/j.omtn.2022.03.018</t>
        </is>
      </c>
      <c r="G18" s="5" t="inlineStr">
        <is>
          <t>Manufacturing, standardization, regulatory, or scale-up barriers</t>
        </is>
      </c>
      <c r="H18" s="6" t="inlineStr">
        <is>
          <t>1</t>
        </is>
      </c>
      <c r="K18" s="5" t="inlineStr">
        <is>
          <t xml:space="preserve">; </t>
        </is>
      </c>
      <c r="M18" s="5" t="inlineStr">
        <is>
          <t>100.0</t>
        </is>
      </c>
      <c r="N18" s="5" t="inlineStr">
        <is>
          <t>YES</t>
        </is>
      </c>
    </row>
    <row r="19">
      <c r="A19" s="6" t="n">
        <v>365</v>
      </c>
      <c r="B19" s="5" t="inlineStr">
        <is>
          <t>S5</t>
        </is>
      </c>
      <c r="C19" s="5" t="inlineStr">
        <is>
          <t>5: • Cell-free biologic and regenerative patch screening platforms</t>
        </is>
      </c>
      <c r="D19" s="5" t="inlineStr">
        <is>
          <t>Extracellular vesicles enriched with an endothelial cell pro-survival microRNA affects skin tissue regeneration</t>
        </is>
      </c>
      <c r="E19" s="5" t="inlineStr">
        <is>
          <t>10.1016/j.omtn.2022.03.018</t>
        </is>
      </c>
      <c r="G19" s="5" t="inlineStr">
        <is>
          <t>Safety, toxicity, delivery, stability, or dose concerns</t>
        </is>
      </c>
      <c r="H19" s="6" t="inlineStr">
        <is>
          <t>1</t>
        </is>
      </c>
      <c r="K19" s="5" t="inlineStr">
        <is>
          <t xml:space="preserve">; </t>
        </is>
      </c>
      <c r="M19" s="5" t="inlineStr">
        <is>
          <t>100.0</t>
        </is>
      </c>
      <c r="N19" s="5" t="inlineStr">
        <is>
          <t>YES</t>
        </is>
      </c>
    </row>
    <row r="20">
      <c r="A20" s="6" t="n">
        <v>366</v>
      </c>
      <c r="B20" s="5" t="inlineStr">
        <is>
          <t>S5</t>
        </is>
      </c>
      <c r="C20" s="5" t="inlineStr">
        <is>
          <t>5: • Cell-free biologic and regenerative patch screening platforms</t>
        </is>
      </c>
      <c r="D20" s="5" t="inlineStr">
        <is>
          <t>Exosomes derived from human amniotic epithelial cells accelerate wound healing and inhibit scar formation</t>
        </is>
      </c>
      <c r="G20" s="5" t="inlineStr">
        <is>
          <t>Limited human or clinical validation</t>
        </is>
      </c>
      <c r="H20" s="6" t="inlineStr">
        <is>
          <t>1</t>
        </is>
      </c>
      <c r="K20" s="5" t="inlineStr">
        <is>
          <t xml:space="preserve">; </t>
        </is>
      </c>
      <c r="M20" s="5" t="inlineStr">
        <is>
          <t>100.0</t>
        </is>
      </c>
      <c r="N20" s="5" t="inlineStr">
        <is>
          <t>YES</t>
        </is>
      </c>
    </row>
    <row r="21">
      <c r="A21" s="6" t="n">
        <v>366</v>
      </c>
      <c r="B21" s="5" t="inlineStr">
        <is>
          <t>S5</t>
        </is>
      </c>
      <c r="C21" s="5" t="inlineStr">
        <is>
          <t>5: • Cell-free biologic and regenerative patch screening platforms</t>
        </is>
      </c>
      <c r="D21" s="5" t="inlineStr">
        <is>
          <t>Exosomes derived from human amniotic epithelial cells accelerate wound healing and inhibit scar formation</t>
        </is>
      </c>
      <c r="G21" s="5" t="inlineStr">
        <is>
          <t>Manufacturing, standardization, regulatory, or scale-up barriers</t>
        </is>
      </c>
      <c r="H21" s="6" t="inlineStr">
        <is>
          <t>1</t>
        </is>
      </c>
      <c r="K21" s="5" t="inlineStr">
        <is>
          <t xml:space="preserve">; </t>
        </is>
      </c>
      <c r="M21" s="5" t="inlineStr">
        <is>
          <t>100.0</t>
        </is>
      </c>
      <c r="N21" s="5" t="inlineStr">
        <is>
          <t>YES</t>
        </is>
      </c>
    </row>
    <row r="22">
      <c r="A22" s="6" t="n">
        <v>366</v>
      </c>
      <c r="B22" s="5" t="inlineStr">
        <is>
          <t>S5</t>
        </is>
      </c>
      <c r="C22" s="5" t="inlineStr">
        <is>
          <t>5: • Cell-free biologic and regenerative patch screening platforms</t>
        </is>
      </c>
      <c r="D22" s="5" t="inlineStr">
        <is>
          <t>Exosomes derived from human amniotic epithelial cells accelerate wound healing and inhibit scar formation</t>
        </is>
      </c>
      <c r="G22" s="5" t="inlineStr">
        <is>
          <t>Safety, toxicity, delivery, stability, or dose concerns</t>
        </is>
      </c>
      <c r="H22" s="6" t="inlineStr">
        <is>
          <t>1</t>
        </is>
      </c>
      <c r="K22" s="5" t="inlineStr">
        <is>
          <t xml:space="preserve">; </t>
        </is>
      </c>
      <c r="M22" s="5" t="inlineStr">
        <is>
          <t>100.0</t>
        </is>
      </c>
      <c r="N22" s="5" t="inlineStr">
        <is>
          <t>YES</t>
        </is>
      </c>
    </row>
    <row r="23">
      <c r="A23" s="6" t="n">
        <v>366</v>
      </c>
      <c r="B23" s="5" t="inlineStr">
        <is>
          <t>S5</t>
        </is>
      </c>
      <c r="C23" s="5" t="inlineStr">
        <is>
          <t>5: • Cell-free biologic and regenerative patch screening platforms</t>
        </is>
      </c>
      <c r="D23" s="5" t="inlineStr">
        <is>
          <t>Exosomes derived from human amniotic epithelial cells accelerate wound healing and inhibit scar formation</t>
        </is>
      </c>
      <c r="G23" s="5" t="inlineStr">
        <is>
          <t>Mechanistic uncertainty or active-agent complexity</t>
        </is>
      </c>
      <c r="H23" s="6" t="inlineStr">
        <is>
          <t>1</t>
        </is>
      </c>
      <c r="K23" s="5" t="inlineStr">
        <is>
          <t xml:space="preserve">; </t>
        </is>
      </c>
      <c r="M23" s="5" t="inlineStr">
        <is>
          <t>100.0</t>
        </is>
      </c>
      <c r="N23" s="5" t="inlineStr">
        <is>
          <t>YES</t>
        </is>
      </c>
    </row>
    <row r="24">
      <c r="A24" s="6" t="n">
        <v>367</v>
      </c>
      <c r="B24" s="5" t="inlineStr">
        <is>
          <t>S5</t>
        </is>
      </c>
      <c r="C24" s="5" t="inlineStr">
        <is>
          <t>5: • Cell-free biologic and regenerative patch screening platforms</t>
        </is>
      </c>
      <c r="D24" s="5" t="inlineStr">
        <is>
          <t>Exosomes derived from pioglitazone-pretreated MSCs accelerate diabetic wound healing through enhancing angiogenesis</t>
        </is>
      </c>
      <c r="E24" s="5" t="inlineStr">
        <is>
          <t>10.1186/s12951-021-00894-5</t>
        </is>
      </c>
      <c r="G24" s="5" t="inlineStr">
        <is>
          <t>Limited human or clinical validation</t>
        </is>
      </c>
      <c r="H24" s="6" t="inlineStr">
        <is>
          <t>1</t>
        </is>
      </c>
      <c r="K24" s="5" t="inlineStr">
        <is>
          <t xml:space="preserve">; </t>
        </is>
      </c>
      <c r="M24" s="5" t="inlineStr">
        <is>
          <t>100.0</t>
        </is>
      </c>
      <c r="N24" s="5" t="inlineStr">
        <is>
          <t>YES</t>
        </is>
      </c>
    </row>
    <row r="25">
      <c r="A25" s="6" t="n">
        <v>367</v>
      </c>
      <c r="B25" s="5" t="inlineStr">
        <is>
          <t>S5</t>
        </is>
      </c>
      <c r="C25" s="5" t="inlineStr">
        <is>
          <t>5: • Cell-free biologic and regenerative patch screening platforms</t>
        </is>
      </c>
      <c r="D25" s="5" t="inlineStr">
        <is>
          <t>Exosomes derived from pioglitazone-pretreated MSCs accelerate diabetic wound healing through enhancing angiogenesis</t>
        </is>
      </c>
      <c r="E25" s="5" t="inlineStr">
        <is>
          <t>10.1186/s12951-021-00894-5</t>
        </is>
      </c>
      <c r="G25" s="5" t="inlineStr">
        <is>
          <t>Manufacturing, standardization, regulatory, or scale-up barriers</t>
        </is>
      </c>
      <c r="H25" s="6" t="inlineStr">
        <is>
          <t>1</t>
        </is>
      </c>
      <c r="K25" s="5" t="inlineStr">
        <is>
          <t xml:space="preserve">; </t>
        </is>
      </c>
      <c r="M25" s="5" t="inlineStr">
        <is>
          <t>100.0</t>
        </is>
      </c>
      <c r="N25" s="5" t="inlineStr">
        <is>
          <t>YES</t>
        </is>
      </c>
    </row>
    <row r="26">
      <c r="A26" s="6" t="n">
        <v>367</v>
      </c>
      <c r="B26" s="5" t="inlineStr">
        <is>
          <t>S5</t>
        </is>
      </c>
      <c r="C26" s="5" t="inlineStr">
        <is>
          <t>5: • Cell-free biologic and regenerative patch screening platforms</t>
        </is>
      </c>
      <c r="D26" s="5" t="inlineStr">
        <is>
          <t>Exosomes derived from pioglitazone-pretreated MSCs accelerate diabetic wound healing through enhancing angiogenesis</t>
        </is>
      </c>
      <c r="E26" s="5" t="inlineStr">
        <is>
          <t>10.1186/s12951-021-00894-5</t>
        </is>
      </c>
      <c r="G26" s="5" t="inlineStr">
        <is>
          <t>Safety, toxicity, delivery, stability, or dose concerns</t>
        </is>
      </c>
      <c r="H26" s="6" t="inlineStr">
        <is>
          <t>1</t>
        </is>
      </c>
      <c r="K26" s="5" t="inlineStr">
        <is>
          <t xml:space="preserve">; </t>
        </is>
      </c>
      <c r="M26" s="5" t="inlineStr">
        <is>
          <t>100.0</t>
        </is>
      </c>
      <c r="N26" s="5" t="inlineStr">
        <is>
          <t>YES</t>
        </is>
      </c>
    </row>
    <row r="27">
      <c r="A27" s="6" t="n">
        <v>367</v>
      </c>
      <c r="B27" s="5" t="inlineStr">
        <is>
          <t>S5</t>
        </is>
      </c>
      <c r="C27" s="5" t="inlineStr">
        <is>
          <t>5: • Cell-free biologic and regenerative patch screening platforms</t>
        </is>
      </c>
      <c r="D27" s="5" t="inlineStr">
        <is>
          <t>Exosomes derived from pioglitazone-pretreated MSCs accelerate diabetic wound healing through enhancing angiogenesis</t>
        </is>
      </c>
      <c r="E27" s="5" t="inlineStr">
        <is>
          <t>10.1186/s12951-021-00894-5</t>
        </is>
      </c>
      <c r="G27" s="5" t="inlineStr">
        <is>
          <t>Mechanistic uncertainty or active-agent complexity</t>
        </is>
      </c>
      <c r="H27" s="6" t="inlineStr">
        <is>
          <t>1</t>
        </is>
      </c>
      <c r="K27" s="5" t="inlineStr">
        <is>
          <t xml:space="preserve">; </t>
        </is>
      </c>
      <c r="M27" s="5" t="inlineStr">
        <is>
          <t>100.0</t>
        </is>
      </c>
      <c r="N27" s="5" t="inlineStr">
        <is>
          <t>YES</t>
        </is>
      </c>
    </row>
    <row r="28">
      <c r="A28" s="6" t="n">
        <v>369</v>
      </c>
      <c r="B28" s="5" t="inlineStr">
        <is>
          <t>S5</t>
        </is>
      </c>
      <c r="C28" s="5" t="inlineStr">
        <is>
          <t>5: • Cell-free biologic and regenerative patch screening platforms</t>
        </is>
      </c>
      <c r="D28" s="5" t="inlineStr">
        <is>
          <t>3D-bioprinted multifunctional artificial skin patches with synergistic antimicrobial-mechanoadaptive functions for accelerating infected wound healing</t>
        </is>
      </c>
      <c r="G28" s="5" t="inlineStr">
        <is>
          <t>Weak chronic / diabetic / infected wound relevance</t>
        </is>
      </c>
      <c r="H28" s="6" t="inlineStr">
        <is>
          <t>1</t>
        </is>
      </c>
      <c r="K28" s="5" t="inlineStr">
        <is>
          <t xml:space="preserve">; </t>
        </is>
      </c>
      <c r="M28" s="5" t="inlineStr">
        <is>
          <t>100.0</t>
        </is>
      </c>
      <c r="N28" s="5" t="inlineStr">
        <is>
          <t>YES</t>
        </is>
      </c>
    </row>
    <row r="29">
      <c r="A29" s="6" t="n">
        <v>369</v>
      </c>
      <c r="B29" s="5" t="inlineStr">
        <is>
          <t>S5</t>
        </is>
      </c>
      <c r="C29" s="5" t="inlineStr">
        <is>
          <t>5: • Cell-free biologic and regenerative patch screening platforms</t>
        </is>
      </c>
      <c r="D29" s="5" t="inlineStr">
        <is>
          <t>3D-bioprinted multifunctional artificial skin patches with synergistic antimicrobial-mechanoadaptive functions for accelerating infected wound healing</t>
        </is>
      </c>
      <c r="G29" s="5" t="inlineStr">
        <is>
          <t>Manufacturing, standardization, regulatory, or scale-up barriers</t>
        </is>
      </c>
      <c r="H29" s="6" t="inlineStr">
        <is>
          <t>1</t>
        </is>
      </c>
      <c r="K29" s="5" t="inlineStr">
        <is>
          <t xml:space="preserve">; </t>
        </is>
      </c>
      <c r="M29" s="5" t="inlineStr">
        <is>
          <t>100.0</t>
        </is>
      </c>
      <c r="N29" s="5" t="inlineStr">
        <is>
          <t>YES</t>
        </is>
      </c>
    </row>
    <row r="30">
      <c r="A30" s="6" t="n">
        <v>369</v>
      </c>
      <c r="B30" s="5" t="inlineStr">
        <is>
          <t>S5</t>
        </is>
      </c>
      <c r="C30" s="5" t="inlineStr">
        <is>
          <t>5: • Cell-free biologic and regenerative patch screening platforms</t>
        </is>
      </c>
      <c r="D30" s="5" t="inlineStr">
        <is>
          <t>3D-bioprinted multifunctional artificial skin patches with synergistic antimicrobial-mechanoadaptive functions for accelerating infected wound healing</t>
        </is>
      </c>
      <c r="G30" s="5" t="inlineStr">
        <is>
          <t>Safety, toxicity, delivery, stability, or dose concerns</t>
        </is>
      </c>
      <c r="H30" s="6" t="inlineStr">
        <is>
          <t>1</t>
        </is>
      </c>
      <c r="K30" s="5" t="inlineStr">
        <is>
          <t xml:space="preserve">; </t>
        </is>
      </c>
      <c r="M30" s="5" t="inlineStr">
        <is>
          <t>100.0</t>
        </is>
      </c>
      <c r="N30" s="5" t="inlineStr">
        <is>
          <t>YES</t>
        </is>
      </c>
    </row>
    <row r="31">
      <c r="A31" s="6" t="n">
        <v>384</v>
      </c>
      <c r="B31" s="5" t="inlineStr">
        <is>
          <t>S5</t>
        </is>
      </c>
      <c r="C31" s="5" t="inlineStr">
        <is>
          <t>7: • Patient-derived vascular and endothelial dysfunction platforms</t>
        </is>
      </c>
      <c r="D31" s="5" t="inlineStr">
        <is>
          <t>Single-cell RNA-seq and bulk-seq identify RAB17 as a potential regulator of angiogenesis by human dermal microvascular endothelial cells in diabetic foot ulcers</t>
        </is>
      </c>
      <c r="G31" s="5" t="inlineStr">
        <is>
          <t>Limited human or clinical validation</t>
        </is>
      </c>
      <c r="H31" s="6" t="inlineStr">
        <is>
          <t>1</t>
        </is>
      </c>
      <c r="K31" s="5" t="inlineStr">
        <is>
          <t xml:space="preserve">; </t>
        </is>
      </c>
      <c r="M31" s="5" t="inlineStr">
        <is>
          <t>100.0</t>
        </is>
      </c>
      <c r="N31" s="5" t="inlineStr">
        <is>
          <t>YES</t>
        </is>
      </c>
    </row>
    <row r="32">
      <c r="A32" s="6" t="n">
        <v>384</v>
      </c>
      <c r="B32" s="5" t="inlineStr">
        <is>
          <t>S5</t>
        </is>
      </c>
      <c r="C32" s="5" t="inlineStr">
        <is>
          <t>7: • Patient-derived vascular and endothelial dysfunction platforms</t>
        </is>
      </c>
      <c r="D32" s="5" t="inlineStr">
        <is>
          <t>Single-cell RNA-seq and bulk-seq identify RAB17 as a potential regulator of angiogenesis by human dermal microvascular endothelial cells in diabetic foot ulcers</t>
        </is>
      </c>
      <c r="G32" s="5" t="inlineStr">
        <is>
          <t>Safety, toxicity, delivery, stability, or dose concerns</t>
        </is>
      </c>
      <c r="H32" s="6" t="inlineStr">
        <is>
          <t>1</t>
        </is>
      </c>
      <c r="K32" s="5" t="inlineStr">
        <is>
          <t xml:space="preserve">; </t>
        </is>
      </c>
      <c r="M32" s="5" t="inlineStr">
        <is>
          <t>100.0</t>
        </is>
      </c>
      <c r="N32" s="5" t="inlineStr">
        <is>
          <t>YES</t>
        </is>
      </c>
    </row>
    <row r="33">
      <c r="A33" s="6" t="n">
        <v>384</v>
      </c>
      <c r="B33" s="5" t="inlineStr">
        <is>
          <t>S5</t>
        </is>
      </c>
      <c r="C33" s="5" t="inlineStr">
        <is>
          <t>7: • Patient-derived vascular and endothelial dysfunction platforms</t>
        </is>
      </c>
      <c r="D33" s="5" t="inlineStr">
        <is>
          <t>Single-cell RNA-seq and bulk-seq identify RAB17 as a potential regulator of angiogenesis by human dermal microvascular endothelial cells in diabetic foot ulcers</t>
        </is>
      </c>
      <c r="G33" s="5" t="inlineStr">
        <is>
          <t>Data, model, annotation, or generalizability limitations</t>
        </is>
      </c>
      <c r="H33" s="6" t="inlineStr">
        <is>
          <t>1</t>
        </is>
      </c>
      <c r="K33" s="5" t="inlineStr">
        <is>
          <t xml:space="preserve">; </t>
        </is>
      </c>
      <c r="M33" s="5" t="inlineStr">
        <is>
          <t>100.0</t>
        </is>
      </c>
      <c r="N33" s="5" t="inlineStr">
        <is>
          <t>YES</t>
        </is>
      </c>
    </row>
    <row r="34">
      <c r="A34" s="6" t="n">
        <v>385</v>
      </c>
      <c r="B34" s="5" t="inlineStr">
        <is>
          <t>S5</t>
        </is>
      </c>
      <c r="C34" s="5" t="inlineStr">
        <is>
          <t>7: • Patient-derived vascular and endothelial dysfunction platforms</t>
        </is>
      </c>
      <c r="D34" s="5" t="inlineStr">
        <is>
          <t>Modeling diabetic endothelial dysfunction with patient‐specific induced pluripotent stem cells</t>
        </is>
      </c>
      <c r="G34" s="5" t="inlineStr">
        <is>
          <t>Limited human or clinical validation</t>
        </is>
      </c>
      <c r="H34" s="6" t="inlineStr">
        <is>
          <t>1</t>
        </is>
      </c>
      <c r="K34" s="5" t="inlineStr">
        <is>
          <t xml:space="preserve">; </t>
        </is>
      </c>
      <c r="M34" s="5" t="inlineStr">
        <is>
          <t>100.0</t>
        </is>
      </c>
      <c r="N34" s="5" t="inlineStr">
        <is>
          <t>YES</t>
        </is>
      </c>
    </row>
    <row r="35">
      <c r="A35" s="6" t="n">
        <v>385</v>
      </c>
      <c r="B35" s="5" t="inlineStr">
        <is>
          <t>S5</t>
        </is>
      </c>
      <c r="C35" s="5" t="inlineStr">
        <is>
          <t>7: • Patient-derived vascular and endothelial dysfunction platforms</t>
        </is>
      </c>
      <c r="D35" s="5" t="inlineStr">
        <is>
          <t>Modeling diabetic endothelial dysfunction with patient‐specific induced pluripotent stem cells</t>
        </is>
      </c>
      <c r="G35" s="5" t="inlineStr">
        <is>
          <t>Weak chronic / diabetic / infected wound relevance</t>
        </is>
      </c>
      <c r="H35" s="6" t="inlineStr">
        <is>
          <t>1</t>
        </is>
      </c>
      <c r="K35" s="5" t="inlineStr">
        <is>
          <t xml:space="preserve">; </t>
        </is>
      </c>
      <c r="M35" s="5" t="inlineStr">
        <is>
          <t>100.0</t>
        </is>
      </c>
      <c r="N35" s="5" t="inlineStr">
        <is>
          <t>YES</t>
        </is>
      </c>
    </row>
    <row r="36">
      <c r="A36" s="6" t="n">
        <v>385</v>
      </c>
      <c r="B36" s="5" t="inlineStr">
        <is>
          <t>S5</t>
        </is>
      </c>
      <c r="C36" s="5" t="inlineStr">
        <is>
          <t>7: • Patient-derived vascular and endothelial dysfunction platforms</t>
        </is>
      </c>
      <c r="D36" s="5" t="inlineStr">
        <is>
          <t>Modeling diabetic endothelial dysfunction with patient‐specific induced pluripotent stem cells</t>
        </is>
      </c>
      <c r="G36" s="5" t="inlineStr">
        <is>
          <t>Limited biological complexity or incomplete wound biology</t>
        </is>
      </c>
      <c r="H36" s="6" t="inlineStr">
        <is>
          <t>1</t>
        </is>
      </c>
      <c r="K36" s="5" t="inlineStr">
        <is>
          <t xml:space="preserve">; </t>
        </is>
      </c>
      <c r="M36" s="5" t="inlineStr">
        <is>
          <t>100.0</t>
        </is>
      </c>
      <c r="N36" s="5" t="inlineStr">
        <is>
          <t>YES</t>
        </is>
      </c>
    </row>
    <row r="37">
      <c r="A37" s="6" t="n">
        <v>385</v>
      </c>
      <c r="B37" s="5" t="inlineStr">
        <is>
          <t>S5</t>
        </is>
      </c>
      <c r="C37" s="5" t="inlineStr">
        <is>
          <t>7: • Patient-derived vascular and endothelial dysfunction platforms</t>
        </is>
      </c>
      <c r="D37" s="5" t="inlineStr">
        <is>
          <t>Modeling diabetic endothelial dysfunction with patient‐specific induced pluripotent stem cells</t>
        </is>
      </c>
      <c r="G37" s="5" t="inlineStr">
        <is>
          <t>Manufacturing, standardization, regulatory, or scale-up barriers</t>
        </is>
      </c>
      <c r="H37" s="6" t="inlineStr">
        <is>
          <t>1</t>
        </is>
      </c>
      <c r="K37" s="5" t="inlineStr">
        <is>
          <t xml:space="preserve">; </t>
        </is>
      </c>
      <c r="M37" s="5" t="inlineStr">
        <is>
          <t>100.0</t>
        </is>
      </c>
      <c r="N37" s="5" t="inlineStr">
        <is>
          <t>YES</t>
        </is>
      </c>
    </row>
    <row r="38">
      <c r="A38" s="6" t="n">
        <v>385</v>
      </c>
      <c r="B38" s="5" t="inlineStr">
        <is>
          <t>S5</t>
        </is>
      </c>
      <c r="C38" s="5" t="inlineStr">
        <is>
          <t>7: • Patient-derived vascular and endothelial dysfunction platforms</t>
        </is>
      </c>
      <c r="D38" s="5" t="inlineStr">
        <is>
          <t>Modeling diabetic endothelial dysfunction with patient‐specific induced pluripotent stem cells</t>
        </is>
      </c>
      <c r="E38" s="5" t="n"/>
      <c r="G38" s="5" t="inlineStr">
        <is>
          <t>Data, model, annotation, or generalizability limitations</t>
        </is>
      </c>
      <c r="H38" s="6" t="inlineStr">
        <is>
          <t>1</t>
        </is>
      </c>
      <c r="K38" s="5" t="inlineStr">
        <is>
          <t xml:space="preserve">; </t>
        </is>
      </c>
      <c r="M38" s="5" t="inlineStr">
        <is>
          <t>100.0</t>
        </is>
      </c>
      <c r="N38" s="5" t="inlineStr">
        <is>
          <t>YES</t>
        </is>
      </c>
    </row>
    <row r="39">
      <c r="A39" s="6" t="n">
        <v>400</v>
      </c>
      <c r="B39" s="5" t="inlineStr">
        <is>
          <t>S5</t>
        </is>
      </c>
      <c r="C39" s="5" t="inlineStr">
        <is>
          <t>9: • Clinical image and trajectory-based wound digital twins</t>
        </is>
      </c>
      <c r="D39" s="5" t="inlineStr">
        <is>
          <t>Interpolating and Forecasting Wound Trajectory using Machine Learning Approaches</t>
        </is>
      </c>
      <c r="E39" s="5" t="n"/>
      <c r="G39" s="5" t="inlineStr">
        <is>
          <t>Data, model, annotation, or generalizability limitations</t>
        </is>
      </c>
      <c r="H39" s="6" t="inlineStr">
        <is>
          <t>1</t>
        </is>
      </c>
      <c r="K39" s="5" t="inlineStr">
        <is>
          <t xml:space="preserve">; </t>
        </is>
      </c>
      <c r="M39" s="5" t="inlineStr">
        <is>
          <t>100.0</t>
        </is>
      </c>
      <c r="N39" s="5" t="inlineStr">
        <is>
          <t>YES</t>
        </is>
      </c>
    </row>
    <row r="40">
      <c r="A40" s="6" t="n">
        <v>401</v>
      </c>
      <c r="B40" s="5" t="inlineStr">
        <is>
          <t>S5</t>
        </is>
      </c>
      <c r="C40" s="5" t="inlineStr">
        <is>
          <t>9: • Clinical image and trajectory-based wound digital twins</t>
        </is>
      </c>
      <c r="D40" s="5" t="inlineStr">
        <is>
          <t>How quickly does a wound heal? Bayesian calibration of a mathematical model of venous leg ulcer healing</t>
        </is>
      </c>
      <c r="G40" s="5" t="inlineStr">
        <is>
          <t>Weak chronic / diabetic / infected wound relevance</t>
        </is>
      </c>
      <c r="H40" s="6" t="inlineStr">
        <is>
          <t>1</t>
        </is>
      </c>
      <c r="K40" s="5" t="inlineStr">
        <is>
          <t xml:space="preserve">; </t>
        </is>
      </c>
      <c r="M40" s="5" t="inlineStr">
        <is>
          <t>100.0</t>
        </is>
      </c>
      <c r="N40" s="5" t="inlineStr">
        <is>
          <t>YES</t>
        </is>
      </c>
    </row>
    <row r="41">
      <c r="A41" s="6" t="n">
        <v>401</v>
      </c>
      <c r="B41" s="5" t="inlineStr">
        <is>
          <t>S5</t>
        </is>
      </c>
      <c r="C41" s="5" t="inlineStr">
        <is>
          <t>9: • Clinical image and trajectory-based wound digital twins</t>
        </is>
      </c>
      <c r="D41" s="5" t="inlineStr">
        <is>
          <t>How quickly does a wound heal? Bayesian calibration of a mathematical model of venous leg ulcer healing</t>
        </is>
      </c>
      <c r="G41" s="5" t="inlineStr">
        <is>
          <t>Data, model, annotation, or generalizability limitations</t>
        </is>
      </c>
      <c r="H41" s="6" t="inlineStr">
        <is>
          <t>1</t>
        </is>
      </c>
      <c r="K41" s="5" t="inlineStr">
        <is>
          <t xml:space="preserve">; </t>
        </is>
      </c>
      <c r="M41" s="5" t="inlineStr">
        <is>
          <t>100.0</t>
        </is>
      </c>
      <c r="N41" s="5" t="inlineStr">
        <is>
          <t>YES</t>
        </is>
      </c>
    </row>
    <row r="42">
      <c r="A42" s="6" t="n">
        <v>403</v>
      </c>
      <c r="B42" s="5" t="inlineStr">
        <is>
          <t>S5</t>
        </is>
      </c>
      <c r="C42" s="5" t="inlineStr">
        <is>
          <t>10: • Mechanistic and multiscale wound-treatment simulators</t>
        </is>
      </c>
      <c r="D42" s="5" t="inlineStr">
        <is>
          <t>Spatio-temporal multiscale cell modeling of skin wound healing</t>
        </is>
      </c>
      <c r="G42" s="5" t="inlineStr">
        <is>
          <t>Weak chronic / diabetic / infected wound relevance</t>
        </is>
      </c>
      <c r="H42" s="6" t="inlineStr">
        <is>
          <t>1</t>
        </is>
      </c>
      <c r="K42" s="5" t="inlineStr">
        <is>
          <t xml:space="preserve">; </t>
        </is>
      </c>
      <c r="M42" s="5" t="inlineStr">
        <is>
          <t>100.0</t>
        </is>
      </c>
      <c r="N42" s="5" t="inlineStr">
        <is>
          <t>YES</t>
        </is>
      </c>
    </row>
    <row r="43">
      <c r="A43" s="6" t="n">
        <v>403</v>
      </c>
      <c r="B43" s="5" t="inlineStr">
        <is>
          <t>S5</t>
        </is>
      </c>
      <c r="C43" s="5" t="inlineStr">
        <is>
          <t>10: • Mechanistic and multiscale wound-treatment simulators</t>
        </is>
      </c>
      <c r="D43" s="5" t="inlineStr">
        <is>
          <t>Spatio-temporal multiscale cell modeling of skin wound healing</t>
        </is>
      </c>
      <c r="G43" s="5" t="inlineStr">
        <is>
          <t>Limited biological complexity or incomplete wound biology</t>
        </is>
      </c>
      <c r="H43" s="6" t="inlineStr">
        <is>
          <t>1</t>
        </is>
      </c>
      <c r="K43" s="5" t="inlineStr">
        <is>
          <t xml:space="preserve">; </t>
        </is>
      </c>
      <c r="M43" s="5" t="inlineStr">
        <is>
          <t>100.0</t>
        </is>
      </c>
      <c r="N43" s="5" t="inlineStr">
        <is>
          <t>YES</t>
        </is>
      </c>
    </row>
    <row r="44">
      <c r="A44" s="6" t="n">
        <v>403</v>
      </c>
      <c r="B44" s="5" t="inlineStr">
        <is>
          <t>S5</t>
        </is>
      </c>
      <c r="C44" s="5" t="inlineStr">
        <is>
          <t>10: • Mechanistic and multiscale wound-treatment simulators</t>
        </is>
      </c>
      <c r="D44" s="5" t="inlineStr">
        <is>
          <t>Spatio-temporal multiscale cell modeling of skin wound healing</t>
        </is>
      </c>
      <c r="G44" s="5" t="inlineStr">
        <is>
          <t>Manufacturing, standardization, regulatory, or scale-up barriers</t>
        </is>
      </c>
      <c r="H44" s="6" t="inlineStr">
        <is>
          <t>1</t>
        </is>
      </c>
      <c r="K44" s="5" t="inlineStr">
        <is>
          <t xml:space="preserve">; </t>
        </is>
      </c>
      <c r="M44" s="5" t="inlineStr">
        <is>
          <t>100.0</t>
        </is>
      </c>
      <c r="N44" s="5" t="inlineStr">
        <is>
          <t>YES</t>
        </is>
      </c>
    </row>
    <row r="45">
      <c r="A45" s="6" t="n">
        <v>403</v>
      </c>
      <c r="B45" s="5" t="inlineStr">
        <is>
          <t>S5</t>
        </is>
      </c>
      <c r="C45" s="5" t="inlineStr">
        <is>
          <t>10: • Mechanistic and multiscale wound-treatment simulators</t>
        </is>
      </c>
      <c r="D45" s="5" t="inlineStr">
        <is>
          <t>Spatio-temporal multiscale cell modeling of skin wound healing</t>
        </is>
      </c>
      <c r="G45" s="5" t="inlineStr">
        <is>
          <t>Data, model, annotation, or generalizability limitations</t>
        </is>
      </c>
      <c r="H45" s="6" t="inlineStr">
        <is>
          <t>1</t>
        </is>
      </c>
      <c r="K45" s="5" t="inlineStr">
        <is>
          <t xml:space="preserve">; </t>
        </is>
      </c>
      <c r="M45" s="5" t="inlineStr">
        <is>
          <t>100.0</t>
        </is>
      </c>
      <c r="N45" s="5" t="inlineStr">
        <is>
          <t>YES</t>
        </is>
      </c>
    </row>
    <row r="46">
      <c r="A46" s="6" t="n">
        <v>404</v>
      </c>
      <c r="B46" s="5" t="inlineStr">
        <is>
          <t>S5</t>
        </is>
      </c>
      <c r="C46" s="5" t="inlineStr">
        <is>
          <t>10: • Mechanistic and multiscale wound-treatment simulators</t>
        </is>
      </c>
      <c r="D46" s="5" t="inlineStr">
        <is>
          <t>Effective spatio-temporal regimes for wound treatment by way of macrophage polarization: a mathematical model</t>
        </is>
      </c>
      <c r="G46" s="5" t="inlineStr">
        <is>
          <t>Weak chronic / diabetic / infected wound relevance</t>
        </is>
      </c>
      <c r="H46" s="6" t="inlineStr">
        <is>
          <t>1</t>
        </is>
      </c>
      <c r="K46" s="5" t="inlineStr">
        <is>
          <t xml:space="preserve">; </t>
        </is>
      </c>
      <c r="M46" s="5" t="inlineStr">
        <is>
          <t>100.0</t>
        </is>
      </c>
      <c r="N46" s="5" t="inlineStr">
        <is>
          <t>YES</t>
        </is>
      </c>
    </row>
    <row r="47">
      <c r="A47" s="6" t="n">
        <v>404</v>
      </c>
      <c r="B47" s="5" t="inlineStr">
        <is>
          <t>S5</t>
        </is>
      </c>
      <c r="C47" s="5" t="inlineStr">
        <is>
          <t>10: • Mechanistic and multiscale wound-treatment simulators</t>
        </is>
      </c>
      <c r="D47" s="5" t="inlineStr">
        <is>
          <t>Effective spatio-temporal regimes for wound treatment by way of macrophage polarization: a mathematical model</t>
        </is>
      </c>
      <c r="G47" s="5" t="inlineStr">
        <is>
          <t>Limited biological complexity or incomplete wound biology</t>
        </is>
      </c>
      <c r="H47" s="6" t="inlineStr">
        <is>
          <t>1</t>
        </is>
      </c>
      <c r="K47" s="5" t="inlineStr">
        <is>
          <t xml:space="preserve">; </t>
        </is>
      </c>
      <c r="M47" s="5" t="inlineStr">
        <is>
          <t>100.0</t>
        </is>
      </c>
      <c r="N47" s="5" t="inlineStr">
        <is>
          <t>YES</t>
        </is>
      </c>
    </row>
    <row r="48">
      <c r="A48" s="6" t="n">
        <v>404</v>
      </c>
      <c r="B48" s="5" t="inlineStr">
        <is>
          <t>S5</t>
        </is>
      </c>
      <c r="C48" s="5" t="inlineStr">
        <is>
          <t>10: • Mechanistic and multiscale wound-treatment simulators</t>
        </is>
      </c>
      <c r="D48" s="5" t="inlineStr">
        <is>
          <t>Effective spatio-temporal regimes for wound treatment by way of macrophage polarization: a mathematical model</t>
        </is>
      </c>
      <c r="G48" s="5" t="inlineStr">
        <is>
          <t>Device, sensor, actuation, or deployment constraints</t>
        </is>
      </c>
      <c r="H48" s="6" t="inlineStr">
        <is>
          <t>1</t>
        </is>
      </c>
      <c r="K48" s="5" t="inlineStr">
        <is>
          <t xml:space="preserve">; </t>
        </is>
      </c>
      <c r="M48" s="5" t="inlineStr">
        <is>
          <t>100.0</t>
        </is>
      </c>
      <c r="N48" s="5" t="inlineStr">
        <is>
          <t>YES</t>
        </is>
      </c>
    </row>
    <row r="49">
      <c r="A49" s="6" t="n">
        <v>405</v>
      </c>
      <c r="B49" s="5" t="inlineStr">
        <is>
          <t>S5</t>
        </is>
      </c>
      <c r="C49" s="5" t="inlineStr">
        <is>
          <t>10: • Mechanistic and multiscale wound-treatment simulators</t>
        </is>
      </c>
      <c r="D49" s="5" t="inlineStr">
        <is>
          <t>Mathematical model predicts that acceleration of diabetic wound healing is dependent on spatial distribution of VEGF-A mRNA (AZD8601)</t>
        </is>
      </c>
      <c r="G49" s="5" t="inlineStr">
        <is>
          <t>Limited human or clinical validation</t>
        </is>
      </c>
      <c r="H49" s="6" t="inlineStr">
        <is>
          <t>1</t>
        </is>
      </c>
      <c r="K49" s="5" t="inlineStr">
        <is>
          <t xml:space="preserve">; </t>
        </is>
      </c>
      <c r="M49" s="5" t="inlineStr">
        <is>
          <t>100.0</t>
        </is>
      </c>
      <c r="N49" s="5" t="inlineStr">
        <is>
          <t>YES</t>
        </is>
      </c>
    </row>
    <row r="50">
      <c r="A50" s="6" t="n">
        <v>405</v>
      </c>
      <c r="B50" s="5" t="inlineStr">
        <is>
          <t>S5</t>
        </is>
      </c>
      <c r="C50" s="5" t="inlineStr">
        <is>
          <t>10: • Mechanistic and multiscale wound-treatment simulators</t>
        </is>
      </c>
      <c r="D50" s="5" t="inlineStr">
        <is>
          <t>Mathematical model predicts that acceleration of diabetic wound healing is dependent on spatial distribution of VEGF-A mRNA (AZD8601)</t>
        </is>
      </c>
      <c r="G50" s="5" t="inlineStr">
        <is>
          <t>Weak chronic / diabetic / infected wound relevance</t>
        </is>
      </c>
      <c r="H50" s="6" t="inlineStr">
        <is>
          <t>1</t>
        </is>
      </c>
      <c r="K50" s="5" t="inlineStr">
        <is>
          <t xml:space="preserve">; </t>
        </is>
      </c>
      <c r="M50" s="5" t="inlineStr">
        <is>
          <t>100.0</t>
        </is>
      </c>
      <c r="N50" s="5" t="inlineStr">
        <is>
          <t>YES</t>
        </is>
      </c>
    </row>
    <row r="51">
      <c r="A51" s="6" t="n">
        <v>413</v>
      </c>
      <c r="B51" s="5" t="inlineStr">
        <is>
          <t>S5</t>
        </is>
      </c>
      <c r="C51" s="5" t="inlineStr">
        <is>
          <t>12: • Skin-on-chip and microfluidic skin testing systems for toxicity, absorption, and permeation</t>
        </is>
      </c>
      <c r="D51" s="5" t="inlineStr">
        <is>
          <t>Skin integrated with perfusable vascular channels on a chip</t>
        </is>
      </c>
      <c r="E51" t="inlineStr">
        <is>
          <t>10.1016/j.biomaterials.2016.11.031</t>
        </is>
      </c>
      <c r="G51" s="5" t="inlineStr">
        <is>
          <t>Weak chronic / diabetic / infected wound relevance</t>
        </is>
      </c>
      <c r="H51" s="6" t="inlineStr">
        <is>
          <t>1</t>
        </is>
      </c>
      <c r="K51" s="5" t="inlineStr">
        <is>
          <t xml:space="preserve">; </t>
        </is>
      </c>
      <c r="M51" s="5" t="inlineStr">
        <is>
          <t>100.0</t>
        </is>
      </c>
      <c r="N51" s="5" t="inlineStr">
        <is>
          <t>YES</t>
        </is>
      </c>
    </row>
    <row r="52">
      <c r="A52" s="6" t="n">
        <v>413</v>
      </c>
      <c r="B52" s="5" t="inlineStr">
        <is>
          <t>S5</t>
        </is>
      </c>
      <c r="C52" s="5" t="inlineStr">
        <is>
          <t>12: • Skin-on-chip and microfluidic skin testing systems for toxicity, absorption, and permeation</t>
        </is>
      </c>
      <c r="D52" s="5" t="inlineStr">
        <is>
          <t>Skin integrated with perfusable vascular channels on a chip</t>
        </is>
      </c>
      <c r="E52" t="inlineStr">
        <is>
          <t>10.1016/j.biomaterials.2016.11.031</t>
        </is>
      </c>
      <c r="G52" s="5" t="inlineStr">
        <is>
          <t>Limited biological complexity or incomplete wound biology</t>
        </is>
      </c>
      <c r="H52" s="6" t="inlineStr">
        <is>
          <t>1</t>
        </is>
      </c>
      <c r="K52" s="5" t="inlineStr">
        <is>
          <t xml:space="preserve">; </t>
        </is>
      </c>
      <c r="M52" s="5" t="inlineStr">
        <is>
          <t>100.0</t>
        </is>
      </c>
      <c r="N52" s="5" t="inlineStr">
        <is>
          <t>YES</t>
        </is>
      </c>
    </row>
    <row r="53">
      <c r="A53" s="6" t="n">
        <v>413</v>
      </c>
      <c r="B53" s="5" t="inlineStr">
        <is>
          <t>S5</t>
        </is>
      </c>
      <c r="C53" s="5" t="inlineStr">
        <is>
          <t>12: • Skin-on-chip and microfluidic skin testing systems for toxicity, absorption, and permeation</t>
        </is>
      </c>
      <c r="D53" s="5" t="inlineStr">
        <is>
          <t>Skin integrated with perfusable vascular channels on a chip</t>
        </is>
      </c>
      <c r="E53" t="inlineStr">
        <is>
          <t>10.1016/j.biomaterials.2016.11.031</t>
        </is>
      </c>
      <c r="G53" s="5" t="inlineStr">
        <is>
          <t>Data, model, annotation, or generalizability limitations</t>
        </is>
      </c>
      <c r="H53" s="6" t="inlineStr">
        <is>
          <t>1</t>
        </is>
      </c>
      <c r="K53" s="5" t="inlineStr">
        <is>
          <t xml:space="preserve">; </t>
        </is>
      </c>
      <c r="M53" s="5" t="inlineStr">
        <is>
          <t>100.0</t>
        </is>
      </c>
      <c r="N53" s="5" t="inlineStr">
        <is>
          <t>YES</t>
        </is>
      </c>
    </row>
    <row r="54">
      <c r="A54" s="6" t="n">
        <v>413</v>
      </c>
      <c r="B54" s="5" t="inlineStr">
        <is>
          <t>S5</t>
        </is>
      </c>
      <c r="C54" s="5" t="inlineStr">
        <is>
          <t>12: • Skin-on-chip and microfluidic skin testing systems for toxicity, absorption, and permeation</t>
        </is>
      </c>
      <c r="D54" s="5" t="inlineStr">
        <is>
          <t>Skin integrated with perfusable vascular channels on a chip</t>
        </is>
      </c>
      <c r="E54" t="inlineStr">
        <is>
          <t>10.1016/j.biomaterials.2016.11.031</t>
        </is>
      </c>
      <c r="G54" s="5" t="inlineStr">
        <is>
          <t>Device, sensor, actuation, or deployment constraints</t>
        </is>
      </c>
      <c r="H54" s="6" t="inlineStr">
        <is>
          <t>1</t>
        </is>
      </c>
      <c r="K54" s="5" t="inlineStr">
        <is>
          <t xml:space="preserve">; </t>
        </is>
      </c>
      <c r="M54" s="5" t="inlineStr">
        <is>
          <t>100.0</t>
        </is>
      </c>
      <c r="N54" s="5" t="inlineStr">
        <is>
          <t>YES</t>
        </is>
      </c>
    </row>
    <row r="55">
      <c r="A55" s="6" t="n">
        <v>414</v>
      </c>
      <c r="B55" s="5" t="inlineStr">
        <is>
          <t>S5</t>
        </is>
      </c>
      <c r="C55" s="5" t="inlineStr">
        <is>
          <t>12: • Skin-on-chip and microfluidic skin testing systems for toxicity, absorption, and permeation</t>
        </is>
      </c>
      <c r="D55" s="5" t="inlineStr">
        <is>
          <t>Side-effect test of sorafenib using 3-D skin equivalent based on microfluidic skin-on-a-chip</t>
        </is>
      </c>
      <c r="G55" s="5" t="inlineStr">
        <is>
          <t>Weak chronic / diabetic / infected wound relevance</t>
        </is>
      </c>
      <c r="H55" s="6" t="inlineStr">
        <is>
          <t>1</t>
        </is>
      </c>
      <c r="K55" s="5" t="inlineStr">
        <is>
          <t xml:space="preserve">; </t>
        </is>
      </c>
      <c r="M55" s="5" t="inlineStr">
        <is>
          <t>100.0</t>
        </is>
      </c>
      <c r="N55" s="5" t="inlineStr">
        <is>
          <t>YES</t>
        </is>
      </c>
    </row>
    <row r="56">
      <c r="A56" s="6" t="n">
        <v>414</v>
      </c>
      <c r="B56" s="5" t="inlineStr">
        <is>
          <t>S5</t>
        </is>
      </c>
      <c r="C56" s="5" t="inlineStr">
        <is>
          <t>12: • Skin-on-chip and microfluidic skin testing systems for toxicity, absorption, and permeation</t>
        </is>
      </c>
      <c r="D56" s="5" t="inlineStr">
        <is>
          <t>Side-effect test of sorafenib using 3-D skin equivalent based on microfluidic skin-on-a-chip</t>
        </is>
      </c>
      <c r="G56" s="5" t="inlineStr">
        <is>
          <t>Limited biological complexity or incomplete wound biology</t>
        </is>
      </c>
      <c r="H56" s="6" t="inlineStr">
        <is>
          <t>1</t>
        </is>
      </c>
      <c r="K56" s="5" t="inlineStr">
        <is>
          <t xml:space="preserve">; </t>
        </is>
      </c>
      <c r="M56" s="5" t="inlineStr">
        <is>
          <t>100.0</t>
        </is>
      </c>
      <c r="N56" s="5" t="inlineStr">
        <is>
          <t>YES</t>
        </is>
      </c>
    </row>
    <row r="57">
      <c r="A57" s="6" t="n">
        <v>423</v>
      </c>
      <c r="B57" s="5" t="inlineStr">
        <is>
          <t>S5</t>
        </is>
      </c>
      <c r="C57" s="5" t="inlineStr">
        <is>
          <t>12: • Skin-on-chip and microfluidic skin testing systems for toxicity, absorption, and permeation</t>
        </is>
      </c>
      <c r="D57" s="5" t="inlineStr">
        <is>
          <t>Multi-chamber microfluidic platform for high-precision skin permeation testing</t>
        </is>
      </c>
      <c r="G57" s="5" t="inlineStr">
        <is>
          <t>Weak chronic / diabetic / infected wound relevance</t>
        </is>
      </c>
      <c r="H57" s="6" t="inlineStr">
        <is>
          <t>1</t>
        </is>
      </c>
      <c r="K57" s="5" t="inlineStr">
        <is>
          <t xml:space="preserve">; </t>
        </is>
      </c>
      <c r="M57" s="5" t="inlineStr">
        <is>
          <t>100.0</t>
        </is>
      </c>
      <c r="N57" s="5" t="inlineStr">
        <is>
          <t>YES</t>
        </is>
      </c>
    </row>
    <row r="58">
      <c r="A58" s="6" t="n">
        <v>423</v>
      </c>
      <c r="B58" s="5" t="inlineStr">
        <is>
          <t>S5</t>
        </is>
      </c>
      <c r="C58" s="5" t="inlineStr">
        <is>
          <t>12: • Skin-on-chip and microfluidic skin testing systems for toxicity, absorption, and permeation</t>
        </is>
      </c>
      <c r="D58" s="5" t="inlineStr">
        <is>
          <t>Multi-chamber microfluidic platform for high-precision skin permeation testing</t>
        </is>
      </c>
      <c r="G58" s="5" t="inlineStr">
        <is>
          <t>Limited biological complexity or incomplete wound biology</t>
        </is>
      </c>
      <c r="H58" s="6" t="inlineStr">
        <is>
          <t>1</t>
        </is>
      </c>
      <c r="K58" s="5" t="inlineStr">
        <is>
          <t xml:space="preserve">; </t>
        </is>
      </c>
      <c r="M58" s="5" t="inlineStr">
        <is>
          <t>100.0</t>
        </is>
      </c>
      <c r="N58" s="5" t="inlineStr">
        <is>
          <t>YES</t>
        </is>
      </c>
    </row>
    <row r="59">
      <c r="A59" s="6" t="n">
        <v>427</v>
      </c>
      <c r="B59" s="5" t="inlineStr">
        <is>
          <t>S5</t>
        </is>
      </c>
      <c r="C59" s="5" t="inlineStr">
        <is>
          <t>13: • Biomaterial and tissue-platform standardization systems</t>
        </is>
      </c>
      <c r="D59" s="5" t="inlineStr">
        <is>
          <t>Multi-scale analysis of the composition, structure, and function of decellularized extracellular matrix for human skin and wound healing models</t>
        </is>
      </c>
      <c r="E59" t="inlineStr">
        <is>
          <t>10.3390/biom12060837</t>
        </is>
      </c>
      <c r="G59" s="5" t="inlineStr">
        <is>
          <t>Limited human or clinical validation</t>
        </is>
      </c>
      <c r="H59" s="6" t="inlineStr">
        <is>
          <t>1</t>
        </is>
      </c>
      <c r="K59" s="5" t="inlineStr">
        <is>
          <t xml:space="preserve">; </t>
        </is>
      </c>
      <c r="M59" s="5" t="inlineStr">
        <is>
          <t>100.0</t>
        </is>
      </c>
      <c r="N59" s="5" t="inlineStr">
        <is>
          <t>YES</t>
        </is>
      </c>
    </row>
    <row r="60">
      <c r="A60" s="6" t="n">
        <v>427</v>
      </c>
      <c r="B60" s="5" t="inlineStr">
        <is>
          <t>S5</t>
        </is>
      </c>
      <c r="C60" s="5" t="inlineStr">
        <is>
          <t>13: • Biomaterial and tissue-platform standardization systems</t>
        </is>
      </c>
      <c r="D60" s="5" t="inlineStr">
        <is>
          <t>Multi-scale analysis of the composition, structure, and function of decellularized extracellular matrix for human skin and wound healing models</t>
        </is>
      </c>
      <c r="E60" t="inlineStr">
        <is>
          <t>10.3390/biom12060837</t>
        </is>
      </c>
      <c r="G60" s="5" t="inlineStr">
        <is>
          <t>Weak chronic / diabetic / infected wound relevance</t>
        </is>
      </c>
      <c r="H60" s="6" t="inlineStr">
        <is>
          <t>1</t>
        </is>
      </c>
      <c r="K60" s="5" t="inlineStr">
        <is>
          <t xml:space="preserve">; </t>
        </is>
      </c>
      <c r="M60" s="5" t="inlineStr">
        <is>
          <t>100.0</t>
        </is>
      </c>
      <c r="N60" s="5" t="inlineStr">
        <is>
          <t>YES</t>
        </is>
      </c>
    </row>
    <row r="61">
      <c r="A61" s="6" t="n">
        <v>427</v>
      </c>
      <c r="B61" s="5" t="inlineStr">
        <is>
          <t>S5</t>
        </is>
      </c>
      <c r="C61" s="5" t="inlineStr">
        <is>
          <t>13: • Biomaterial and tissue-platform standardization systems</t>
        </is>
      </c>
      <c r="D61" s="5" t="inlineStr">
        <is>
          <t>Multi-scale analysis of the composition, structure, and function of decellularized extracellular matrix for human skin and wound healing models</t>
        </is>
      </c>
      <c r="E61" t="inlineStr">
        <is>
          <t>10.3390/biom12060837</t>
        </is>
      </c>
      <c r="G61" s="5" t="inlineStr">
        <is>
          <t>Limited biological complexity or incomplete wound biology</t>
        </is>
      </c>
      <c r="H61" s="6" t="inlineStr">
        <is>
          <t>1</t>
        </is>
      </c>
      <c r="K61" s="5" t="inlineStr">
        <is>
          <t xml:space="preserve">; </t>
        </is>
      </c>
      <c r="M61" s="5" t="inlineStr">
        <is>
          <t>100.0</t>
        </is>
      </c>
      <c r="N61" s="5" t="inlineStr">
        <is>
          <t>YES</t>
        </is>
      </c>
    </row>
    <row r="62">
      <c r="A62" s="6" t="n">
        <v>427</v>
      </c>
      <c r="B62" s="5" t="inlineStr">
        <is>
          <t>S5</t>
        </is>
      </c>
      <c r="C62" s="5" t="inlineStr">
        <is>
          <t>13: • Biomaterial and tissue-platform standardization systems</t>
        </is>
      </c>
      <c r="D62" s="5" t="inlineStr">
        <is>
          <t>Multi-scale analysis of the composition, structure, and function of decellularized extracellular matrix for human skin and wound healing models</t>
        </is>
      </c>
      <c r="E62" t="inlineStr">
        <is>
          <t>10.3390/biom12060837</t>
        </is>
      </c>
      <c r="G62" s="5" t="inlineStr">
        <is>
          <t>Manufacturing, standardization, regulatory, or scale-up barriers</t>
        </is>
      </c>
      <c r="H62" s="6" t="inlineStr">
        <is>
          <t>1</t>
        </is>
      </c>
      <c r="K62" s="5" t="inlineStr">
        <is>
          <t xml:space="preserve">; </t>
        </is>
      </c>
      <c r="M62" s="5" t="inlineStr">
        <is>
          <t>100.0</t>
        </is>
      </c>
      <c r="N62" s="5" t="inlineStr">
        <is>
          <t>YES</t>
        </is>
      </c>
    </row>
    <row r="63">
      <c r="A63" s="6" t="n">
        <v>428</v>
      </c>
      <c r="B63" s="5" t="inlineStr">
        <is>
          <t>S5</t>
        </is>
      </c>
      <c r="C63" s="5" t="inlineStr">
        <is>
          <t>13: • Biomaterial and tissue-platform standardization systems</t>
        </is>
      </c>
      <c r="D63" s="5" t="inlineStr">
        <is>
          <t>In vitro characterisation of 3D printed platelet lysate-based bioink for potential application in skin tissue engineering</t>
        </is>
      </c>
      <c r="G63" s="5" t="inlineStr">
        <is>
          <t>Weak chronic / diabetic / infected wound relevance</t>
        </is>
      </c>
      <c r="H63" s="6" t="inlineStr">
        <is>
          <t>1</t>
        </is>
      </c>
      <c r="K63" s="5" t="inlineStr">
        <is>
          <t xml:space="preserve">; </t>
        </is>
      </c>
      <c r="M63" s="5" t="inlineStr">
        <is>
          <t>100.0</t>
        </is>
      </c>
      <c r="N63" s="5" t="inlineStr">
        <is>
          <t>YES</t>
        </is>
      </c>
    </row>
    <row r="64">
      <c r="A64" s="6" t="n">
        <v>428</v>
      </c>
      <c r="B64" s="5" t="inlineStr">
        <is>
          <t>S5</t>
        </is>
      </c>
      <c r="C64" s="5" t="inlineStr">
        <is>
          <t>13: • Biomaterial and tissue-platform standardization systems</t>
        </is>
      </c>
      <c r="D64" s="5" t="inlineStr">
        <is>
          <t>In vitro characterisation of 3D printed platelet lysate-based bioink for potential application in skin tissue engineering</t>
        </is>
      </c>
      <c r="E64" s="5" t="n"/>
      <c r="G64" s="5" t="inlineStr">
        <is>
          <t>Limited biological complexity or incomplete wound biology</t>
        </is>
      </c>
      <c r="H64" s="6" t="inlineStr">
        <is>
          <t>1</t>
        </is>
      </c>
      <c r="K64" s="5" t="inlineStr">
        <is>
          <t xml:space="preserve">; </t>
        </is>
      </c>
      <c r="M64" s="5" t="inlineStr">
        <is>
          <t>100.0</t>
        </is>
      </c>
      <c r="N64" s="5" t="inlineStr">
        <is>
          <t>YES</t>
        </is>
      </c>
    </row>
    <row r="65">
      <c r="A65" s="6" t="n">
        <v>428</v>
      </c>
      <c r="B65" s="5" t="inlineStr">
        <is>
          <t>S5</t>
        </is>
      </c>
      <c r="C65" s="5" t="inlineStr">
        <is>
          <t>13: • Biomaterial and tissue-platform standardization systems</t>
        </is>
      </c>
      <c r="D65" s="5" t="inlineStr">
        <is>
          <t>In vitro characterisation of 3D printed platelet lysate-based bioink for potential application in skin tissue engineering</t>
        </is>
      </c>
      <c r="E65" s="5" t="n"/>
      <c r="G65" s="5" t="inlineStr">
        <is>
          <t>Manufacturing, standardization, regulatory, or scale-up barriers</t>
        </is>
      </c>
      <c r="H65" s="6" t="inlineStr">
        <is>
          <t>1</t>
        </is>
      </c>
      <c r="K65" s="5" t="inlineStr">
        <is>
          <t xml:space="preserve">; </t>
        </is>
      </c>
      <c r="M65" s="5" t="inlineStr">
        <is>
          <t>100.0</t>
        </is>
      </c>
      <c r="N65" s="5" t="inlineStr">
        <is>
          <t>YES</t>
        </is>
      </c>
    </row>
    <row r="66">
      <c r="A66" s="6" t="n">
        <v>428</v>
      </c>
      <c r="B66" s="5" t="inlineStr">
        <is>
          <t>S5</t>
        </is>
      </c>
      <c r="C66" s="5" t="inlineStr">
        <is>
          <t>13: • Biomaterial and tissue-platform standardization systems</t>
        </is>
      </c>
      <c r="D66" s="5" t="inlineStr">
        <is>
          <t>In vitro characterisation of 3D printed platelet lysate-based bioink for potential application in skin tissue engineering</t>
        </is>
      </c>
      <c r="E66" s="5" t="n"/>
      <c r="G66" s="5" t="inlineStr">
        <is>
          <t>Safety, toxicity, delivery, stability, or dose concerns</t>
        </is>
      </c>
      <c r="H66" s="6" t="inlineStr">
        <is>
          <t>1</t>
        </is>
      </c>
      <c r="K66" s="5" t="inlineStr">
        <is>
          <t xml:space="preserve">; </t>
        </is>
      </c>
      <c r="M66" s="5" t="inlineStr">
        <is>
          <t>100.0</t>
        </is>
      </c>
      <c r="N66" s="5" t="inlineStr">
        <is>
          <t>YES</t>
        </is>
      </c>
    </row>
    <row r="67">
      <c r="A67" s="6" t="n">
        <v>430</v>
      </c>
      <c r="B67" s="5" t="inlineStr">
        <is>
          <t>S5</t>
        </is>
      </c>
      <c r="C67" s="5" t="inlineStr">
        <is>
          <t>13: • Biomaterial and tissue-platform standardization systems</t>
        </is>
      </c>
      <c r="D67" s="5" t="inlineStr">
        <is>
          <t>Environmentally controlled microfluidic system enabling immune cell flow and activation in an endothelialised skin‐on‐chip</t>
        </is>
      </c>
      <c r="E67" s="5" t="n"/>
      <c r="G67" s="5" t="inlineStr">
        <is>
          <t>Weak chronic / diabetic / infected wound relevance</t>
        </is>
      </c>
      <c r="H67" s="6" t="inlineStr">
        <is>
          <t>1</t>
        </is>
      </c>
      <c r="K67" s="5" t="inlineStr">
        <is>
          <t xml:space="preserve">; </t>
        </is>
      </c>
      <c r="M67" s="5" t="inlineStr">
        <is>
          <t>100.0</t>
        </is>
      </c>
      <c r="N67" s="5" t="inlineStr">
        <is>
          <t>YES</t>
        </is>
      </c>
    </row>
    <row r="68">
      <c r="A68" s="6" t="n">
        <v>430</v>
      </c>
      <c r="B68" s="5" t="inlineStr">
        <is>
          <t>S5</t>
        </is>
      </c>
      <c r="C68" s="5" t="inlineStr">
        <is>
          <t>13: • Biomaterial and tissue-platform standardization systems</t>
        </is>
      </c>
      <c r="D68" s="5" t="inlineStr">
        <is>
          <t>Environmentally controlled microfluidic system enabling immune cell flow and activation in an endothelialised skin‐on‐chip</t>
        </is>
      </c>
      <c r="G68" s="5" t="inlineStr">
        <is>
          <t>Limited biological complexity or incomplete wound biology</t>
        </is>
      </c>
      <c r="H68" s="6" t="inlineStr">
        <is>
          <t>1</t>
        </is>
      </c>
      <c r="K68" s="5" t="inlineStr">
        <is>
          <t xml:space="preserve">; </t>
        </is>
      </c>
      <c r="M68" s="5" t="inlineStr">
        <is>
          <t>100.0</t>
        </is>
      </c>
      <c r="N68" s="5" t="inlineStr">
        <is>
          <t>YES</t>
        </is>
      </c>
    </row>
    <row r="69">
      <c r="A69" s="6" t="n">
        <v>432</v>
      </c>
      <c r="B69" s="5" t="inlineStr">
        <is>
          <t>S5</t>
        </is>
      </c>
      <c r="C69" s="5" t="inlineStr">
        <is>
          <t>13: • Biomaterial and tissue-platform standardization systems</t>
        </is>
      </c>
      <c r="D69" s="5" t="inlineStr">
        <is>
          <t>Optimization and Standardization of Stable De-Epidermized Dermis (DED) Models for Functional Evaluation of Cutaneous Cell Therapies</t>
        </is>
      </c>
      <c r="G69" s="5" t="inlineStr">
        <is>
          <t>Limited human or clinical validation</t>
        </is>
      </c>
      <c r="H69" s="6" t="inlineStr">
        <is>
          <t>1</t>
        </is>
      </c>
      <c r="K69" s="5" t="inlineStr">
        <is>
          <t xml:space="preserve">; </t>
        </is>
      </c>
      <c r="M69" s="5" t="inlineStr">
        <is>
          <t>100.0</t>
        </is>
      </c>
      <c r="N69" s="5" t="inlineStr">
        <is>
          <t>YES</t>
        </is>
      </c>
    </row>
    <row r="70">
      <c r="A70" s="6" t="n">
        <v>432</v>
      </c>
      <c r="B70" s="5" t="inlineStr">
        <is>
          <t>S5</t>
        </is>
      </c>
      <c r="C70" s="5" t="inlineStr">
        <is>
          <t>13: • Biomaterial and tissue-platform standardization systems</t>
        </is>
      </c>
      <c r="D70" s="5" t="inlineStr">
        <is>
          <t>Optimization and Standardization of Stable De-Epidermized Dermis (DED) Models for Functional Evaluation of Cutaneous Cell Therapies</t>
        </is>
      </c>
      <c r="G70" s="5" t="inlineStr">
        <is>
          <t>Weak chronic / diabetic / infected wound relevance</t>
        </is>
      </c>
      <c r="H70" s="6" t="inlineStr">
        <is>
          <t>1</t>
        </is>
      </c>
      <c r="K70" s="5" t="inlineStr">
        <is>
          <t xml:space="preserve">; </t>
        </is>
      </c>
      <c r="M70" s="5" t="inlineStr">
        <is>
          <t>100.0</t>
        </is>
      </c>
      <c r="N70" s="5" t="inlineStr">
        <is>
          <t>YES</t>
        </is>
      </c>
    </row>
    <row r="71">
      <c r="A71" s="6" t="n">
        <v>432</v>
      </c>
      <c r="B71" s="5" t="inlineStr">
        <is>
          <t>S5</t>
        </is>
      </c>
      <c r="C71" s="5" t="inlineStr">
        <is>
          <t>13: • Biomaterial and tissue-platform standardization systems</t>
        </is>
      </c>
      <c r="D71" s="5" t="inlineStr">
        <is>
          <t>Optimization and Standardization of Stable De-Epidermized Dermis (DED) Models for Functional Evaluation of Cutaneous Cell Therapies</t>
        </is>
      </c>
      <c r="G71" s="5" t="inlineStr">
        <is>
          <t>Limited biological complexity or incomplete wound biology</t>
        </is>
      </c>
      <c r="H71" s="6" t="inlineStr">
        <is>
          <t>1</t>
        </is>
      </c>
      <c r="K71" s="5" t="inlineStr">
        <is>
          <t xml:space="preserve">; </t>
        </is>
      </c>
      <c r="M71" s="5" t="inlineStr">
        <is>
          <t>100.0</t>
        </is>
      </c>
      <c r="N71" s="5" t="inlineStr">
        <is>
          <t>YES</t>
        </is>
      </c>
    </row>
    <row r="72">
      <c r="A72" s="6" t="n">
        <v>432</v>
      </c>
      <c r="B72" s="5" t="inlineStr">
        <is>
          <t>S5</t>
        </is>
      </c>
      <c r="C72" s="5" t="inlineStr">
        <is>
          <t>13: • Biomaterial and tissue-platform standardization systems</t>
        </is>
      </c>
      <c r="D72" s="5" t="inlineStr">
        <is>
          <t>Optimization and Standardization of Stable De-Epidermized Dermis (DED) Models for Functional Evaluation of Cutaneous Cell Therapies</t>
        </is>
      </c>
      <c r="E72" s="5" t="n"/>
      <c r="G72" s="5" t="inlineStr">
        <is>
          <t>Device, sensor, actuation, or deployment constraints</t>
        </is>
      </c>
      <c r="H72" s="6" t="inlineStr">
        <is>
          <t>1</t>
        </is>
      </c>
      <c r="K72" s="5" t="inlineStr">
        <is>
          <t xml:space="preserve">; </t>
        </is>
      </c>
      <c r="M72" s="5" t="inlineStr">
        <is>
          <t>100.0</t>
        </is>
      </c>
      <c r="N72" s="5" t="inlineStr">
        <is>
          <t>YES</t>
        </is>
      </c>
    </row>
    <row r="73">
      <c r="A73" s="6" t="n">
        <v>451</v>
      </c>
      <c r="B73" s="5" t="inlineStr">
        <is>
          <t>S5</t>
        </is>
      </c>
      <c r="C73" s="5" t="inlineStr">
        <is>
          <t>14: • AI-assisted wound endpoint standardization for clinical and preclinical studies</t>
        </is>
      </c>
      <c r="D73" s="5" t="inlineStr">
        <is>
          <t>Towards objective In-Vitro wound healing assessment with segment anything: A large evaluation of interactive and automated pipelines</t>
        </is>
      </c>
      <c r="E73" s="5" t="inlineStr">
        <is>
          <t>10.1016/j.cmpbup.2025.100224</t>
        </is>
      </c>
      <c r="G73" s="5" t="inlineStr">
        <is>
          <t>Data, model, annotation, or generalizability limitations</t>
        </is>
      </c>
      <c r="H73" s="6" t="inlineStr">
        <is>
          <t>1</t>
        </is>
      </c>
      <c r="K73" s="5" t="inlineStr">
        <is>
          <t xml:space="preserve">; </t>
        </is>
      </c>
      <c r="M73" s="5" t="inlineStr">
        <is>
          <t>100.0</t>
        </is>
      </c>
      <c r="N73" s="5" t="inlineStr">
        <is>
          <t>YES</t>
        </is>
      </c>
    </row>
    <row r="74">
      <c r="A74" s="6" t="n">
        <v>451</v>
      </c>
      <c r="B74" s="5" t="inlineStr">
        <is>
          <t>S5</t>
        </is>
      </c>
      <c r="C74" s="5" t="inlineStr">
        <is>
          <t>14: • AI-assisted wound endpoint standardization for clinical and preclinical studies</t>
        </is>
      </c>
      <c r="D74" s="5" t="inlineStr">
        <is>
          <t>Towards objective In-Vitro wound healing assessment with segment anything: A large evaluation of interactive and automated pipelines</t>
        </is>
      </c>
      <c r="E74" s="5" t="inlineStr">
        <is>
          <t>10.1016/j.cmpbup.2025.100224</t>
        </is>
      </c>
      <c r="G74" s="5" t="inlineStr">
        <is>
          <t>Device, sensor, actuation, or deployment constraints</t>
        </is>
      </c>
      <c r="H74" s="6" t="inlineStr">
        <is>
          <t>1</t>
        </is>
      </c>
      <c r="K74" s="5" t="inlineStr">
        <is>
          <t xml:space="preserve">; </t>
        </is>
      </c>
      <c r="M74" s="5" t="inlineStr">
        <is>
          <t>100.0</t>
        </is>
      </c>
      <c r="N74" s="5" t="inlineStr">
        <is>
          <t>YES</t>
        </is>
      </c>
    </row>
    <row r="75">
      <c r="A75" s="6" t="n">
        <v>452</v>
      </c>
      <c r="B75" s="5" t="inlineStr">
        <is>
          <t>S5</t>
        </is>
      </c>
      <c r="C75" s="5" t="inlineStr">
        <is>
          <t>14: • AI-assisted wound endpoint standardization for clinical and preclinical studies</t>
        </is>
      </c>
      <c r="D75" s="5" t="inlineStr">
        <is>
          <t>Development of a method for clinical evaluation of artificial intelligence–based digital wound assessment tools</t>
        </is>
      </c>
      <c r="E75" s="5" t="n"/>
      <c r="G75" s="5" t="inlineStr">
        <is>
          <t>Manufacturing, standardization, regulatory, or scale-up barriers</t>
        </is>
      </c>
      <c r="H75" s="6" t="inlineStr">
        <is>
          <t>1</t>
        </is>
      </c>
      <c r="K75" s="5" t="inlineStr">
        <is>
          <t xml:space="preserve">; </t>
        </is>
      </c>
      <c r="M75" s="5" t="inlineStr">
        <is>
          <t>100.0</t>
        </is>
      </c>
      <c r="N75" s="5" t="inlineStr">
        <is>
          <t>YES</t>
        </is>
      </c>
    </row>
    <row r="76">
      <c r="A76" s="6" t="n">
        <v>452</v>
      </c>
      <c r="B76" s="5" t="inlineStr">
        <is>
          <t>S5</t>
        </is>
      </c>
      <c r="C76" s="5" t="inlineStr">
        <is>
          <t>14: • AI-assisted wound endpoint standardization for clinical and preclinical studies</t>
        </is>
      </c>
      <c r="D76" s="5" t="inlineStr">
        <is>
          <t>Development of a method for clinical evaluation of artificial intelligence–based digital wound assessment tools</t>
        </is>
      </c>
      <c r="G76" s="5" t="inlineStr">
        <is>
          <t>Data, model, annotation, or generalizability limitations</t>
        </is>
      </c>
      <c r="H76" s="6" t="inlineStr">
        <is>
          <t>1</t>
        </is>
      </c>
      <c r="K76" s="5" t="inlineStr">
        <is>
          <t xml:space="preserve">; </t>
        </is>
      </c>
      <c r="M76" s="5" t="inlineStr">
        <is>
          <t>100.0</t>
        </is>
      </c>
      <c r="N76" s="5" t="inlineStr">
        <is>
          <t>YES</t>
        </is>
      </c>
    </row>
    <row r="77">
      <c r="A77" s="6" t="n">
        <v>452</v>
      </c>
      <c r="B77" s="5" t="inlineStr">
        <is>
          <t>S5</t>
        </is>
      </c>
      <c r="C77" s="5" t="inlineStr">
        <is>
          <t>14: • AI-assisted wound endpoint standardization for clinical and preclinical studies</t>
        </is>
      </c>
      <c r="D77" s="5" t="inlineStr">
        <is>
          <t>Development of a method for clinical evaluation of artificial intelligence–based digital wound assessment tools</t>
        </is>
      </c>
      <c r="G77" s="5" t="inlineStr">
        <is>
          <t>Device, sensor, actuation, or deployment constraints</t>
        </is>
      </c>
      <c r="H77" s="6" t="inlineStr">
        <is>
          <t>1</t>
        </is>
      </c>
      <c r="K77" s="5" t="inlineStr">
        <is>
          <t xml:space="preserve">; </t>
        </is>
      </c>
      <c r="M77" s="5" t="inlineStr">
        <is>
          <t>100.0</t>
        </is>
      </c>
      <c r="N77" s="5" t="inlineStr">
        <is>
          <t>YES</t>
        </is>
      </c>
    </row>
    <row r="78">
      <c r="A78" s="6" t="n">
        <v>453</v>
      </c>
      <c r="B78" s="5" t="inlineStr">
        <is>
          <t>S5</t>
        </is>
      </c>
      <c r="C78" s="5" t="inlineStr">
        <is>
          <t>14: • AI-assisted wound endpoint standardization for clinical and preclinical studies</t>
        </is>
      </c>
      <c r="D78" s="5" t="inlineStr">
        <is>
          <t>Automatic wound detection and size estimation using deep learning algorithms</t>
        </is>
      </c>
      <c r="G78" s="5" t="inlineStr">
        <is>
          <t>Weak chronic / diabetic / infected wound relevance</t>
        </is>
      </c>
      <c r="H78" s="6" t="inlineStr">
        <is>
          <t>1</t>
        </is>
      </c>
      <c r="K78" s="5" t="inlineStr">
        <is>
          <t xml:space="preserve">; </t>
        </is>
      </c>
      <c r="M78" s="5" t="inlineStr">
        <is>
          <t>100.0</t>
        </is>
      </c>
      <c r="N78" s="5" t="inlineStr">
        <is>
          <t>YES</t>
        </is>
      </c>
    </row>
    <row r="79">
      <c r="A79" s="6" t="n">
        <v>453</v>
      </c>
      <c r="B79" s="5" t="inlineStr">
        <is>
          <t>S5</t>
        </is>
      </c>
      <c r="C79" s="5" t="inlineStr">
        <is>
          <t>14: • AI-assisted wound endpoint standardization for clinical and preclinical studies</t>
        </is>
      </c>
      <c r="D79" s="5" t="inlineStr">
        <is>
          <t>Automatic wound detection and size estimation using deep learning algorithms</t>
        </is>
      </c>
      <c r="G79" s="5" t="inlineStr">
        <is>
          <t>Data, model, annotation, or generalizability limitations</t>
        </is>
      </c>
      <c r="H79" s="6" t="inlineStr">
        <is>
          <t>1</t>
        </is>
      </c>
      <c r="K79" s="5" t="inlineStr">
        <is>
          <t xml:space="preserve">; </t>
        </is>
      </c>
      <c r="M79" s="5" t="inlineStr">
        <is>
          <t>100.0</t>
        </is>
      </c>
      <c r="N79" s="5" t="inlineStr">
        <is>
          <t>YES</t>
        </is>
      </c>
    </row>
    <row r="80">
      <c r="A80" s="6" t="n">
        <v>454</v>
      </c>
      <c r="B80" s="5" t="inlineStr">
        <is>
          <t>S5</t>
        </is>
      </c>
      <c r="C80" s="5" t="inlineStr">
        <is>
          <t>14: • AI-assisted wound endpoint standardization for clinical and preclinical studies</t>
        </is>
      </c>
      <c r="D80" s="5" t="inlineStr">
        <is>
          <t>Convolutional Neural Networks in Chronic Wound Segmentation and Tissue Classification Using Real‐World Images</t>
        </is>
      </c>
      <c r="G80" s="5" t="inlineStr">
        <is>
          <t>Data, model, annotation, or generalizability limitations</t>
        </is>
      </c>
      <c r="H80" s="6" t="inlineStr">
        <is>
          <t>1</t>
        </is>
      </c>
      <c r="K80" s="5" t="inlineStr">
        <is>
          <t xml:space="preserve">; </t>
        </is>
      </c>
      <c r="M80" s="5" t="inlineStr">
        <is>
          <t>100.0</t>
        </is>
      </c>
      <c r="N80" s="5" t="inlineStr">
        <is>
          <t>YES</t>
        </is>
      </c>
    </row>
    <row r="81">
      <c r="A81" s="6" t="n">
        <v>460</v>
      </c>
      <c r="B81" s="5" t="inlineStr">
        <is>
          <t>S5</t>
        </is>
      </c>
      <c r="C81" s="5" t="inlineStr">
        <is>
          <t>14: • AI-assisted wound endpoint standardization for clinical and preclinical studies</t>
        </is>
      </c>
      <c r="D81" s="5" t="inlineStr">
        <is>
          <t>Enhancing chronic wound assessment through agreement analysis and tissue segmentation</t>
        </is>
      </c>
      <c r="G81" s="5" t="inlineStr">
        <is>
          <t>Limited human or clinical validation</t>
        </is>
      </c>
      <c r="H81" s="6" t="inlineStr">
        <is>
          <t>1</t>
        </is>
      </c>
      <c r="K81" s="5" t="inlineStr">
        <is>
          <t xml:space="preserve">; </t>
        </is>
      </c>
      <c r="M81" s="5" t="inlineStr">
        <is>
          <t>100.0</t>
        </is>
      </c>
      <c r="N81" s="5" t="inlineStr">
        <is>
          <t>YES</t>
        </is>
      </c>
    </row>
    <row r="82">
      <c r="A82" s="6" t="n">
        <v>460</v>
      </c>
      <c r="B82" s="5" t="inlineStr">
        <is>
          <t>S5</t>
        </is>
      </c>
      <c r="C82" s="5" t="inlineStr">
        <is>
          <t>14: • AI-assisted wound endpoint standardization for clinical and preclinical studies</t>
        </is>
      </c>
      <c r="D82" s="5" t="inlineStr">
        <is>
          <t>Enhancing chronic wound assessment through agreement analysis and tissue segmentation</t>
        </is>
      </c>
      <c r="G82" s="5" t="inlineStr">
        <is>
          <t>Data, model, annotation, or generalizability limitations</t>
        </is>
      </c>
      <c r="H82" s="6" t="inlineStr">
        <is>
          <t>1</t>
        </is>
      </c>
      <c r="K82" s="5" t="inlineStr">
        <is>
          <t xml:space="preserve">; </t>
        </is>
      </c>
      <c r="M82" s="5" t="inlineStr">
        <is>
          <t>100.0</t>
        </is>
      </c>
      <c r="N82" s="5" t="inlineStr">
        <is>
          <t>YES</t>
        </is>
      </c>
    </row>
    <row r="83">
      <c r="A83" s="6" t="n">
        <v>468</v>
      </c>
      <c r="B83" s="5" t="inlineStr">
        <is>
          <t>S5</t>
        </is>
      </c>
      <c r="C83" s="5" t="inlineStr">
        <is>
          <t>16: • Wearable infection and wound-state monitoring systems</t>
        </is>
      </c>
      <c r="D83" s="5" t="inlineStr">
        <is>
          <t>Wearable battery-free smart bandage with peptide functionalized biosensors based on MXene for bacterial wound infection detection</t>
        </is>
      </c>
      <c r="E83" t="inlineStr">
        <is>
          <t>10.1016/j.snb.2023.133598</t>
        </is>
      </c>
      <c r="G83" s="5" t="inlineStr">
        <is>
          <t>Limited human or clinical validation</t>
        </is>
      </c>
      <c r="H83" s="6" t="inlineStr">
        <is>
          <t>1</t>
        </is>
      </c>
      <c r="K83" s="5" t="inlineStr">
        <is>
          <t xml:space="preserve">; </t>
        </is>
      </c>
      <c r="M83" s="5" t="inlineStr">
        <is>
          <t>100.0</t>
        </is>
      </c>
      <c r="N83" s="5" t="inlineStr">
        <is>
          <t>YES</t>
        </is>
      </c>
    </row>
    <row r="84">
      <c r="A84" s="6" t="n">
        <v>468</v>
      </c>
      <c r="B84" s="5" t="inlineStr">
        <is>
          <t>S5</t>
        </is>
      </c>
      <c r="C84" s="5" t="inlineStr">
        <is>
          <t>16: • Wearable infection and wound-state monitoring systems</t>
        </is>
      </c>
      <c r="D84" s="5" t="inlineStr">
        <is>
          <t>Wearable battery-free smart bandage with peptide functionalized biosensors based on MXene for bacterial wound infection detection</t>
        </is>
      </c>
      <c r="E84" t="inlineStr">
        <is>
          <t>10.1016/j.snb.2023.133598</t>
        </is>
      </c>
      <c r="G84" s="5" t="inlineStr">
        <is>
          <t>Weak chronic / diabetic / infected wound relevance</t>
        </is>
      </c>
      <c r="H84" s="6" t="inlineStr">
        <is>
          <t>1</t>
        </is>
      </c>
      <c r="K84" s="5" t="inlineStr">
        <is>
          <t xml:space="preserve">; </t>
        </is>
      </c>
      <c r="M84" s="5" t="inlineStr">
        <is>
          <t>100.0</t>
        </is>
      </c>
      <c r="N84" s="5" t="inlineStr">
        <is>
          <t>YES</t>
        </is>
      </c>
    </row>
    <row r="85">
      <c r="A85" s="6" t="n">
        <v>468</v>
      </c>
      <c r="B85" s="5" t="inlineStr">
        <is>
          <t>S5</t>
        </is>
      </c>
      <c r="C85" s="5" t="inlineStr">
        <is>
          <t>16: • Wearable infection and wound-state monitoring systems</t>
        </is>
      </c>
      <c r="D85" s="5" t="inlineStr">
        <is>
          <t>Wearable battery-free smart bandage with peptide functionalized biosensors based on MXene for bacterial wound infection detection</t>
        </is>
      </c>
      <c r="E85" t="inlineStr">
        <is>
          <t>10.1016/j.snb.2023.133598</t>
        </is>
      </c>
      <c r="G85" s="5" t="inlineStr">
        <is>
          <t>Safety, toxicity, delivery, stability, or dose concerns</t>
        </is>
      </c>
      <c r="H85" s="6" t="inlineStr">
        <is>
          <t>1</t>
        </is>
      </c>
      <c r="K85" s="5" t="inlineStr">
        <is>
          <t xml:space="preserve">; </t>
        </is>
      </c>
      <c r="M85" s="5" t="inlineStr">
        <is>
          <t>100.0</t>
        </is>
      </c>
      <c r="N85" s="5" t="inlineStr">
        <is>
          <t>YES</t>
        </is>
      </c>
    </row>
    <row r="86">
      <c r="A86" s="6" t="n">
        <v>468</v>
      </c>
      <c r="B86" s="5" t="inlineStr">
        <is>
          <t>S5</t>
        </is>
      </c>
      <c r="C86" s="5" t="inlineStr">
        <is>
          <t>16: • Wearable infection and wound-state monitoring systems</t>
        </is>
      </c>
      <c r="D86" s="5" t="inlineStr">
        <is>
          <t>Wearable battery-free smart bandage with peptide functionalized biosensors based on MXene for bacterial wound infection detection</t>
        </is>
      </c>
      <c r="E86" s="5" t="inlineStr">
        <is>
          <t>10.1016/j.snb.2023.133598</t>
        </is>
      </c>
      <c r="G86" s="5" t="inlineStr">
        <is>
          <t>Device, sensor, actuation, or deployment constraints</t>
        </is>
      </c>
      <c r="H86" s="6" t="inlineStr">
        <is>
          <t>1</t>
        </is>
      </c>
      <c r="K86" s="5" t="inlineStr">
        <is>
          <t xml:space="preserve">; </t>
        </is>
      </c>
      <c r="M86" s="5" t="inlineStr">
        <is>
          <t>100.0</t>
        </is>
      </c>
      <c r="N86" s="5" t="inlineStr">
        <is>
          <t>YES</t>
        </is>
      </c>
    </row>
    <row r="87">
      <c r="A87" s="6" t="n">
        <v>468</v>
      </c>
      <c r="B87" s="5" t="inlineStr">
        <is>
          <t>S5</t>
        </is>
      </c>
      <c r="C87" s="5" t="inlineStr">
        <is>
          <t>16: • Wearable infection and wound-state monitoring systems</t>
        </is>
      </c>
      <c r="D87" s="5" t="inlineStr">
        <is>
          <t>Wearable battery-free smart bandage with peptide functionalized biosensors based on MXene for bacterial wound infection detection</t>
        </is>
      </c>
      <c r="E87" s="5" t="inlineStr">
        <is>
          <t>10.1016/j.snb.2023.133598</t>
        </is>
      </c>
      <c r="G87" s="5" t="inlineStr">
        <is>
          <t>Mechanistic uncertainty or active-agent complexity</t>
        </is>
      </c>
      <c r="H87" s="6" t="inlineStr">
        <is>
          <t>1</t>
        </is>
      </c>
      <c r="K87" s="5" t="inlineStr">
        <is>
          <t xml:space="preserve">; </t>
        </is>
      </c>
      <c r="M87" s="5" t="inlineStr">
        <is>
          <t>100.0</t>
        </is>
      </c>
      <c r="N87" s="5" t="inlineStr">
        <is>
          <t>YES</t>
        </is>
      </c>
    </row>
    <row r="88">
      <c r="A88" s="6" t="n">
        <v>469</v>
      </c>
      <c r="B88" s="5" t="inlineStr">
        <is>
          <t>S5</t>
        </is>
      </c>
      <c r="C88" s="5" t="inlineStr">
        <is>
          <t>16: • Wearable infection and wound-state monitoring systems</t>
        </is>
      </c>
      <c r="D88" s="5" t="inlineStr">
        <is>
          <t>In vivo validation of a smart sensor-enabled dressing for remote wound monitoring</t>
        </is>
      </c>
      <c r="G88" s="5" t="inlineStr">
        <is>
          <t>Limited human or clinical validation</t>
        </is>
      </c>
      <c r="H88" s="6" t="inlineStr">
        <is>
          <t>1</t>
        </is>
      </c>
      <c r="K88" s="5" t="inlineStr">
        <is>
          <t xml:space="preserve">; </t>
        </is>
      </c>
      <c r="M88" s="5" t="inlineStr">
        <is>
          <t>100.0</t>
        </is>
      </c>
      <c r="N88" s="5" t="inlineStr">
        <is>
          <t>YES</t>
        </is>
      </c>
    </row>
    <row r="89">
      <c r="A89" s="6" t="n">
        <v>469</v>
      </c>
      <c r="B89" s="5" t="inlineStr">
        <is>
          <t>S5</t>
        </is>
      </c>
      <c r="C89" s="5" t="inlineStr">
        <is>
          <t>16: • Wearable infection and wound-state monitoring systems</t>
        </is>
      </c>
      <c r="D89" s="5" t="inlineStr">
        <is>
          <t>In vivo validation of a smart sensor-enabled dressing for remote wound monitoring</t>
        </is>
      </c>
      <c r="G89" s="5" t="inlineStr">
        <is>
          <t>Weak chronic / diabetic / infected wound relevance</t>
        </is>
      </c>
      <c r="H89" s="6" t="inlineStr">
        <is>
          <t>1</t>
        </is>
      </c>
      <c r="K89" s="5" t="inlineStr">
        <is>
          <t xml:space="preserve">; </t>
        </is>
      </c>
      <c r="M89" s="5" t="inlineStr">
        <is>
          <t>100.0</t>
        </is>
      </c>
      <c r="N89" s="5" t="inlineStr">
        <is>
          <t>YES</t>
        </is>
      </c>
    </row>
    <row r="90">
      <c r="A90" s="6" t="n">
        <v>469</v>
      </c>
      <c r="B90" s="5" t="inlineStr">
        <is>
          <t>S5</t>
        </is>
      </c>
      <c r="C90" s="5" t="inlineStr">
        <is>
          <t>16: • Wearable infection and wound-state monitoring systems</t>
        </is>
      </c>
      <c r="D90" s="5" t="inlineStr">
        <is>
          <t>In vivo validation of a smart sensor-enabled dressing for remote wound monitoring</t>
        </is>
      </c>
      <c r="G90" s="5" t="inlineStr">
        <is>
          <t>Manufacturing, standardization, regulatory, or scale-up barriers</t>
        </is>
      </c>
      <c r="H90" s="6" t="inlineStr">
        <is>
          <t>1</t>
        </is>
      </c>
      <c r="K90" s="5" t="inlineStr">
        <is>
          <t xml:space="preserve">; </t>
        </is>
      </c>
      <c r="M90" s="5" t="inlineStr">
        <is>
          <t>100.0</t>
        </is>
      </c>
      <c r="N90" s="5" t="inlineStr">
        <is>
          <t>YES</t>
        </is>
      </c>
    </row>
    <row r="91">
      <c r="A91" s="6" t="n">
        <v>469</v>
      </c>
      <c r="B91" s="5" t="inlineStr">
        <is>
          <t>S5</t>
        </is>
      </c>
      <c r="C91" s="5" t="inlineStr">
        <is>
          <t>16: • Wearable infection and wound-state monitoring systems</t>
        </is>
      </c>
      <c r="D91" s="5" t="inlineStr">
        <is>
          <t>In vivo validation of a smart sensor-enabled dressing for remote wound monitoring</t>
        </is>
      </c>
      <c r="G91" s="5" t="inlineStr">
        <is>
          <t>Data, model, annotation, or generalizability limitations</t>
        </is>
      </c>
      <c r="H91" s="6" t="inlineStr">
        <is>
          <t>1</t>
        </is>
      </c>
      <c r="K91" s="5" t="inlineStr">
        <is>
          <t xml:space="preserve">; </t>
        </is>
      </c>
      <c r="M91" s="5" t="inlineStr">
        <is>
          <t>100.0</t>
        </is>
      </c>
      <c r="N91" s="5" t="inlineStr">
        <is>
          <t>YES</t>
        </is>
      </c>
    </row>
    <row r="92">
      <c r="A92" s="6" t="n">
        <v>469</v>
      </c>
      <c r="B92" s="5" t="inlineStr">
        <is>
          <t>S5</t>
        </is>
      </c>
      <c r="C92" s="5" t="inlineStr">
        <is>
          <t>16: • Wearable infection and wound-state monitoring systems</t>
        </is>
      </c>
      <c r="D92" s="5" t="inlineStr">
        <is>
          <t>In vivo validation of a smart sensor-enabled dressing for remote wound monitoring</t>
        </is>
      </c>
      <c r="G92" s="5" t="inlineStr">
        <is>
          <t>Device, sensor, actuation, or deployment constraints</t>
        </is>
      </c>
      <c r="H92" s="6" t="inlineStr">
        <is>
          <t>1</t>
        </is>
      </c>
      <c r="K92" s="5" t="inlineStr">
        <is>
          <t xml:space="preserve">; </t>
        </is>
      </c>
      <c r="M92" s="5" t="inlineStr">
        <is>
          <t>100.0</t>
        </is>
      </c>
      <c r="N92" s="5" t="inlineStr">
        <is>
          <t>YES</t>
        </is>
      </c>
    </row>
    <row r="93">
      <c r="A93" s="6" t="n">
        <v>469</v>
      </c>
      <c r="B93" s="5" t="inlineStr">
        <is>
          <t>S5</t>
        </is>
      </c>
      <c r="C93" s="5" t="inlineStr">
        <is>
          <t>16: • Wearable infection and wound-state monitoring systems</t>
        </is>
      </c>
      <c r="D93" s="5" t="inlineStr">
        <is>
          <t>In vivo validation of a smart sensor-enabled dressing for remote wound monitoring</t>
        </is>
      </c>
      <c r="G93" s="5" t="inlineStr">
        <is>
          <t>Mechanistic uncertainty or active-agent complexity</t>
        </is>
      </c>
      <c r="H93" s="6" t="inlineStr">
        <is>
          <t>1</t>
        </is>
      </c>
      <c r="K93" s="5" t="inlineStr">
        <is>
          <t xml:space="preserve">; </t>
        </is>
      </c>
      <c r="M93" s="5" t="inlineStr">
        <is>
          <t>100.0</t>
        </is>
      </c>
      <c r="N93" s="5" t="inlineStr">
        <is>
          <t>YES</t>
        </is>
      </c>
    </row>
    <row r="94">
      <c r="A94" s="6" t="n">
        <v>470</v>
      </c>
      <c r="B94" s="5" t="inlineStr">
        <is>
          <t>S5</t>
        </is>
      </c>
      <c r="C94" s="5" t="inlineStr">
        <is>
          <t>16: • Wearable infection and wound-state monitoring systems</t>
        </is>
      </c>
      <c r="D94" s="5" t="inlineStr">
        <is>
          <t>Smart dual‐sensor wound dressing for monitoring cutaneous wounds</t>
        </is>
      </c>
      <c r="G94" s="5" t="inlineStr">
        <is>
          <t>Limited human or clinical validation</t>
        </is>
      </c>
      <c r="H94" s="6" t="inlineStr">
        <is>
          <t>1</t>
        </is>
      </c>
      <c r="K94" s="5" t="inlineStr">
        <is>
          <t xml:space="preserve">; </t>
        </is>
      </c>
      <c r="M94" s="5" t="inlineStr">
        <is>
          <t>100.0</t>
        </is>
      </c>
      <c r="N94" s="5" t="inlineStr">
        <is>
          <t>YES</t>
        </is>
      </c>
    </row>
    <row r="95">
      <c r="A95" s="6" t="n">
        <v>470</v>
      </c>
      <c r="B95" s="5" t="inlineStr">
        <is>
          <t>S5</t>
        </is>
      </c>
      <c r="C95" s="5" t="inlineStr">
        <is>
          <t>16: • Wearable infection and wound-state monitoring systems</t>
        </is>
      </c>
      <c r="D95" s="5" t="inlineStr">
        <is>
          <t>Smart dual‐sensor wound dressing for monitoring cutaneous wounds</t>
        </is>
      </c>
      <c r="G95" s="5" t="inlineStr">
        <is>
          <t>Weak chronic / diabetic / infected wound relevance</t>
        </is>
      </c>
      <c r="H95" s="6" t="inlineStr">
        <is>
          <t>1</t>
        </is>
      </c>
      <c r="K95" s="5" t="inlineStr">
        <is>
          <t xml:space="preserve">; </t>
        </is>
      </c>
      <c r="M95" s="5" t="inlineStr">
        <is>
          <t>100.0</t>
        </is>
      </c>
      <c r="N95" s="5" t="inlineStr">
        <is>
          <t>YES</t>
        </is>
      </c>
    </row>
    <row r="96">
      <c r="A96" s="6" t="n">
        <v>470</v>
      </c>
      <c r="B96" s="5" t="inlineStr">
        <is>
          <t>S5</t>
        </is>
      </c>
      <c r="C96" s="5" t="inlineStr">
        <is>
          <t>16: • Wearable infection and wound-state monitoring systems</t>
        </is>
      </c>
      <c r="D96" s="5" t="inlineStr">
        <is>
          <t>Smart dual‐sensor wound dressing for monitoring cutaneous wounds</t>
        </is>
      </c>
      <c r="E96" s="5" t="n"/>
      <c r="G96" s="5" t="inlineStr">
        <is>
          <t>Safety, toxicity, delivery, stability, or dose concerns</t>
        </is>
      </c>
      <c r="H96" s="6" t="inlineStr">
        <is>
          <t>1</t>
        </is>
      </c>
      <c r="K96" s="5" t="inlineStr">
        <is>
          <t xml:space="preserve">; </t>
        </is>
      </c>
      <c r="M96" s="5" t="inlineStr">
        <is>
          <t>100.0</t>
        </is>
      </c>
      <c r="N96" s="5" t="inlineStr">
        <is>
          <t>YES</t>
        </is>
      </c>
    </row>
    <row r="97">
      <c r="A97" s="6" t="n">
        <v>474</v>
      </c>
      <c r="B97" s="5" t="inlineStr">
        <is>
          <t>S5</t>
        </is>
      </c>
      <c r="C97" s="5" t="inlineStr">
        <is>
          <t>17: • Closed-loop bioelectronic wound-management platforms</t>
        </is>
      </c>
      <c r="D97" s="5" t="inlineStr">
        <is>
          <t>Wireless intelligent patch for closed‐loop in situ wound management</t>
        </is>
      </c>
      <c r="E97" s="5" t="inlineStr">
        <is>
          <t>10.1002/advs.202400451</t>
        </is>
      </c>
      <c r="G97" s="5" t="inlineStr">
        <is>
          <t>Limited human or clinical validation</t>
        </is>
      </c>
      <c r="H97" s="6" t="inlineStr">
        <is>
          <t>1</t>
        </is>
      </c>
      <c r="K97" s="5" t="inlineStr">
        <is>
          <t xml:space="preserve">; </t>
        </is>
      </c>
      <c r="M97" s="5" t="inlineStr">
        <is>
          <t>100.0</t>
        </is>
      </c>
      <c r="N97" s="5" t="inlineStr">
        <is>
          <t>YES</t>
        </is>
      </c>
    </row>
    <row r="98">
      <c r="A98" s="6" t="n">
        <v>474</v>
      </c>
      <c r="B98" s="5" t="inlineStr">
        <is>
          <t>S5</t>
        </is>
      </c>
      <c r="C98" s="5" t="inlineStr">
        <is>
          <t>17: • Closed-loop bioelectronic wound-management platforms</t>
        </is>
      </c>
      <c r="D98" s="5" t="inlineStr">
        <is>
          <t>Wireless intelligent patch for closed‐loop in situ wound management</t>
        </is>
      </c>
      <c r="E98" s="5" t="inlineStr">
        <is>
          <t>10.1002/advs.202400451</t>
        </is>
      </c>
      <c r="G98" s="5" t="inlineStr">
        <is>
          <t>Weak chronic / diabetic / infected wound relevance</t>
        </is>
      </c>
      <c r="H98" s="6" t="inlineStr">
        <is>
          <t>1</t>
        </is>
      </c>
      <c r="K98" s="5" t="inlineStr">
        <is>
          <t xml:space="preserve">; </t>
        </is>
      </c>
      <c r="M98" s="5" t="inlineStr">
        <is>
          <t>100.0</t>
        </is>
      </c>
      <c r="N98" s="5" t="inlineStr">
        <is>
          <t>YES</t>
        </is>
      </c>
    </row>
    <row r="99">
      <c r="A99" s="6" t="n">
        <v>474</v>
      </c>
      <c r="B99" s="5" t="inlineStr">
        <is>
          <t>S5</t>
        </is>
      </c>
      <c r="C99" s="5" t="inlineStr">
        <is>
          <t>17: • Closed-loop bioelectronic wound-management platforms</t>
        </is>
      </c>
      <c r="D99" s="5" t="inlineStr">
        <is>
          <t>Wireless intelligent patch for closed‐loop in situ wound management</t>
        </is>
      </c>
      <c r="E99" s="5" t="inlineStr">
        <is>
          <t>10.1002/advs.202400451</t>
        </is>
      </c>
      <c r="G99" s="5" t="inlineStr">
        <is>
          <t>Safety, toxicity, delivery, stability, or dose concerns</t>
        </is>
      </c>
      <c r="H99" s="6" t="inlineStr">
        <is>
          <t>1</t>
        </is>
      </c>
      <c r="K99" s="5" t="inlineStr">
        <is>
          <t xml:space="preserve">; </t>
        </is>
      </c>
      <c r="M99" s="5" t="inlineStr">
        <is>
          <t>100.0</t>
        </is>
      </c>
      <c r="N99" s="5" t="inlineStr">
        <is>
          <t>YES</t>
        </is>
      </c>
    </row>
    <row r="100">
      <c r="A100" s="6" t="n">
        <v>394</v>
      </c>
      <c r="B100" s="5" t="inlineStr">
        <is>
          <t>S5</t>
        </is>
      </c>
      <c r="C100" s="5" t="inlineStr">
        <is>
          <t>9: • Clinical image and trajectory-based wound digital twins</t>
        </is>
      </c>
      <c r="D100" s="5" t="inlineStr">
        <is>
          <t>Digital twin in healthcare: a study for chronic wound management</t>
        </is>
      </c>
      <c r="E100" s="5" t="inlineStr">
        <is>
          <t>10.1109/JBHI.2023.3299028</t>
        </is>
      </c>
      <c r="G100" s="5" t="inlineStr">
        <is>
          <t>Limited human or clinical validation</t>
        </is>
      </c>
      <c r="H100" s="6" t="inlineStr">
        <is>
          <t>1</t>
        </is>
      </c>
      <c r="K100" s="5" t="inlineStr">
        <is>
          <t xml:space="preserve">; </t>
        </is>
      </c>
      <c r="M100" s="5" t="inlineStr">
        <is>
          <t>100.0</t>
        </is>
      </c>
      <c r="N100" s="5" t="inlineStr">
        <is>
          <t>YES</t>
        </is>
      </c>
    </row>
    <row r="101">
      <c r="A101" s="6" t="n">
        <v>394</v>
      </c>
      <c r="B101" s="5" t="inlineStr">
        <is>
          <t>S5</t>
        </is>
      </c>
      <c r="C101" s="5" t="inlineStr">
        <is>
          <t>9: • Clinical image and trajectory-based wound digital twins</t>
        </is>
      </c>
      <c r="D101" s="5" t="inlineStr">
        <is>
          <t>Digital twin in healthcare: a study for chronic wound management</t>
        </is>
      </c>
      <c r="E101" t="inlineStr">
        <is>
          <t>10.1109/JBHI.2023.3299028</t>
        </is>
      </c>
      <c r="G101" s="5" t="inlineStr">
        <is>
          <t>Data, model, annotation, or generalizability limitations</t>
        </is>
      </c>
      <c r="H101" s="6" t="inlineStr">
        <is>
          <t>1</t>
        </is>
      </c>
      <c r="K101" s="5" t="inlineStr">
        <is>
          <t xml:space="preserve">; </t>
        </is>
      </c>
      <c r="M101" s="5" t="inlineStr">
        <is>
          <t>100.0</t>
        </is>
      </c>
      <c r="N101" s="5" t="inlineStr">
        <is>
          <t>YES</t>
        </is>
      </c>
    </row>
  </sheetData>
  <autoFilter ref="A1:N114"/>
  <pageMargins left="0.7" right="0.7" top="0.75" bottom="0.75" header="0.3" footer="0.3"/>
</worksheet>
</file>

<file path=xl/worksheets/sheet25.xml><?xml version="1.0" encoding="utf-8"?>
<worksheet xmlns="http://schemas.openxmlformats.org/spreadsheetml/2006/main">
  <sheetPr>
    <tabColor rgb="FF23678D"/>
    <outlinePr summaryBelow="1" summaryRight="1"/>
    <pageSetUpPr/>
  </sheetPr>
  <dimension ref="A1:B9"/>
  <sheetViews>
    <sheetView showGridLines="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56.7109375" customWidth="1" min="1" max="1"/>
    <col width="19.7109375" customWidth="1" min="2" max="2"/>
  </cols>
  <sheetData>
    <row r="1" ht="75" customHeight="1">
      <c r="A1" s="2" t="inlineStr">
        <is>
          <t>Coded domain/category</t>
        </is>
      </c>
      <c r="B1" s="2" t="inlineStr">
        <is>
          <t>Study count</t>
        </is>
      </c>
    </row>
    <row r="2">
      <c r="A2" s="5" t="inlineStr">
        <is>
          <t>Weak chronic / diabetic / infected wound relevance</t>
        </is>
      </c>
      <c r="B2" s="7" t="n">
        <f>COUNTIFS('Code_S10'!$G$2:$G$101,SUBSTITUTE($A2,CHAR(10)," "),'Code_S10'!$H$2:$H$101,1)</f>
        <v>23</v>
      </c>
    </row>
    <row r="3">
      <c r="A3" s="5" t="inlineStr">
        <is>
          <t>Limited biological complexity or incomplete wound biology</t>
        </is>
      </c>
      <c r="B3" s="7" t="n">
        <f>COUNTIFS('Code_S10'!$G$2:$G$101,SUBSTITUTE($A3,CHAR(10)," "),'Code_S10'!$H$2:$H$101,1)</f>
        <v>13</v>
      </c>
    </row>
    <row r="4">
      <c r="A4" s="5" t="inlineStr">
        <is>
          <t>Manufacturing, standardization, regulatory, or scale-up barriers</t>
        </is>
      </c>
      <c r="B4" s="7" t="n">
        <f>COUNTIFS('Code_S10'!$G$2:$G$101,SUBSTITUTE($A4,CHAR(10)," "),'Code_S10'!$H$2:$H$101,1)</f>
        <v>13</v>
      </c>
    </row>
    <row r="5">
      <c r="A5" s="5" t="inlineStr">
        <is>
          <t>Safety, toxicity, delivery, stability, or dose concerns</t>
        </is>
      </c>
      <c r="B5" s="7" t="n">
        <f>COUNTIFS('Code_S10'!$G$2:$G$101,SUBSTITUTE($A5,CHAR(10)," "),'Code_S10'!$H$2:$H$101,1)</f>
        <v>11</v>
      </c>
    </row>
    <row r="6">
      <c r="A6" s="5" t="inlineStr">
        <is>
          <t>Mechanistic uncertainty or active-agent complexity</t>
        </is>
      </c>
      <c r="B6" s="7" t="n">
        <f>COUNTIFS('Code_S10'!$G$2:$G$101,SUBSTITUTE($A6,CHAR(10)," "),'Code_S10'!$H$2:$H$101,1)</f>
        <v>6</v>
      </c>
    </row>
    <row r="7">
      <c r="A7" s="5" t="inlineStr">
        <is>
          <t>Limited human or clinical validation</t>
        </is>
      </c>
      <c r="B7" s="7" t="n">
        <f>COUNTIFS('Code_S10'!$G$2:$G$101,SUBSTITUTE($A7,CHAR(10)," "),'Code_S10'!$H$2:$H$101,1)</f>
        <v>14</v>
      </c>
    </row>
    <row r="8">
      <c r="A8" s="5" t="inlineStr">
        <is>
          <t>Data, model, annotation, or generalizability limitations</t>
        </is>
      </c>
      <c r="B8" s="7" t="n">
        <f>COUNTIFS('Code_S10'!$G$2:$G$101,SUBSTITUTE($A8,CHAR(10)," "),'Code_S10'!$H$2:$H$101,1)</f>
        <v>13</v>
      </c>
    </row>
    <row r="9">
      <c r="A9" s="5" t="inlineStr">
        <is>
          <t>Device, sensor, actuation, or deployment constraints</t>
        </is>
      </c>
      <c r="B9" s="7" t="n">
        <f>COUNTIFS('Code_S10'!$G$2:$G$101,SUBSTITUTE($A9,CHAR(10)," "),'Code_S10'!$H$2:$H$101,1)</f>
        <v>7</v>
      </c>
    </row>
  </sheetData>
  <pageMargins left="0.7" right="0.7" top="0.75" bottom="0.75" header="0.3" footer="0.3"/>
</worksheet>
</file>

<file path=xl/worksheets/sheet26.xml><?xml version="1.0" encoding="utf-8"?>
<worksheet xmlns="http://schemas.openxmlformats.org/spreadsheetml/2006/main">
  <sheetPr>
    <tabColor rgb="FF2B8C83"/>
    <outlinePr summaryBelow="1" summaryRight="1"/>
    <pageSetUpPr/>
  </sheetPr>
  <dimension ref="A1:N105"/>
  <sheetViews>
    <sheetView showGridLines="0" workbookViewId="0">
      <pane xSplit="3" ySplit="1" topLeftCell="D2" activePane="bottomRight" state="frozen"/>
      <selection pane="topRight" activeCell="D1" sqref="D1"/>
      <selection pane="bottomLeft" activeCell="A2" sqref="A2"/>
      <selection pane="bottomRight" activeCell="A1" sqref="A1"/>
    </sheetView>
  </sheetViews>
  <sheetFormatPr baseColWidth="8" defaultRowHeight="15"/>
  <cols>
    <col width="14.7109375" customWidth="1" min="1" max="1"/>
    <col width="15.7109375" customWidth="1" min="2" max="2"/>
    <col width="50.7109375" customWidth="1" min="3" max="3"/>
    <col width="65.7109375" customWidth="1" min="4" max="4"/>
    <col width="25.7109375" customWidth="1" min="5" max="5"/>
    <col width="60.7109375" customWidth="1" min="6" max="6"/>
    <col width="43.7109375" customWidth="1" min="7" max="7"/>
    <col width="15.7109375" customWidth="1" min="8" max="8"/>
    <col width="17.7109375" customWidth="1" min="9" max="10"/>
    <col width="58.7109375" customWidth="1" min="11" max="11"/>
    <col width="57.7109375" customWidth="1" min="12" max="12"/>
    <col width="22.7109375" customWidth="1" min="13" max="13"/>
    <col width="20.7109375" customWidth="1" min="14" max="14"/>
  </cols>
  <sheetData>
    <row r="1" ht="51" customHeight="1">
      <c r="A1" s="2" t="inlineStr">
        <is>
          <t>Main_ref</t>
        </is>
      </c>
      <c r="B1" s="2" t="inlineStr">
        <is>
          <t>SI_source_table</t>
        </is>
      </c>
      <c r="C1" s="2" t="inlineStr">
        <is>
          <t>SI_table_row</t>
        </is>
      </c>
      <c r="D1" s="2" t="inlineStr">
        <is>
          <t>Main_article_title</t>
        </is>
      </c>
      <c r="E1" s="2" t="inlineStr">
        <is>
          <t>DOI_in_main_register</t>
        </is>
      </c>
      <c r="F1" s="2" t="inlineStr">
        <is>
          <t>Group</t>
        </is>
      </c>
      <c r="G1" s="2" t="inlineStr">
        <is>
          <t>Domain</t>
        </is>
      </c>
      <c r="H1" s="2" t="inlineStr">
        <is>
          <t>Code_0_1</t>
        </is>
      </c>
      <c r="I1" s="2" t="inlineStr">
        <is>
          <t>Proposed_structural_score</t>
        </is>
      </c>
      <c r="J1" s="2" t="inlineStr">
        <is>
          <t>Proposed_disease_score</t>
        </is>
      </c>
      <c r="K1" s="2" t="inlineStr">
        <is>
          <t>Provenance_note</t>
        </is>
      </c>
      <c r="L1" s="2" t="inlineStr">
        <is>
          <t>Source_URL</t>
        </is>
      </c>
      <c r="M1" s="2" t="inlineStr">
        <is>
          <t>Bibliography_title_match_pct</t>
        </is>
      </c>
      <c r="N1" s="2" t="inlineStr">
        <is>
          <t>Citation_present_in_main</t>
        </is>
      </c>
    </row>
    <row r="2">
      <c r="A2" s="6" t="n">
        <v>356</v>
      </c>
      <c r="B2" s="5" t="inlineStr">
        <is>
          <t>S5</t>
        </is>
      </c>
      <c r="C2" s="5" t="inlineStr">
        <is>
          <t>2: • Scalable wound-closure and epithelial-migration screening systems</t>
        </is>
      </c>
      <c r="D2" s="5" t="inlineStr">
        <is>
          <t>Wound-on-a-chip: High-throughput 3D wound healing assay with a novel SU-8 mesh chip</t>
        </is>
      </c>
      <c r="G2" s="5" t="inlineStr">
        <is>
          <t>Misclassifying AI-ready systems as AI-integrated platforms</t>
        </is>
      </c>
      <c r="H2" s="6" t="inlineStr">
        <is>
          <t>1</t>
        </is>
      </c>
      <c r="K2" s="5" t="inlineStr">
        <is>
          <t xml:space="preserve">; </t>
        </is>
      </c>
      <c r="M2" s="5" t="inlineStr">
        <is>
          <t>100.0</t>
        </is>
      </c>
      <c r="N2" s="5" t="inlineStr">
        <is>
          <t>YES</t>
        </is>
      </c>
    </row>
    <row r="3">
      <c r="A3" s="6" t="n">
        <v>356</v>
      </c>
      <c r="B3" s="5" t="inlineStr">
        <is>
          <t>S5</t>
        </is>
      </c>
      <c r="C3" s="5" t="inlineStr">
        <is>
          <t>2: • Scalable wound-closure and epithelial-migration screening systems</t>
        </is>
      </c>
      <c r="D3" s="5" t="inlineStr">
        <is>
          <t>Wound-on-a-chip: High-throughput 3D wound healing assay with a novel SU-8 mesh chip</t>
        </is>
      </c>
      <c r="G3" s="5" t="inlineStr">
        <is>
          <t>Overstating clinical validation or therapeutic efficacy</t>
        </is>
      </c>
      <c r="H3" s="6" t="inlineStr">
        <is>
          <t>1</t>
        </is>
      </c>
      <c r="K3" s="5" t="inlineStr">
        <is>
          <t xml:space="preserve">; </t>
        </is>
      </c>
      <c r="M3" s="5" t="inlineStr">
        <is>
          <t>100.0</t>
        </is>
      </c>
      <c r="N3" s="5" t="inlineStr">
        <is>
          <t>YES</t>
        </is>
      </c>
    </row>
    <row r="4">
      <c r="A4" s="6" t="n">
        <v>356</v>
      </c>
      <c r="B4" s="5" t="inlineStr">
        <is>
          <t>S5</t>
        </is>
      </c>
      <c r="C4" s="5" t="inlineStr">
        <is>
          <t>2: • Scalable wound-closure and epithelial-migration screening systems</t>
        </is>
      </c>
      <c r="D4" s="5" t="inlineStr">
        <is>
          <t>Wound-on-a-chip: High-throughput 3D wound healing assay with a novel SU-8 mesh chip</t>
        </is>
      </c>
      <c r="G4" s="5" t="inlineStr">
        <is>
          <t>Overstating chronic wound or DFU specificity</t>
        </is>
      </c>
      <c r="H4" s="6" t="inlineStr">
        <is>
          <t>1</t>
        </is>
      </c>
      <c r="K4" s="5" t="inlineStr">
        <is>
          <t xml:space="preserve">; </t>
        </is>
      </c>
      <c r="M4" s="5" t="inlineStr">
        <is>
          <t>100.0</t>
        </is>
      </c>
      <c r="N4" s="5" t="inlineStr">
        <is>
          <t>YES</t>
        </is>
      </c>
    </row>
    <row r="5">
      <c r="A5" s="6" t="n">
        <v>356</v>
      </c>
      <c r="B5" s="5" t="inlineStr">
        <is>
          <t>S5</t>
        </is>
      </c>
      <c r="C5" s="5" t="inlineStr">
        <is>
          <t>2: • Scalable wound-closure and epithelial-migration screening systems</t>
        </is>
      </c>
      <c r="D5" s="5" t="inlineStr">
        <is>
          <t>Wound-on-a-chip: High-throughput 3D wound healing assay with a novel SU-8 mesh chip</t>
        </is>
      </c>
      <c r="G5" s="5" t="inlineStr">
        <is>
          <t>Treating assay, endpoint, or measurement tools as full discovery platforms</t>
        </is>
      </c>
      <c r="H5" s="6" t="inlineStr">
        <is>
          <t>1</t>
        </is>
      </c>
      <c r="K5" s="5" t="inlineStr">
        <is>
          <t xml:space="preserve">; </t>
        </is>
      </c>
      <c r="M5" s="5" t="inlineStr">
        <is>
          <t>100.0</t>
        </is>
      </c>
      <c r="N5" s="5" t="inlineStr">
        <is>
          <t>YES</t>
        </is>
      </c>
    </row>
    <row r="6">
      <c r="A6" s="6" t="n">
        <v>356</v>
      </c>
      <c r="B6" s="5" t="inlineStr">
        <is>
          <t>S5</t>
        </is>
      </c>
      <c r="C6" s="5" t="inlineStr">
        <is>
          <t>2: • Scalable wound-closure and epithelial-migration screening systems</t>
        </is>
      </c>
      <c r="D6" s="5" t="inlineStr">
        <is>
          <t>Wound-on-a-chip: High-throughput 3D wound healing assay with a novel SU-8 mesh chip</t>
        </is>
      </c>
      <c r="G6" s="5" t="inlineStr">
        <is>
          <t>Overstating predictive or decision-support capability</t>
        </is>
      </c>
      <c r="H6" s="6" t="inlineStr">
        <is>
          <t>1</t>
        </is>
      </c>
      <c r="K6" s="5" t="inlineStr">
        <is>
          <t xml:space="preserve">; </t>
        </is>
      </c>
      <c r="M6" s="5" t="inlineStr">
        <is>
          <t>100.0</t>
        </is>
      </c>
      <c r="N6" s="5" t="inlineStr">
        <is>
          <t>YES</t>
        </is>
      </c>
    </row>
    <row r="7">
      <c r="A7" s="6" t="n">
        <v>357</v>
      </c>
      <c r="B7" s="5" t="inlineStr">
        <is>
          <t>S5</t>
        </is>
      </c>
      <c r="C7" s="5" t="inlineStr">
        <is>
          <t>2: • Scalable wound-closure and epithelial-migration screening systems</t>
        </is>
      </c>
      <c r="D7" s="5" t="inlineStr">
        <is>
          <t>High throughput microfluidic drug screening system for corneal epithelial wound healing</t>
        </is>
      </c>
      <c r="G7" s="5" t="inlineStr">
        <is>
          <t>Misclassifying AI-ready systems as AI-integrated platforms</t>
        </is>
      </c>
      <c r="H7" s="6" t="inlineStr">
        <is>
          <t>1</t>
        </is>
      </c>
      <c r="K7" s="5" t="inlineStr">
        <is>
          <t xml:space="preserve">; </t>
        </is>
      </c>
      <c r="M7" s="5" t="inlineStr">
        <is>
          <t>100.0</t>
        </is>
      </c>
      <c r="N7" s="5" t="inlineStr">
        <is>
          <t>YES</t>
        </is>
      </c>
    </row>
    <row r="8">
      <c r="A8" s="6" t="n">
        <v>357</v>
      </c>
      <c r="B8" s="5" t="inlineStr">
        <is>
          <t>S5</t>
        </is>
      </c>
      <c r="C8" s="5" t="inlineStr">
        <is>
          <t>2: • Scalable wound-closure and epithelial-migration screening systems</t>
        </is>
      </c>
      <c r="D8" s="5" t="inlineStr">
        <is>
          <t>High throughput microfluidic drug screening system for corneal epithelial wound healing</t>
        </is>
      </c>
      <c r="G8" s="5" t="inlineStr">
        <is>
          <t>Overstating chronic wound or DFU specificity</t>
        </is>
      </c>
      <c r="H8" s="6" t="inlineStr">
        <is>
          <t>1</t>
        </is>
      </c>
      <c r="K8" s="5" t="inlineStr">
        <is>
          <t xml:space="preserve">; </t>
        </is>
      </c>
      <c r="M8" s="5" t="inlineStr">
        <is>
          <t>100.0</t>
        </is>
      </c>
      <c r="N8" s="5" t="inlineStr">
        <is>
          <t>YES</t>
        </is>
      </c>
    </row>
    <row r="9">
      <c r="A9" s="6" t="n">
        <v>357</v>
      </c>
      <c r="B9" s="5" t="inlineStr">
        <is>
          <t>S5</t>
        </is>
      </c>
      <c r="C9" s="5" t="inlineStr">
        <is>
          <t>2: • Scalable wound-closure and epithelial-migration screening systems</t>
        </is>
      </c>
      <c r="D9" s="5" t="inlineStr">
        <is>
          <t>High throughput microfluidic drug screening system for corneal epithelial wound healing</t>
        </is>
      </c>
      <c r="G9" s="5" t="inlineStr">
        <is>
          <t>Treating assay, endpoint, or measurement tools as full discovery platforms</t>
        </is>
      </c>
      <c r="H9" s="6" t="inlineStr">
        <is>
          <t>1</t>
        </is>
      </c>
      <c r="K9" s="5" t="inlineStr">
        <is>
          <t xml:space="preserve">; </t>
        </is>
      </c>
      <c r="M9" s="5" t="inlineStr">
        <is>
          <t>100.0</t>
        </is>
      </c>
      <c r="N9" s="5" t="inlineStr">
        <is>
          <t>YES</t>
        </is>
      </c>
    </row>
    <row r="10">
      <c r="A10" s="6" t="n">
        <v>358</v>
      </c>
      <c r="B10" s="5" t="inlineStr">
        <is>
          <t>S5</t>
        </is>
      </c>
      <c r="C10" s="5" t="inlineStr">
        <is>
          <t>3: • Barrier, ECM, and phenotypic repair screening platforms</t>
        </is>
      </c>
      <c r="D10" s="5" t="inlineStr">
        <is>
          <t>Development of tight junction-strengthening compounds using a high-throughput screening system to evaluate cell surface-localized claudin-1 in keratinocytes</t>
        </is>
      </c>
      <c r="E10" s="5" t="inlineStr">
        <is>
          <t>10.1038/s41598-024-53649-1</t>
        </is>
      </c>
      <c r="G10" s="5" t="inlineStr">
        <is>
          <t>Misclassifying AI-ready systems as AI-integrated platforms</t>
        </is>
      </c>
      <c r="H10" s="6" t="inlineStr">
        <is>
          <t>1</t>
        </is>
      </c>
      <c r="K10" s="5" t="inlineStr">
        <is>
          <t xml:space="preserve">; </t>
        </is>
      </c>
      <c r="M10" s="5" t="inlineStr">
        <is>
          <t>100.0</t>
        </is>
      </c>
      <c r="N10" s="5" t="inlineStr">
        <is>
          <t>YES</t>
        </is>
      </c>
    </row>
    <row r="11">
      <c r="A11" s="6" t="n">
        <v>358</v>
      </c>
      <c r="B11" s="5" t="inlineStr">
        <is>
          <t>S5</t>
        </is>
      </c>
      <c r="C11" s="5" t="inlineStr">
        <is>
          <t>3: • Barrier, ECM, and phenotypic repair screening platforms</t>
        </is>
      </c>
      <c r="D11" s="5" t="inlineStr">
        <is>
          <t>Development of tight junction-strengthening compounds using a high-throughput screening system to evaluate cell surface-localized claudin-1 in keratinocytes</t>
        </is>
      </c>
      <c r="E11" s="5" t="inlineStr">
        <is>
          <t>10.1038/s41598-024-53649-1</t>
        </is>
      </c>
      <c r="G11" s="5" t="inlineStr">
        <is>
          <t>Overstating chronic wound or DFU specificity</t>
        </is>
      </c>
      <c r="H11" s="6" t="inlineStr">
        <is>
          <t>1</t>
        </is>
      </c>
      <c r="K11" s="5" t="inlineStr">
        <is>
          <t xml:space="preserve">; </t>
        </is>
      </c>
      <c r="M11" s="5" t="inlineStr">
        <is>
          <t>100.0</t>
        </is>
      </c>
      <c r="N11" s="5" t="inlineStr">
        <is>
          <t>YES</t>
        </is>
      </c>
    </row>
    <row r="12">
      <c r="A12" s="6" t="n">
        <v>358</v>
      </c>
      <c r="B12" s="5" t="inlineStr">
        <is>
          <t>S5</t>
        </is>
      </c>
      <c r="C12" s="5" t="inlineStr">
        <is>
          <t>3: • Barrier, ECM, and phenotypic repair screening platforms</t>
        </is>
      </c>
      <c r="D12" s="5" t="inlineStr">
        <is>
          <t>Development of tight junction-strengthening compounds using a high-throughput screening system to evaluate cell surface-localized claudin-1 in keratinocytes</t>
        </is>
      </c>
      <c r="E12" s="5" t="inlineStr">
        <is>
          <t>10.1038/s41598-024-53649-1</t>
        </is>
      </c>
      <c r="G12" s="5" t="inlineStr">
        <is>
          <t>Treating assay, endpoint, or measurement tools as full discovery platforms</t>
        </is>
      </c>
      <c r="H12" s="6" t="inlineStr">
        <is>
          <t>1</t>
        </is>
      </c>
      <c r="K12" s="5" t="inlineStr">
        <is>
          <t xml:space="preserve">; </t>
        </is>
      </c>
      <c r="M12" s="5" t="inlineStr">
        <is>
          <t>100.0</t>
        </is>
      </c>
      <c r="N12" s="5" t="inlineStr">
        <is>
          <t>YES</t>
        </is>
      </c>
    </row>
    <row r="13">
      <c r="A13" s="6" t="n">
        <v>359</v>
      </c>
      <c r="B13" s="5" t="inlineStr">
        <is>
          <t>S5</t>
        </is>
      </c>
      <c r="C13" s="5" t="inlineStr">
        <is>
          <t>3: • Barrier, ECM, and phenotypic repair screening platforms</t>
        </is>
      </c>
      <c r="D13" s="5" t="inlineStr">
        <is>
          <t>Identification of a novel collagen-like peptide by high-throughput screening for effective wound-healing therapy</t>
        </is>
      </c>
      <c r="E13" s="5" t="inlineStr">
        <is>
          <t>10.1016/j.ijbiomac.2021.01.104</t>
        </is>
      </c>
      <c r="G13" s="5" t="inlineStr">
        <is>
          <t>Misclassifying AI-ready systems as AI-integrated platforms</t>
        </is>
      </c>
      <c r="H13" s="6" t="inlineStr">
        <is>
          <t>1</t>
        </is>
      </c>
      <c r="K13" s="5" t="inlineStr">
        <is>
          <t xml:space="preserve">; </t>
        </is>
      </c>
      <c r="M13" s="5" t="inlineStr">
        <is>
          <t>100.0</t>
        </is>
      </c>
      <c r="N13" s="5" t="inlineStr">
        <is>
          <t>YES</t>
        </is>
      </c>
    </row>
    <row r="14">
      <c r="A14" s="6" t="n">
        <v>359</v>
      </c>
      <c r="B14" s="5" t="inlineStr">
        <is>
          <t>S5</t>
        </is>
      </c>
      <c r="C14" s="5" t="inlineStr">
        <is>
          <t>3: • Barrier, ECM, and phenotypic repair screening platforms</t>
        </is>
      </c>
      <c r="D14" s="5" t="inlineStr">
        <is>
          <t>Identification of a novel collagen-like peptide by high-throughput screening for effective wound-healing therapy</t>
        </is>
      </c>
      <c r="E14" s="5" t="inlineStr">
        <is>
          <t>10.1016/j.ijbiomac.2021.01.104</t>
        </is>
      </c>
      <c r="G14" s="5" t="inlineStr">
        <is>
          <t>Overstating clinical validation or therapeutic efficacy</t>
        </is>
      </c>
      <c r="H14" s="6" t="inlineStr">
        <is>
          <t>1</t>
        </is>
      </c>
      <c r="K14" s="5" t="inlineStr">
        <is>
          <t xml:space="preserve">; </t>
        </is>
      </c>
      <c r="M14" s="5" t="inlineStr">
        <is>
          <t>100.0</t>
        </is>
      </c>
      <c r="N14" s="5" t="inlineStr">
        <is>
          <t>YES</t>
        </is>
      </c>
    </row>
    <row r="15">
      <c r="A15" s="6" t="n">
        <v>359</v>
      </c>
      <c r="B15" s="5" t="inlineStr">
        <is>
          <t>S5</t>
        </is>
      </c>
      <c r="C15" s="5" t="inlineStr">
        <is>
          <t>3: • Barrier, ECM, and phenotypic repair screening platforms</t>
        </is>
      </c>
      <c r="D15" s="5" t="inlineStr">
        <is>
          <t>Identification of a novel collagen-like peptide by high-throughput screening for effective wound-healing therapy</t>
        </is>
      </c>
      <c r="E15" s="5" t="inlineStr">
        <is>
          <t>10.1016/j.ijbiomac.2021.01.104</t>
        </is>
      </c>
      <c r="G15" s="5" t="inlineStr">
        <is>
          <t>Overstating chronic wound or DFU specificity</t>
        </is>
      </c>
      <c r="H15" s="6" t="inlineStr">
        <is>
          <t>1</t>
        </is>
      </c>
      <c r="K15" s="5" t="inlineStr">
        <is>
          <t xml:space="preserve">; </t>
        </is>
      </c>
      <c r="M15" s="5" t="inlineStr">
        <is>
          <t>100.0</t>
        </is>
      </c>
      <c r="N15" s="5" t="inlineStr">
        <is>
          <t>YES</t>
        </is>
      </c>
    </row>
    <row r="16">
      <c r="A16" s="6" t="n">
        <v>360</v>
      </c>
      <c r="B16" s="5" t="inlineStr">
        <is>
          <t>S5</t>
        </is>
      </c>
      <c r="C16" s="5" t="inlineStr">
        <is>
          <t>4: • High-content natural-product and nanobiomaterial optimization</t>
        </is>
      </c>
      <c r="D16" s="5" t="inlineStr">
        <is>
          <t>High-throughput screening-based design of multifunctional natural polyphenol nano-vesicles to accelerate diabetic wound healing</t>
        </is>
      </c>
      <c r="E16" s="5" t="inlineStr">
        <is>
          <t>10.1186/s12951-024-02950-2</t>
        </is>
      </c>
      <c r="G16" s="5" t="inlineStr">
        <is>
          <t>Misclassifying AI-ready systems as AI-integrated platforms</t>
        </is>
      </c>
      <c r="H16" s="6" t="inlineStr">
        <is>
          <t>1</t>
        </is>
      </c>
      <c r="K16" s="5" t="inlineStr">
        <is>
          <t xml:space="preserve">; </t>
        </is>
      </c>
      <c r="M16" s="5" t="inlineStr">
        <is>
          <t>100.0</t>
        </is>
      </c>
      <c r="N16" s="5" t="inlineStr">
        <is>
          <t>YES</t>
        </is>
      </c>
    </row>
    <row r="17">
      <c r="A17" s="6" t="n">
        <v>360</v>
      </c>
      <c r="B17" s="5" t="inlineStr">
        <is>
          <t>S5</t>
        </is>
      </c>
      <c r="C17" s="5" t="inlineStr">
        <is>
          <t>4: • High-content natural-product and nanobiomaterial optimization</t>
        </is>
      </c>
      <c r="D17" s="5" t="inlineStr">
        <is>
          <t>High-throughput screening-based design of multifunctional natural polyphenol nano-vesicles to accelerate diabetic wound healing</t>
        </is>
      </c>
      <c r="E17" s="5" t="inlineStr">
        <is>
          <t>10.1186/s12951-024-02950-2</t>
        </is>
      </c>
      <c r="G17" s="5" t="inlineStr">
        <is>
          <t>Overstating clinical validation or therapeutic efficacy</t>
        </is>
      </c>
      <c r="H17" s="6" t="inlineStr">
        <is>
          <t>1</t>
        </is>
      </c>
      <c r="K17" s="5" t="inlineStr">
        <is>
          <t xml:space="preserve">; </t>
        </is>
      </c>
      <c r="M17" s="5" t="inlineStr">
        <is>
          <t>100.0</t>
        </is>
      </c>
      <c r="N17" s="5" t="inlineStr">
        <is>
          <t>YES</t>
        </is>
      </c>
    </row>
    <row r="18">
      <c r="A18" s="6" t="n">
        <v>360</v>
      </c>
      <c r="B18" s="5" t="inlineStr">
        <is>
          <t>S5</t>
        </is>
      </c>
      <c r="C18" s="5" t="inlineStr">
        <is>
          <t>4: • High-content natural-product and nanobiomaterial optimization</t>
        </is>
      </c>
      <c r="D18" s="5" t="inlineStr">
        <is>
          <t>High-throughput screening-based design of multifunctional natural polyphenol nano-vesicles to accelerate diabetic wound healing</t>
        </is>
      </c>
      <c r="E18" s="5" t="inlineStr">
        <is>
          <t>10.1186/s12951-024-02950-2</t>
        </is>
      </c>
      <c r="G18" s="5" t="inlineStr">
        <is>
          <t>Overstating chronic wound or DFU specificity</t>
        </is>
      </c>
      <c r="H18" s="6" t="inlineStr">
        <is>
          <t>1</t>
        </is>
      </c>
      <c r="K18" s="5" t="inlineStr">
        <is>
          <t xml:space="preserve">; </t>
        </is>
      </c>
      <c r="M18" s="5" t="inlineStr">
        <is>
          <t>100.0</t>
        </is>
      </c>
      <c r="N18" s="5" t="inlineStr">
        <is>
          <t>YES</t>
        </is>
      </c>
    </row>
    <row r="19">
      <c r="A19" s="6" t="n">
        <v>361</v>
      </c>
      <c r="B19" s="5" t="inlineStr">
        <is>
          <t>S5</t>
        </is>
      </c>
      <c r="C19" s="5" t="inlineStr">
        <is>
          <t>3: • Barrier, ECM, and phenotypic repair screening platforms</t>
        </is>
      </c>
      <c r="D19" s="5" t="inlineStr">
        <is>
          <t>Phenotypic screening identifies synergistically acting natural product enhancing the performance of biomaterial based wound healing</t>
        </is>
      </c>
      <c r="G19" s="5" t="inlineStr">
        <is>
          <t>Misclassifying AI-ready systems as AI-integrated platforms</t>
        </is>
      </c>
      <c r="H19" s="6" t="inlineStr">
        <is>
          <t>1</t>
        </is>
      </c>
      <c r="K19" s="5" t="inlineStr">
        <is>
          <t xml:space="preserve">; </t>
        </is>
      </c>
      <c r="M19" s="5" t="inlineStr">
        <is>
          <t>100.0</t>
        </is>
      </c>
      <c r="N19" s="5" t="inlineStr">
        <is>
          <t>YES</t>
        </is>
      </c>
    </row>
    <row r="20">
      <c r="A20" s="6" t="n">
        <v>361</v>
      </c>
      <c r="B20" s="5" t="inlineStr">
        <is>
          <t>S5</t>
        </is>
      </c>
      <c r="C20" s="5" t="inlineStr">
        <is>
          <t>3: • Barrier, ECM, and phenotypic repair screening platforms</t>
        </is>
      </c>
      <c r="D20" s="5" t="inlineStr">
        <is>
          <t>Phenotypic screening identifies synergistically acting natural product enhancing the performance of biomaterial based wound healing</t>
        </is>
      </c>
      <c r="G20" s="5" t="inlineStr">
        <is>
          <t>Overstating clinical validation or therapeutic efficacy</t>
        </is>
      </c>
      <c r="H20" s="6" t="inlineStr">
        <is>
          <t>1</t>
        </is>
      </c>
      <c r="K20" s="5" t="inlineStr">
        <is>
          <t xml:space="preserve">; </t>
        </is>
      </c>
      <c r="M20" s="5" t="inlineStr">
        <is>
          <t>100.0</t>
        </is>
      </c>
      <c r="N20" s="5" t="inlineStr">
        <is>
          <t>YES</t>
        </is>
      </c>
    </row>
    <row r="21">
      <c r="A21" s="6" t="n">
        <v>361</v>
      </c>
      <c r="B21" s="5" t="inlineStr">
        <is>
          <t>S5</t>
        </is>
      </c>
      <c r="C21" s="5" t="inlineStr">
        <is>
          <t>3: • Barrier, ECM, and phenotypic repair screening platforms</t>
        </is>
      </c>
      <c r="D21" s="5" t="inlineStr">
        <is>
          <t>Phenotypic screening identifies synergistically acting natural product enhancing the performance of biomaterial based wound healing</t>
        </is>
      </c>
      <c r="G21" s="5" t="inlineStr">
        <is>
          <t>Overstating chronic wound or DFU specificity</t>
        </is>
      </c>
      <c r="H21" s="6" t="inlineStr">
        <is>
          <t>1</t>
        </is>
      </c>
      <c r="K21" s="5" t="inlineStr">
        <is>
          <t xml:space="preserve">; </t>
        </is>
      </c>
      <c r="M21" s="5" t="inlineStr">
        <is>
          <t>100.0</t>
        </is>
      </c>
      <c r="N21" s="5" t="inlineStr">
        <is>
          <t>YES</t>
        </is>
      </c>
    </row>
    <row r="22">
      <c r="A22" s="6" t="n">
        <v>365</v>
      </c>
      <c r="B22" s="5" t="inlineStr">
        <is>
          <t>S5</t>
        </is>
      </c>
      <c r="C22" s="5" t="inlineStr">
        <is>
          <t>5: • Cell-free biologic and regenerative patch screening platforms</t>
        </is>
      </c>
      <c r="D22" s="5" t="inlineStr">
        <is>
          <t>Extracellular vesicles enriched with an endothelial cell pro-survival microRNA affects skin tissue regeneration</t>
        </is>
      </c>
      <c r="E22" s="5" t="inlineStr">
        <is>
          <t>10.1016/j.omtn.2022.03.018</t>
        </is>
      </c>
      <c r="G22" s="5" t="inlineStr">
        <is>
          <t>Misclassifying AI-ready systems as AI-integrated platforms</t>
        </is>
      </c>
      <c r="H22" s="6" t="inlineStr">
        <is>
          <t>1</t>
        </is>
      </c>
      <c r="K22" s="5" t="inlineStr">
        <is>
          <t xml:space="preserve">; </t>
        </is>
      </c>
      <c r="M22" s="5" t="inlineStr">
        <is>
          <t>100.0</t>
        </is>
      </c>
      <c r="N22" s="5" t="inlineStr">
        <is>
          <t>YES</t>
        </is>
      </c>
    </row>
    <row r="23">
      <c r="A23" s="6" t="n">
        <v>365</v>
      </c>
      <c r="B23" s="5" t="inlineStr">
        <is>
          <t>S5</t>
        </is>
      </c>
      <c r="C23" s="5" t="inlineStr">
        <is>
          <t>5: • Cell-free biologic and regenerative patch screening platforms</t>
        </is>
      </c>
      <c r="D23" s="5" t="inlineStr">
        <is>
          <t>Extracellular vesicles enriched with an endothelial cell pro-survival microRNA affects skin tissue regeneration</t>
        </is>
      </c>
      <c r="E23" s="5" t="inlineStr">
        <is>
          <t>10.1016/j.omtn.2022.03.018</t>
        </is>
      </c>
      <c r="G23" s="5" t="inlineStr">
        <is>
          <t>Overstating clinical validation or therapeutic efficacy</t>
        </is>
      </c>
      <c r="H23" s="6" t="inlineStr">
        <is>
          <t>1</t>
        </is>
      </c>
      <c r="K23" s="5" t="inlineStr">
        <is>
          <t xml:space="preserve">; </t>
        </is>
      </c>
      <c r="M23" s="5" t="inlineStr">
        <is>
          <t>100.0</t>
        </is>
      </c>
      <c r="N23" s="5" t="inlineStr">
        <is>
          <t>YES</t>
        </is>
      </c>
    </row>
    <row r="24">
      <c r="A24" s="6" t="n">
        <v>365</v>
      </c>
      <c r="B24" s="5" t="inlineStr">
        <is>
          <t>S5</t>
        </is>
      </c>
      <c r="C24" s="5" t="inlineStr">
        <is>
          <t>5: • Cell-free biologic and regenerative patch screening platforms</t>
        </is>
      </c>
      <c r="D24" s="5" t="inlineStr">
        <is>
          <t>Extracellular vesicles enriched with an endothelial cell pro-survival microRNA affects skin tissue regeneration</t>
        </is>
      </c>
      <c r="E24" s="5" t="inlineStr">
        <is>
          <t>10.1016/j.omtn.2022.03.018</t>
        </is>
      </c>
      <c r="G24" s="5" t="inlineStr">
        <is>
          <t>Overstating chronic wound or DFU specificity</t>
        </is>
      </c>
      <c r="H24" s="6" t="inlineStr">
        <is>
          <t>1</t>
        </is>
      </c>
      <c r="K24" s="5" t="inlineStr">
        <is>
          <t xml:space="preserve">; </t>
        </is>
      </c>
      <c r="M24" s="5" t="inlineStr">
        <is>
          <t>100.0</t>
        </is>
      </c>
      <c r="N24" s="5" t="inlineStr">
        <is>
          <t>YES</t>
        </is>
      </c>
    </row>
    <row r="25">
      <c r="A25" s="6" t="n">
        <v>366</v>
      </c>
      <c r="B25" s="5" t="inlineStr">
        <is>
          <t>S5</t>
        </is>
      </c>
      <c r="C25" s="5" t="inlineStr">
        <is>
          <t>5: • Cell-free biologic and regenerative patch screening platforms</t>
        </is>
      </c>
      <c r="D25" s="5" t="inlineStr">
        <is>
          <t>Exosomes derived from human amniotic epithelial cells accelerate wound healing and inhibit scar formation</t>
        </is>
      </c>
      <c r="G25" s="5" t="inlineStr">
        <is>
          <t>Misclassifying AI-ready systems as AI-integrated platforms</t>
        </is>
      </c>
      <c r="H25" s="6" t="inlineStr">
        <is>
          <t>1</t>
        </is>
      </c>
      <c r="K25" s="5" t="inlineStr">
        <is>
          <t xml:space="preserve">; </t>
        </is>
      </c>
      <c r="M25" s="5" t="inlineStr">
        <is>
          <t>100.0</t>
        </is>
      </c>
      <c r="N25" s="5" t="inlineStr">
        <is>
          <t>YES</t>
        </is>
      </c>
    </row>
    <row r="26">
      <c r="A26" s="6" t="n">
        <v>366</v>
      </c>
      <c r="B26" s="5" t="inlineStr">
        <is>
          <t>S5</t>
        </is>
      </c>
      <c r="C26" s="5" t="inlineStr">
        <is>
          <t>5: • Cell-free biologic and regenerative patch screening platforms</t>
        </is>
      </c>
      <c r="D26" s="5" t="inlineStr">
        <is>
          <t>Exosomes derived from human amniotic epithelial cells accelerate wound healing and inhibit scar formation</t>
        </is>
      </c>
      <c r="G26" s="5" t="inlineStr">
        <is>
          <t>Overstating clinical validation or therapeutic efficacy</t>
        </is>
      </c>
      <c r="H26" s="6" t="inlineStr">
        <is>
          <t>1</t>
        </is>
      </c>
      <c r="K26" s="5" t="inlineStr">
        <is>
          <t xml:space="preserve">; </t>
        </is>
      </c>
      <c r="M26" s="5" t="inlineStr">
        <is>
          <t>100.0</t>
        </is>
      </c>
      <c r="N26" s="5" t="inlineStr">
        <is>
          <t>YES</t>
        </is>
      </c>
    </row>
    <row r="27">
      <c r="A27" s="6" t="n">
        <v>366</v>
      </c>
      <c r="B27" s="5" t="inlineStr">
        <is>
          <t>S5</t>
        </is>
      </c>
      <c r="C27" s="5" t="inlineStr">
        <is>
          <t>5: • Cell-free biologic and regenerative patch screening platforms</t>
        </is>
      </c>
      <c r="D27" s="5" t="inlineStr">
        <is>
          <t>Exosomes derived from human amniotic epithelial cells accelerate wound healing and inhibit scar formation</t>
        </is>
      </c>
      <c r="G27" s="5" t="inlineStr">
        <is>
          <t>Overstating chronic wound or DFU specificity</t>
        </is>
      </c>
      <c r="H27" s="6" t="inlineStr">
        <is>
          <t>1</t>
        </is>
      </c>
      <c r="K27" s="5" t="inlineStr">
        <is>
          <t xml:space="preserve">; </t>
        </is>
      </c>
      <c r="M27" s="5" t="inlineStr">
        <is>
          <t>100.0</t>
        </is>
      </c>
      <c r="N27" s="5" t="inlineStr">
        <is>
          <t>YES</t>
        </is>
      </c>
    </row>
    <row r="28">
      <c r="A28" s="6" t="n">
        <v>367</v>
      </c>
      <c r="B28" s="5" t="inlineStr">
        <is>
          <t>S5</t>
        </is>
      </c>
      <c r="C28" s="5" t="inlineStr">
        <is>
          <t>5: • Cell-free biologic and regenerative patch screening platforms</t>
        </is>
      </c>
      <c r="D28" s="5" t="inlineStr">
        <is>
          <t>Exosomes derived from pioglitazone-pretreated MSCs accelerate diabetic wound healing through enhancing angiogenesis</t>
        </is>
      </c>
      <c r="E28" s="5" t="inlineStr">
        <is>
          <t>10.1186/s12951-021-00894-5</t>
        </is>
      </c>
      <c r="G28" s="5" t="inlineStr">
        <is>
          <t>Misclassifying AI-ready systems as AI-integrated platforms</t>
        </is>
      </c>
      <c r="H28" s="6" t="inlineStr">
        <is>
          <t>1</t>
        </is>
      </c>
      <c r="K28" s="5" t="inlineStr">
        <is>
          <t xml:space="preserve">; </t>
        </is>
      </c>
      <c r="M28" s="5" t="inlineStr">
        <is>
          <t>100.0</t>
        </is>
      </c>
      <c r="N28" s="5" t="inlineStr">
        <is>
          <t>YES</t>
        </is>
      </c>
    </row>
    <row r="29">
      <c r="A29" s="6" t="n">
        <v>367</v>
      </c>
      <c r="B29" s="5" t="inlineStr">
        <is>
          <t>S5</t>
        </is>
      </c>
      <c r="C29" s="5" t="inlineStr">
        <is>
          <t>5: • Cell-free biologic and regenerative patch screening platforms</t>
        </is>
      </c>
      <c r="D29" s="5" t="inlineStr">
        <is>
          <t>Exosomes derived from pioglitazone-pretreated MSCs accelerate diabetic wound healing through enhancing angiogenesis</t>
        </is>
      </c>
      <c r="E29" s="5" t="inlineStr">
        <is>
          <t>10.1186/s12951-021-00894-5</t>
        </is>
      </c>
      <c r="G29" s="5" t="inlineStr">
        <is>
          <t>Overstating clinical validation or therapeutic efficacy</t>
        </is>
      </c>
      <c r="H29" s="6" t="inlineStr">
        <is>
          <t>1</t>
        </is>
      </c>
      <c r="K29" s="5" t="inlineStr">
        <is>
          <t xml:space="preserve">; </t>
        </is>
      </c>
      <c r="M29" s="5" t="inlineStr">
        <is>
          <t>100.0</t>
        </is>
      </c>
      <c r="N29" s="5" t="inlineStr">
        <is>
          <t>YES</t>
        </is>
      </c>
    </row>
    <row r="30">
      <c r="A30" s="6" t="n">
        <v>367</v>
      </c>
      <c r="B30" s="5" t="inlineStr">
        <is>
          <t>S5</t>
        </is>
      </c>
      <c r="C30" s="5" t="inlineStr">
        <is>
          <t>5: • Cell-free biologic and regenerative patch screening platforms</t>
        </is>
      </c>
      <c r="D30" s="5" t="inlineStr">
        <is>
          <t>Exosomes derived from pioglitazone-pretreated MSCs accelerate diabetic wound healing through enhancing angiogenesis</t>
        </is>
      </c>
      <c r="E30" s="5" t="inlineStr">
        <is>
          <t>10.1186/s12951-021-00894-5</t>
        </is>
      </c>
      <c r="G30" s="5" t="inlineStr">
        <is>
          <t>Overstating chronic wound or DFU specificity</t>
        </is>
      </c>
      <c r="H30" s="6" t="inlineStr">
        <is>
          <t>1</t>
        </is>
      </c>
      <c r="K30" s="5" t="inlineStr">
        <is>
          <t xml:space="preserve">; </t>
        </is>
      </c>
      <c r="M30" s="5" t="inlineStr">
        <is>
          <t>100.0</t>
        </is>
      </c>
      <c r="N30" s="5" t="inlineStr">
        <is>
          <t>YES</t>
        </is>
      </c>
    </row>
    <row r="31">
      <c r="A31" s="6" t="n">
        <v>369</v>
      </c>
      <c r="B31" s="5" t="inlineStr">
        <is>
          <t>S5</t>
        </is>
      </c>
      <c r="C31" s="5" t="inlineStr">
        <is>
          <t>5: • Cell-free biologic and regenerative patch screening platforms</t>
        </is>
      </c>
      <c r="D31" s="5" t="inlineStr">
        <is>
          <t>3D-bioprinted multifunctional artificial skin patches with synergistic antimicrobial-mechanoadaptive functions for accelerating infected wound healing</t>
        </is>
      </c>
      <c r="G31" s="5" t="inlineStr">
        <is>
          <t>Misclassifying AI-ready systems as AI-integrated platforms</t>
        </is>
      </c>
      <c r="H31" s="6" t="inlineStr">
        <is>
          <t>1</t>
        </is>
      </c>
      <c r="K31" s="5" t="inlineStr">
        <is>
          <t xml:space="preserve">; </t>
        </is>
      </c>
      <c r="M31" s="5" t="inlineStr">
        <is>
          <t>100.0</t>
        </is>
      </c>
      <c r="N31" s="5" t="inlineStr">
        <is>
          <t>YES</t>
        </is>
      </c>
    </row>
    <row r="32">
      <c r="A32" s="6" t="n">
        <v>369</v>
      </c>
      <c r="B32" s="5" t="inlineStr">
        <is>
          <t>S5</t>
        </is>
      </c>
      <c r="C32" s="5" t="inlineStr">
        <is>
          <t>5: • Cell-free biologic and regenerative patch screening platforms</t>
        </is>
      </c>
      <c r="D32" s="5" t="inlineStr">
        <is>
          <t>3D-bioprinted multifunctional artificial skin patches with synergistic antimicrobial-mechanoadaptive functions for accelerating infected wound healing</t>
        </is>
      </c>
      <c r="G32" s="5" t="inlineStr">
        <is>
          <t>Overstating chronic wound or DFU specificity</t>
        </is>
      </c>
      <c r="H32" s="6" t="inlineStr">
        <is>
          <t>1</t>
        </is>
      </c>
      <c r="K32" s="5" t="inlineStr">
        <is>
          <t xml:space="preserve">; </t>
        </is>
      </c>
      <c r="M32" s="5" t="inlineStr">
        <is>
          <t>100.0</t>
        </is>
      </c>
      <c r="N32" s="5" t="inlineStr">
        <is>
          <t>YES</t>
        </is>
      </c>
    </row>
    <row r="33">
      <c r="A33" s="6" t="n">
        <v>369</v>
      </c>
      <c r="B33" s="5" t="inlineStr">
        <is>
          <t>S5</t>
        </is>
      </c>
      <c r="C33" s="5" t="inlineStr">
        <is>
          <t>5: • Cell-free biologic and regenerative patch screening platforms</t>
        </is>
      </c>
      <c r="D33" s="5" t="inlineStr">
        <is>
          <t>3D-bioprinted multifunctional artificial skin patches with synergistic antimicrobial-mechanoadaptive functions for accelerating infected wound healing</t>
        </is>
      </c>
      <c r="G33" s="5" t="inlineStr">
        <is>
          <t>Treating assay, endpoint, or measurement tools as full discovery platforms</t>
        </is>
      </c>
      <c r="H33" s="6" t="inlineStr">
        <is>
          <t>1</t>
        </is>
      </c>
      <c r="K33" s="5" t="inlineStr">
        <is>
          <t xml:space="preserve">; </t>
        </is>
      </c>
      <c r="M33" s="5" t="inlineStr">
        <is>
          <t>100.0</t>
        </is>
      </c>
      <c r="N33" s="5" t="inlineStr">
        <is>
          <t>YES</t>
        </is>
      </c>
    </row>
    <row r="34">
      <c r="A34" s="6" t="n">
        <v>384</v>
      </c>
      <c r="B34" s="5" t="inlineStr">
        <is>
          <t>S5</t>
        </is>
      </c>
      <c r="C34" s="5" t="inlineStr">
        <is>
          <t>7: • Patient-derived vascular and endothelial dysfunction platforms</t>
        </is>
      </c>
      <c r="D34" s="5" t="inlineStr">
        <is>
          <t>Single-cell RNA-seq and bulk-seq identify RAB17 as a potential regulator of angiogenesis by human dermal microvascular endothelial cells in diabetic foot ulcers</t>
        </is>
      </c>
      <c r="G34" s="5" t="inlineStr">
        <is>
          <t>Misclassifying AI-ready systems as AI-integrated platforms</t>
        </is>
      </c>
      <c r="H34" s="6" t="inlineStr">
        <is>
          <t>1</t>
        </is>
      </c>
      <c r="K34" s="5" t="inlineStr">
        <is>
          <t xml:space="preserve">; </t>
        </is>
      </c>
      <c r="M34" s="5" t="inlineStr">
        <is>
          <t>100.0</t>
        </is>
      </c>
      <c r="N34" s="5" t="inlineStr">
        <is>
          <t>YES</t>
        </is>
      </c>
    </row>
    <row r="35">
      <c r="A35" s="6" t="n">
        <v>384</v>
      </c>
      <c r="B35" s="5" t="inlineStr">
        <is>
          <t>S5</t>
        </is>
      </c>
      <c r="C35" s="5" t="inlineStr">
        <is>
          <t>7: • Patient-derived vascular and endothelial dysfunction platforms</t>
        </is>
      </c>
      <c r="D35" s="5" t="inlineStr">
        <is>
          <t>Single-cell RNA-seq and bulk-seq identify RAB17 as a potential regulator of angiogenesis by human dermal microvascular endothelial cells in diabetic foot ulcers</t>
        </is>
      </c>
      <c r="G35" s="5" t="inlineStr">
        <is>
          <t>Overstating clinical validation or therapeutic efficacy</t>
        </is>
      </c>
      <c r="H35" s="6" t="inlineStr">
        <is>
          <t>1</t>
        </is>
      </c>
      <c r="K35" s="5" t="inlineStr">
        <is>
          <t xml:space="preserve">; </t>
        </is>
      </c>
      <c r="M35" s="5" t="inlineStr">
        <is>
          <t>100.0</t>
        </is>
      </c>
      <c r="N35" s="5" t="inlineStr">
        <is>
          <t>YES</t>
        </is>
      </c>
    </row>
    <row r="36">
      <c r="A36" s="6" t="n">
        <v>384</v>
      </c>
      <c r="B36" s="5" t="inlineStr">
        <is>
          <t>S5</t>
        </is>
      </c>
      <c r="C36" s="5" t="inlineStr">
        <is>
          <t>7: • Patient-derived vascular and endothelial dysfunction platforms</t>
        </is>
      </c>
      <c r="D36" s="5" t="inlineStr">
        <is>
          <t>Single-cell RNA-seq and bulk-seq identify RAB17 as a potential regulator of angiogenesis by human dermal microvascular endothelial cells in diabetic foot ulcers</t>
        </is>
      </c>
      <c r="G36" s="5" t="inlineStr">
        <is>
          <t>Overstating chronic wound or DFU specificity</t>
        </is>
      </c>
      <c r="H36" s="6" t="inlineStr">
        <is>
          <t>1</t>
        </is>
      </c>
      <c r="K36" s="5" t="inlineStr">
        <is>
          <t xml:space="preserve">; </t>
        </is>
      </c>
      <c r="M36" s="5" t="inlineStr">
        <is>
          <t>100.0</t>
        </is>
      </c>
      <c r="N36" s="5" t="inlineStr">
        <is>
          <t>YES</t>
        </is>
      </c>
    </row>
    <row r="37">
      <c r="A37" s="6" t="n">
        <v>385</v>
      </c>
      <c r="B37" s="5" t="inlineStr">
        <is>
          <t>S5</t>
        </is>
      </c>
      <c r="C37" s="5" t="inlineStr">
        <is>
          <t>7: • Patient-derived vascular and endothelial dysfunction platforms</t>
        </is>
      </c>
      <c r="D37" s="5" t="inlineStr">
        <is>
          <t>Modeling diabetic endothelial dysfunction with patient‐specific induced pluripotent stem cells</t>
        </is>
      </c>
      <c r="G37" s="5" t="inlineStr">
        <is>
          <t>Misclassifying AI-ready systems as AI-integrated platforms</t>
        </is>
      </c>
      <c r="H37" s="6" t="inlineStr">
        <is>
          <t>1</t>
        </is>
      </c>
      <c r="K37" s="5" t="inlineStr">
        <is>
          <t xml:space="preserve">; </t>
        </is>
      </c>
      <c r="M37" s="5" t="inlineStr">
        <is>
          <t>100.0</t>
        </is>
      </c>
      <c r="N37" s="5" t="inlineStr">
        <is>
          <t>YES</t>
        </is>
      </c>
    </row>
    <row r="38">
      <c r="A38" s="6" t="n">
        <v>385</v>
      </c>
      <c r="B38" s="5" t="inlineStr">
        <is>
          <t>S5</t>
        </is>
      </c>
      <c r="C38" s="5" t="inlineStr">
        <is>
          <t>7: • Patient-derived vascular and endothelial dysfunction platforms</t>
        </is>
      </c>
      <c r="D38" s="5" t="inlineStr">
        <is>
          <t>Modeling diabetic endothelial dysfunction with patient‐specific induced pluripotent stem cells</t>
        </is>
      </c>
      <c r="G38" s="5" t="inlineStr">
        <is>
          <t>Overstating clinical validation or therapeutic efficacy</t>
        </is>
      </c>
      <c r="H38" s="6" t="inlineStr">
        <is>
          <t>1</t>
        </is>
      </c>
      <c r="K38" s="5" t="inlineStr">
        <is>
          <t xml:space="preserve">; </t>
        </is>
      </c>
      <c r="M38" s="5" t="inlineStr">
        <is>
          <t>100.0</t>
        </is>
      </c>
      <c r="N38" s="5" t="inlineStr">
        <is>
          <t>YES</t>
        </is>
      </c>
    </row>
    <row r="39">
      <c r="A39" s="6" t="n">
        <v>385</v>
      </c>
      <c r="B39" s="5" t="inlineStr">
        <is>
          <t>S5</t>
        </is>
      </c>
      <c r="C39" s="5" t="inlineStr">
        <is>
          <t>7: • Patient-derived vascular and endothelial dysfunction platforms</t>
        </is>
      </c>
      <c r="D39" s="5" t="inlineStr">
        <is>
          <t>Modeling diabetic endothelial dysfunction with patient‐specific induced pluripotent stem cells</t>
        </is>
      </c>
      <c r="G39" s="5" t="inlineStr">
        <is>
          <t>Overstating chronic wound or DFU specificity</t>
        </is>
      </c>
      <c r="H39" s="6" t="inlineStr">
        <is>
          <t>1</t>
        </is>
      </c>
      <c r="K39" s="5" t="inlineStr">
        <is>
          <t xml:space="preserve">; </t>
        </is>
      </c>
      <c r="M39" s="5" t="inlineStr">
        <is>
          <t>100.0</t>
        </is>
      </c>
      <c r="N39" s="5" t="inlineStr">
        <is>
          <t>YES</t>
        </is>
      </c>
    </row>
    <row r="40">
      <c r="A40" s="6" t="n">
        <v>385</v>
      </c>
      <c r="B40" s="5" t="inlineStr">
        <is>
          <t>S5</t>
        </is>
      </c>
      <c r="C40" s="5" t="inlineStr">
        <is>
          <t>7: • Patient-derived vascular and endothelial dysfunction platforms</t>
        </is>
      </c>
      <c r="D40" s="5" t="inlineStr">
        <is>
          <t>Modeling diabetic endothelial dysfunction with patient‐specific induced pluripotent stem cells</t>
        </is>
      </c>
      <c r="E40" s="5" t="n"/>
      <c r="G40" s="5" t="inlineStr">
        <is>
          <t>Treating assay, endpoint, or measurement tools as full discovery platforms</t>
        </is>
      </c>
      <c r="H40" s="6" t="inlineStr">
        <is>
          <t>1</t>
        </is>
      </c>
      <c r="K40" s="5" t="inlineStr">
        <is>
          <t xml:space="preserve">; </t>
        </is>
      </c>
      <c r="M40" s="5" t="inlineStr">
        <is>
          <t>100.0</t>
        </is>
      </c>
      <c r="N40" s="5" t="inlineStr">
        <is>
          <t>YES</t>
        </is>
      </c>
    </row>
    <row r="41">
      <c r="A41" s="6" t="n">
        <v>400</v>
      </c>
      <c r="B41" s="5" t="inlineStr">
        <is>
          <t>S5</t>
        </is>
      </c>
      <c r="C41" s="5" t="inlineStr">
        <is>
          <t>9: • Clinical image and trajectory-based wound digital twins</t>
        </is>
      </c>
      <c r="D41" s="5" t="inlineStr">
        <is>
          <t>Interpolating and Forecasting Wound Trajectory using Machine Learning Approaches</t>
        </is>
      </c>
      <c r="E41" s="5" t="n"/>
      <c r="G41" s="5" t="inlineStr">
        <is>
          <t>Overstating clinical validation or therapeutic efficacy</t>
        </is>
      </c>
      <c r="H41" s="6" t="inlineStr">
        <is>
          <t>1</t>
        </is>
      </c>
      <c r="K41" s="5" t="inlineStr">
        <is>
          <t xml:space="preserve">; </t>
        </is>
      </c>
      <c r="M41" s="5" t="inlineStr">
        <is>
          <t>100.0</t>
        </is>
      </c>
      <c r="N41" s="5" t="inlineStr">
        <is>
          <t>YES</t>
        </is>
      </c>
    </row>
    <row r="42">
      <c r="A42" s="6" t="n">
        <v>400</v>
      </c>
      <c r="B42" s="5" t="inlineStr">
        <is>
          <t>S5</t>
        </is>
      </c>
      <c r="C42" s="5" t="inlineStr">
        <is>
          <t>9: • Clinical image and trajectory-based wound digital twins</t>
        </is>
      </c>
      <c r="D42" s="5" t="inlineStr">
        <is>
          <t>Interpolating and Forecasting Wound Trajectory using Machine Learning Approaches</t>
        </is>
      </c>
      <c r="E42" s="5" t="n"/>
      <c r="G42" s="5" t="inlineStr">
        <is>
          <t>Treating assay, endpoint, or measurement tools as full discovery platforms</t>
        </is>
      </c>
      <c r="H42" s="6" t="inlineStr">
        <is>
          <t>1</t>
        </is>
      </c>
      <c r="K42" s="5" t="inlineStr">
        <is>
          <t xml:space="preserve">; </t>
        </is>
      </c>
      <c r="M42" s="5" t="inlineStr">
        <is>
          <t>100.0</t>
        </is>
      </c>
      <c r="N42" s="5" t="inlineStr">
        <is>
          <t>YES</t>
        </is>
      </c>
    </row>
    <row r="43">
      <c r="A43" s="6" t="n">
        <v>400</v>
      </c>
      <c r="B43" s="5" t="inlineStr">
        <is>
          <t>S5</t>
        </is>
      </c>
      <c r="C43" s="5" t="inlineStr">
        <is>
          <t>9: • Clinical image and trajectory-based wound digital twins</t>
        </is>
      </c>
      <c r="D43" s="5" t="inlineStr">
        <is>
          <t>Interpolating and Forecasting Wound Trajectory using Machine Learning Approaches</t>
        </is>
      </c>
      <c r="G43" s="5" t="inlineStr">
        <is>
          <t>Overstating predictive or decision-support capability</t>
        </is>
      </c>
      <c r="H43" s="6" t="inlineStr">
        <is>
          <t>1</t>
        </is>
      </c>
      <c r="K43" s="5" t="inlineStr">
        <is>
          <t xml:space="preserve">; </t>
        </is>
      </c>
      <c r="M43" s="5" t="inlineStr">
        <is>
          <t>100.0</t>
        </is>
      </c>
      <c r="N43" s="5" t="inlineStr">
        <is>
          <t>YES</t>
        </is>
      </c>
    </row>
    <row r="44">
      <c r="A44" s="6" t="n">
        <v>401</v>
      </c>
      <c r="B44" s="5" t="inlineStr">
        <is>
          <t>S5</t>
        </is>
      </c>
      <c r="C44" s="5" t="inlineStr">
        <is>
          <t>9: • Clinical image and trajectory-based wound digital twins</t>
        </is>
      </c>
      <c r="D44" s="5" t="inlineStr">
        <is>
          <t>How quickly does a wound heal? Bayesian calibration of a mathematical model of venous leg ulcer healing</t>
        </is>
      </c>
      <c r="G44" s="5" t="inlineStr">
        <is>
          <t>Misclassifying AI-ready systems as AI-integrated platforms</t>
        </is>
      </c>
      <c r="H44" s="6" t="inlineStr">
        <is>
          <t>1</t>
        </is>
      </c>
      <c r="K44" s="5" t="inlineStr">
        <is>
          <t xml:space="preserve">; </t>
        </is>
      </c>
      <c r="M44" s="5" t="inlineStr">
        <is>
          <t>100.0</t>
        </is>
      </c>
      <c r="N44" s="5" t="inlineStr">
        <is>
          <t>YES</t>
        </is>
      </c>
    </row>
    <row r="45">
      <c r="A45" s="6" t="n">
        <v>401</v>
      </c>
      <c r="B45" s="5" t="inlineStr">
        <is>
          <t>S5</t>
        </is>
      </c>
      <c r="C45" s="5" t="inlineStr">
        <is>
          <t>9: • Clinical image and trajectory-based wound digital twins</t>
        </is>
      </c>
      <c r="D45" s="5" t="inlineStr">
        <is>
          <t>How quickly does a wound heal? Bayesian calibration of a mathematical model of venous leg ulcer healing</t>
        </is>
      </c>
      <c r="G45" s="5" t="inlineStr">
        <is>
          <t>Overstating clinical validation or therapeutic efficacy</t>
        </is>
      </c>
      <c r="H45" s="6" t="inlineStr">
        <is>
          <t>1</t>
        </is>
      </c>
      <c r="K45" s="5" t="inlineStr">
        <is>
          <t xml:space="preserve">; </t>
        </is>
      </c>
      <c r="M45" s="5" t="inlineStr">
        <is>
          <t>100.0</t>
        </is>
      </c>
      <c r="N45" s="5" t="inlineStr">
        <is>
          <t>YES</t>
        </is>
      </c>
    </row>
    <row r="46">
      <c r="A46" s="6" t="n">
        <v>401</v>
      </c>
      <c r="B46" s="5" t="inlineStr">
        <is>
          <t>S5</t>
        </is>
      </c>
      <c r="C46" s="5" t="inlineStr">
        <is>
          <t>9: • Clinical image and trajectory-based wound digital twins</t>
        </is>
      </c>
      <c r="D46" s="5" t="inlineStr">
        <is>
          <t>How quickly does a wound heal? Bayesian calibration of a mathematical model of venous leg ulcer healing</t>
        </is>
      </c>
      <c r="G46" s="5" t="inlineStr">
        <is>
          <t>Treating assay, endpoint, or measurement tools as full discovery platforms</t>
        </is>
      </c>
      <c r="H46" s="6" t="inlineStr">
        <is>
          <t>1</t>
        </is>
      </c>
      <c r="K46" s="5" t="inlineStr">
        <is>
          <t xml:space="preserve">; </t>
        </is>
      </c>
      <c r="M46" s="5" t="inlineStr">
        <is>
          <t>100.0</t>
        </is>
      </c>
      <c r="N46" s="5" t="inlineStr">
        <is>
          <t>YES</t>
        </is>
      </c>
    </row>
    <row r="47">
      <c r="A47" s="6" t="n">
        <v>401</v>
      </c>
      <c r="B47" s="5" t="inlineStr">
        <is>
          <t>S5</t>
        </is>
      </c>
      <c r="C47" s="5" t="inlineStr">
        <is>
          <t>9: • Clinical image and trajectory-based wound digital twins</t>
        </is>
      </c>
      <c r="D47" s="5" t="inlineStr">
        <is>
          <t>How quickly does a wound heal? Bayesian calibration of a mathematical model of venous leg ulcer healing</t>
        </is>
      </c>
      <c r="G47" s="5" t="inlineStr">
        <is>
          <t>Overstating predictive or decision-support capability</t>
        </is>
      </c>
      <c r="H47" s="6" t="inlineStr">
        <is>
          <t>1</t>
        </is>
      </c>
      <c r="K47" s="5" t="inlineStr">
        <is>
          <t xml:space="preserve">; </t>
        </is>
      </c>
      <c r="M47" s="5" t="inlineStr">
        <is>
          <t>100.0</t>
        </is>
      </c>
      <c r="N47" s="5" t="inlineStr">
        <is>
          <t>YES</t>
        </is>
      </c>
    </row>
    <row r="48">
      <c r="A48" s="6" t="n">
        <v>403</v>
      </c>
      <c r="B48" s="5" t="inlineStr">
        <is>
          <t>S5</t>
        </is>
      </c>
      <c r="C48" s="5" t="inlineStr">
        <is>
          <t>10: • Mechanistic and multiscale wound-treatment simulators</t>
        </is>
      </c>
      <c r="D48" s="5" t="inlineStr">
        <is>
          <t>Spatio-temporal multiscale cell modeling of skin wound healing</t>
        </is>
      </c>
      <c r="G48" s="5" t="inlineStr">
        <is>
          <t>Misclassifying AI-ready systems as AI-integrated platforms</t>
        </is>
      </c>
      <c r="H48" s="6" t="inlineStr">
        <is>
          <t>1</t>
        </is>
      </c>
      <c r="K48" s="5" t="inlineStr">
        <is>
          <t xml:space="preserve">; </t>
        </is>
      </c>
      <c r="M48" s="5" t="inlineStr">
        <is>
          <t>100.0</t>
        </is>
      </c>
      <c r="N48" s="5" t="inlineStr">
        <is>
          <t>YES</t>
        </is>
      </c>
    </row>
    <row r="49">
      <c r="A49" s="6" t="n">
        <v>403</v>
      </c>
      <c r="B49" s="5" t="inlineStr">
        <is>
          <t>S5</t>
        </is>
      </c>
      <c r="C49" s="5" t="inlineStr">
        <is>
          <t>10: • Mechanistic and multiscale wound-treatment simulators</t>
        </is>
      </c>
      <c r="D49" s="5" t="inlineStr">
        <is>
          <t>Spatio-temporal multiscale cell modeling of skin wound healing</t>
        </is>
      </c>
      <c r="G49" s="5" t="inlineStr">
        <is>
          <t>Overstating clinical validation or therapeutic efficacy</t>
        </is>
      </c>
      <c r="H49" s="6" t="inlineStr">
        <is>
          <t>1</t>
        </is>
      </c>
      <c r="K49" s="5" t="inlineStr">
        <is>
          <t xml:space="preserve">; </t>
        </is>
      </c>
      <c r="M49" s="5" t="inlineStr">
        <is>
          <t>100.0</t>
        </is>
      </c>
      <c r="N49" s="5" t="inlineStr">
        <is>
          <t>YES</t>
        </is>
      </c>
    </row>
    <row r="50">
      <c r="A50" s="6" t="n">
        <v>403</v>
      </c>
      <c r="B50" s="5" t="inlineStr">
        <is>
          <t>S5</t>
        </is>
      </c>
      <c r="C50" s="5" t="inlineStr">
        <is>
          <t>10: • Mechanistic and multiscale wound-treatment simulators</t>
        </is>
      </c>
      <c r="D50" s="5" t="inlineStr">
        <is>
          <t>Spatio-temporal multiscale cell modeling of skin wound healing</t>
        </is>
      </c>
      <c r="G50" s="5" t="inlineStr">
        <is>
          <t>Overstating chronic wound or DFU specificity</t>
        </is>
      </c>
      <c r="H50" s="6" t="inlineStr">
        <is>
          <t>1</t>
        </is>
      </c>
      <c r="K50" s="5" t="inlineStr">
        <is>
          <t xml:space="preserve">; </t>
        </is>
      </c>
      <c r="M50" s="5" t="inlineStr">
        <is>
          <t>100.0</t>
        </is>
      </c>
      <c r="N50" s="5" t="inlineStr">
        <is>
          <t>YES</t>
        </is>
      </c>
    </row>
    <row r="51">
      <c r="A51" s="6" t="n">
        <v>403</v>
      </c>
      <c r="B51" s="5" t="inlineStr">
        <is>
          <t>S5</t>
        </is>
      </c>
      <c r="C51" s="5" t="inlineStr">
        <is>
          <t>10: • Mechanistic and multiscale wound-treatment simulators</t>
        </is>
      </c>
      <c r="D51" s="5" t="inlineStr">
        <is>
          <t>Spatio-temporal multiscale cell modeling of skin wound healing</t>
        </is>
      </c>
      <c r="G51" s="5" t="inlineStr">
        <is>
          <t>Overstating predictive or decision-support capability</t>
        </is>
      </c>
      <c r="H51" s="6" t="inlineStr">
        <is>
          <t>1</t>
        </is>
      </c>
      <c r="K51" s="5" t="inlineStr">
        <is>
          <t xml:space="preserve">; </t>
        </is>
      </c>
      <c r="M51" s="5" t="inlineStr">
        <is>
          <t>100.0</t>
        </is>
      </c>
      <c r="N51" s="5" t="inlineStr">
        <is>
          <t>YES</t>
        </is>
      </c>
    </row>
    <row r="52">
      <c r="A52" s="6" t="n">
        <v>404</v>
      </c>
      <c r="B52" s="5" t="inlineStr">
        <is>
          <t>S5</t>
        </is>
      </c>
      <c r="C52" s="5" t="inlineStr">
        <is>
          <t>10: • Mechanistic and multiscale wound-treatment simulators</t>
        </is>
      </c>
      <c r="D52" s="5" t="inlineStr">
        <is>
          <t>Effective spatio-temporal regimes for wound treatment by way of macrophage polarization: a mathematical model</t>
        </is>
      </c>
      <c r="G52" s="5" t="inlineStr">
        <is>
          <t>Misclassifying AI-ready systems as AI-integrated platforms</t>
        </is>
      </c>
      <c r="H52" s="6" t="inlineStr">
        <is>
          <t>1</t>
        </is>
      </c>
      <c r="K52" s="5" t="inlineStr">
        <is>
          <t xml:space="preserve">; </t>
        </is>
      </c>
      <c r="M52" s="5" t="inlineStr">
        <is>
          <t>100.0</t>
        </is>
      </c>
      <c r="N52" s="5" t="inlineStr">
        <is>
          <t>YES</t>
        </is>
      </c>
    </row>
    <row r="53">
      <c r="A53" s="6" t="n">
        <v>404</v>
      </c>
      <c r="B53" s="5" t="inlineStr">
        <is>
          <t>S5</t>
        </is>
      </c>
      <c r="C53" s="5" t="inlineStr">
        <is>
          <t>10: • Mechanistic and multiscale wound-treatment simulators</t>
        </is>
      </c>
      <c r="D53" s="5" t="inlineStr">
        <is>
          <t>Effective spatio-temporal regimes for wound treatment by way of macrophage polarization: a mathematical model</t>
        </is>
      </c>
      <c r="G53" s="5" t="inlineStr">
        <is>
          <t>Overstating clinical validation or therapeutic efficacy</t>
        </is>
      </c>
      <c r="H53" s="6" t="inlineStr">
        <is>
          <t>1</t>
        </is>
      </c>
      <c r="K53" s="5" t="inlineStr">
        <is>
          <t xml:space="preserve">; </t>
        </is>
      </c>
      <c r="M53" s="5" t="inlineStr">
        <is>
          <t>100.0</t>
        </is>
      </c>
      <c r="N53" s="5" t="inlineStr">
        <is>
          <t>YES</t>
        </is>
      </c>
    </row>
    <row r="54">
      <c r="A54" s="6" t="n">
        <v>404</v>
      </c>
      <c r="B54" s="5" t="inlineStr">
        <is>
          <t>S5</t>
        </is>
      </c>
      <c r="C54" s="5" t="inlineStr">
        <is>
          <t>10: • Mechanistic and multiscale wound-treatment simulators</t>
        </is>
      </c>
      <c r="D54" s="5" t="inlineStr">
        <is>
          <t>Effective spatio-temporal regimes for wound treatment by way of macrophage polarization: a mathematical model</t>
        </is>
      </c>
      <c r="G54" s="5" t="inlineStr">
        <is>
          <t>Overstating chronic wound or DFU specificity</t>
        </is>
      </c>
      <c r="H54" s="6" t="inlineStr">
        <is>
          <t>1</t>
        </is>
      </c>
      <c r="K54" s="5" t="inlineStr">
        <is>
          <t xml:space="preserve">; </t>
        </is>
      </c>
      <c r="M54" s="5" t="inlineStr">
        <is>
          <t>100.0</t>
        </is>
      </c>
      <c r="N54" s="5" t="inlineStr">
        <is>
          <t>YES</t>
        </is>
      </c>
    </row>
    <row r="55">
      <c r="A55" s="6" t="n">
        <v>405</v>
      </c>
      <c r="B55" s="5" t="inlineStr">
        <is>
          <t>S5</t>
        </is>
      </c>
      <c r="C55" s="5" t="inlineStr">
        <is>
          <t>10: • Mechanistic and multiscale wound-treatment simulators</t>
        </is>
      </c>
      <c r="D55" s="5" t="inlineStr">
        <is>
          <t>Mathematical model predicts that acceleration of diabetic wound healing is dependent on spatial distribution of VEGF-A mRNA (AZD8601)</t>
        </is>
      </c>
      <c r="G55" s="5" t="inlineStr">
        <is>
          <t>Misclassifying AI-ready systems as AI-integrated platforms</t>
        </is>
      </c>
      <c r="H55" s="6" t="inlineStr">
        <is>
          <t>1</t>
        </is>
      </c>
      <c r="K55" s="5" t="inlineStr">
        <is>
          <t xml:space="preserve">; </t>
        </is>
      </c>
      <c r="M55" s="5" t="inlineStr">
        <is>
          <t>100.0</t>
        </is>
      </c>
      <c r="N55" s="5" t="inlineStr">
        <is>
          <t>YES</t>
        </is>
      </c>
    </row>
    <row r="56">
      <c r="A56" s="6" t="n">
        <v>405</v>
      </c>
      <c r="B56" s="5" t="inlineStr">
        <is>
          <t>S5</t>
        </is>
      </c>
      <c r="C56" s="5" t="inlineStr">
        <is>
          <t>10: • Mechanistic and multiscale wound-treatment simulators</t>
        </is>
      </c>
      <c r="D56" s="5" t="inlineStr">
        <is>
          <t>Mathematical model predicts that acceleration of diabetic wound healing is dependent on spatial distribution of VEGF-A mRNA (AZD8601)</t>
        </is>
      </c>
      <c r="G56" s="5" t="inlineStr">
        <is>
          <t>Overstating clinical validation or therapeutic efficacy</t>
        </is>
      </c>
      <c r="H56" s="6" t="inlineStr">
        <is>
          <t>1</t>
        </is>
      </c>
      <c r="K56" s="5" t="inlineStr">
        <is>
          <t xml:space="preserve">; </t>
        </is>
      </c>
      <c r="M56" s="5" t="inlineStr">
        <is>
          <t>100.0</t>
        </is>
      </c>
      <c r="N56" s="5" t="inlineStr">
        <is>
          <t>YES</t>
        </is>
      </c>
    </row>
    <row r="57">
      <c r="A57" s="6" t="n">
        <v>405</v>
      </c>
      <c r="B57" s="5" t="inlineStr">
        <is>
          <t>S5</t>
        </is>
      </c>
      <c r="C57" s="5" t="inlineStr">
        <is>
          <t>10: • Mechanistic and multiscale wound-treatment simulators</t>
        </is>
      </c>
      <c r="D57" s="5" t="inlineStr">
        <is>
          <t>Mathematical model predicts that acceleration of diabetic wound healing is dependent on spatial distribution of VEGF-A mRNA (AZD8601)</t>
        </is>
      </c>
      <c r="G57" s="5" t="inlineStr">
        <is>
          <t>Overstating chronic wound or DFU specificity</t>
        </is>
      </c>
      <c r="H57" s="6" t="inlineStr">
        <is>
          <t>1</t>
        </is>
      </c>
      <c r="K57" s="5" t="inlineStr">
        <is>
          <t xml:space="preserve">; </t>
        </is>
      </c>
      <c r="M57" s="5" t="inlineStr">
        <is>
          <t>100.0</t>
        </is>
      </c>
      <c r="N57" s="5" t="inlineStr">
        <is>
          <t>YES</t>
        </is>
      </c>
    </row>
    <row r="58">
      <c r="A58" s="6" t="n">
        <v>413</v>
      </c>
      <c r="B58" s="5" t="inlineStr">
        <is>
          <t>S5</t>
        </is>
      </c>
      <c r="C58" s="5" t="inlineStr">
        <is>
          <t>12: • Skin-on-chip and microfluidic skin testing systems for toxicity, absorption, and permeation</t>
        </is>
      </c>
      <c r="D58" s="5" t="inlineStr">
        <is>
          <t>Skin integrated with perfusable vascular channels on a chip</t>
        </is>
      </c>
      <c r="E58" t="inlineStr">
        <is>
          <t>10.1016/j.biomaterials.2016.11.031</t>
        </is>
      </c>
      <c r="G58" s="5" t="inlineStr">
        <is>
          <t>Misclassifying AI-ready systems as AI-integrated platforms</t>
        </is>
      </c>
      <c r="H58" s="6" t="inlineStr">
        <is>
          <t>1</t>
        </is>
      </c>
      <c r="K58" s="5" t="inlineStr">
        <is>
          <t xml:space="preserve">; </t>
        </is>
      </c>
      <c r="M58" s="5" t="inlineStr">
        <is>
          <t>100.0</t>
        </is>
      </c>
      <c r="N58" s="5" t="inlineStr">
        <is>
          <t>YES</t>
        </is>
      </c>
    </row>
    <row r="59">
      <c r="A59" s="6" t="n">
        <v>413</v>
      </c>
      <c r="B59" s="5" t="inlineStr">
        <is>
          <t>S5</t>
        </is>
      </c>
      <c r="C59" s="5" t="inlineStr">
        <is>
          <t>12: • Skin-on-chip and microfluidic skin testing systems for toxicity, absorption, and permeation</t>
        </is>
      </c>
      <c r="D59" s="5" t="inlineStr">
        <is>
          <t>Skin integrated with perfusable vascular channels on a chip</t>
        </is>
      </c>
      <c r="E59" t="inlineStr">
        <is>
          <t>10.1016/j.biomaterials.2016.11.031</t>
        </is>
      </c>
      <c r="G59" s="5" t="inlineStr">
        <is>
          <t>Overstating chronic wound or DFU specificity</t>
        </is>
      </c>
      <c r="H59" s="6" t="inlineStr">
        <is>
          <t>1</t>
        </is>
      </c>
      <c r="K59" s="5" t="inlineStr">
        <is>
          <t xml:space="preserve">; </t>
        </is>
      </c>
      <c r="M59" s="5" t="inlineStr">
        <is>
          <t>100.0</t>
        </is>
      </c>
      <c r="N59" s="5" t="inlineStr">
        <is>
          <t>YES</t>
        </is>
      </c>
    </row>
    <row r="60">
      <c r="A60" s="6" t="n">
        <v>413</v>
      </c>
      <c r="B60" s="5" t="inlineStr">
        <is>
          <t>S5</t>
        </is>
      </c>
      <c r="C60" s="5" t="inlineStr">
        <is>
          <t>12: • Skin-on-chip and microfluidic skin testing systems for toxicity, absorption, and permeation</t>
        </is>
      </c>
      <c r="D60" s="5" t="inlineStr">
        <is>
          <t>Skin integrated with perfusable vascular channels on a chip</t>
        </is>
      </c>
      <c r="E60" t="inlineStr">
        <is>
          <t>10.1016/j.biomaterials.2016.11.031</t>
        </is>
      </c>
      <c r="G60" s="5" t="inlineStr">
        <is>
          <t>Treating assay, endpoint, or measurement tools as full discovery platforms</t>
        </is>
      </c>
      <c r="H60" s="6" t="inlineStr">
        <is>
          <t>1</t>
        </is>
      </c>
      <c r="K60" s="5" t="inlineStr">
        <is>
          <t xml:space="preserve">; </t>
        </is>
      </c>
      <c r="M60" s="5" t="inlineStr">
        <is>
          <t>100.0</t>
        </is>
      </c>
      <c r="N60" s="5" t="inlineStr">
        <is>
          <t>YES</t>
        </is>
      </c>
    </row>
    <row r="61">
      <c r="A61" s="6" t="n">
        <v>414</v>
      </c>
      <c r="B61" s="5" t="inlineStr">
        <is>
          <t>S5</t>
        </is>
      </c>
      <c r="C61" s="5" t="inlineStr">
        <is>
          <t>12: • Skin-on-chip and microfluidic skin testing systems for toxicity, absorption, and permeation</t>
        </is>
      </c>
      <c r="D61" s="5" t="inlineStr">
        <is>
          <t>Side-effect test of sorafenib using 3-D skin equivalent based on microfluidic skin-on-a-chip</t>
        </is>
      </c>
      <c r="G61" s="5" t="inlineStr">
        <is>
          <t>Misclassifying AI-ready systems as AI-integrated platforms</t>
        </is>
      </c>
      <c r="H61" s="6" t="inlineStr">
        <is>
          <t>1</t>
        </is>
      </c>
      <c r="K61" s="5" t="inlineStr">
        <is>
          <t xml:space="preserve">; </t>
        </is>
      </c>
      <c r="M61" s="5" t="inlineStr">
        <is>
          <t>100.0</t>
        </is>
      </c>
      <c r="N61" s="5" t="inlineStr">
        <is>
          <t>YES</t>
        </is>
      </c>
    </row>
    <row r="62">
      <c r="A62" s="6" t="n">
        <v>414</v>
      </c>
      <c r="B62" s="5" t="inlineStr">
        <is>
          <t>S5</t>
        </is>
      </c>
      <c r="C62" s="5" t="inlineStr">
        <is>
          <t>12: • Skin-on-chip and microfluidic skin testing systems for toxicity, absorption, and permeation</t>
        </is>
      </c>
      <c r="D62" s="5" t="inlineStr">
        <is>
          <t>Side-effect test of sorafenib using 3-D skin equivalent based on microfluidic skin-on-a-chip</t>
        </is>
      </c>
      <c r="G62" s="5" t="inlineStr">
        <is>
          <t>Overstating chronic wound or DFU specificity</t>
        </is>
      </c>
      <c r="H62" s="6" t="inlineStr">
        <is>
          <t>1</t>
        </is>
      </c>
      <c r="K62" s="5" t="inlineStr">
        <is>
          <t xml:space="preserve">; </t>
        </is>
      </c>
      <c r="M62" s="5" t="inlineStr">
        <is>
          <t>100.0</t>
        </is>
      </c>
      <c r="N62" s="5" t="inlineStr">
        <is>
          <t>YES</t>
        </is>
      </c>
    </row>
    <row r="63">
      <c r="A63" s="6" t="n">
        <v>414</v>
      </c>
      <c r="B63" s="5" t="inlineStr">
        <is>
          <t>S5</t>
        </is>
      </c>
      <c r="C63" s="5" t="inlineStr">
        <is>
          <t>12: • Skin-on-chip and microfluidic skin testing systems for toxicity, absorption, and permeation</t>
        </is>
      </c>
      <c r="D63" s="5" t="inlineStr">
        <is>
          <t>Side-effect test of sorafenib using 3-D skin equivalent based on microfluidic skin-on-a-chip</t>
        </is>
      </c>
      <c r="G63" s="5" t="inlineStr">
        <is>
          <t>Treating assay, endpoint, or measurement tools as full discovery platforms</t>
        </is>
      </c>
      <c r="H63" s="6" t="inlineStr">
        <is>
          <t>1</t>
        </is>
      </c>
      <c r="K63" s="5" t="inlineStr">
        <is>
          <t xml:space="preserve">; </t>
        </is>
      </c>
      <c r="M63" s="5" t="inlineStr">
        <is>
          <t>100.0</t>
        </is>
      </c>
      <c r="N63" s="5" t="inlineStr">
        <is>
          <t>YES</t>
        </is>
      </c>
    </row>
    <row r="64">
      <c r="A64" s="6" t="n">
        <v>423</v>
      </c>
      <c r="B64" s="5" t="inlineStr">
        <is>
          <t>S5</t>
        </is>
      </c>
      <c r="C64" s="5" t="inlineStr">
        <is>
          <t>12: • Skin-on-chip and microfluidic skin testing systems for toxicity, absorption, and permeation</t>
        </is>
      </c>
      <c r="D64" s="5" t="inlineStr">
        <is>
          <t>Multi-chamber microfluidic platform for high-precision skin permeation testing</t>
        </is>
      </c>
      <c r="G64" s="5" t="inlineStr">
        <is>
          <t>Misclassifying AI-ready systems as AI-integrated platforms</t>
        </is>
      </c>
      <c r="H64" s="6" t="inlineStr">
        <is>
          <t>1</t>
        </is>
      </c>
      <c r="K64" s="5" t="inlineStr">
        <is>
          <t xml:space="preserve">; </t>
        </is>
      </c>
      <c r="M64" s="5" t="inlineStr">
        <is>
          <t>100.0</t>
        </is>
      </c>
      <c r="N64" s="5" t="inlineStr">
        <is>
          <t>YES</t>
        </is>
      </c>
    </row>
    <row r="65">
      <c r="A65" s="6" t="n">
        <v>423</v>
      </c>
      <c r="B65" s="5" t="inlineStr">
        <is>
          <t>S5</t>
        </is>
      </c>
      <c r="C65" s="5" t="inlineStr">
        <is>
          <t>12: • Skin-on-chip and microfluidic skin testing systems for toxicity, absorption, and permeation</t>
        </is>
      </c>
      <c r="D65" s="5" t="inlineStr">
        <is>
          <t>Multi-chamber microfluidic platform for high-precision skin permeation testing</t>
        </is>
      </c>
      <c r="G65" s="5" t="inlineStr">
        <is>
          <t>Overstating chronic wound or DFU specificity</t>
        </is>
      </c>
      <c r="H65" s="6" t="inlineStr">
        <is>
          <t>1</t>
        </is>
      </c>
      <c r="K65" s="5" t="inlineStr">
        <is>
          <t xml:space="preserve">; </t>
        </is>
      </c>
      <c r="M65" s="5" t="inlineStr">
        <is>
          <t>100.0</t>
        </is>
      </c>
      <c r="N65" s="5" t="inlineStr">
        <is>
          <t>YES</t>
        </is>
      </c>
    </row>
    <row r="66">
      <c r="A66" s="6" t="n">
        <v>423</v>
      </c>
      <c r="B66" s="5" t="inlineStr">
        <is>
          <t>S5</t>
        </is>
      </c>
      <c r="C66" s="5" t="inlineStr">
        <is>
          <t>12: • Skin-on-chip and microfluidic skin testing systems for toxicity, absorption, and permeation</t>
        </is>
      </c>
      <c r="D66" s="5" t="inlineStr">
        <is>
          <t>Multi-chamber microfluidic platform for high-precision skin permeation testing</t>
        </is>
      </c>
      <c r="G66" s="5" t="inlineStr">
        <is>
          <t>Treating assay, endpoint, or measurement tools as full discovery platforms</t>
        </is>
      </c>
      <c r="H66" s="6" t="inlineStr">
        <is>
          <t>1</t>
        </is>
      </c>
      <c r="K66" s="5" t="inlineStr">
        <is>
          <t xml:space="preserve">; </t>
        </is>
      </c>
      <c r="M66" s="5" t="inlineStr">
        <is>
          <t>100.0</t>
        </is>
      </c>
      <c r="N66" s="5" t="inlineStr">
        <is>
          <t>YES</t>
        </is>
      </c>
    </row>
    <row r="67">
      <c r="A67" s="6" t="n">
        <v>427</v>
      </c>
      <c r="B67" s="5" t="inlineStr">
        <is>
          <t>S5</t>
        </is>
      </c>
      <c r="C67" s="5" t="inlineStr">
        <is>
          <t>13: • Biomaterial and tissue-platform standardization systems</t>
        </is>
      </c>
      <c r="D67" s="5" t="inlineStr">
        <is>
          <t>Multi-scale analysis of the composition, structure, and function of decellularized extracellular matrix for human skin and wound healing models</t>
        </is>
      </c>
      <c r="E67" t="inlineStr">
        <is>
          <t>10.3390/biom12060837</t>
        </is>
      </c>
      <c r="G67" s="5" t="inlineStr">
        <is>
          <t>Misclassifying AI-ready systems as AI-integrated platforms</t>
        </is>
      </c>
      <c r="H67" s="6" t="inlineStr">
        <is>
          <t>1</t>
        </is>
      </c>
      <c r="K67" s="5" t="inlineStr">
        <is>
          <t xml:space="preserve">; </t>
        </is>
      </c>
      <c r="M67" s="5" t="inlineStr">
        <is>
          <t>100.0</t>
        </is>
      </c>
      <c r="N67" s="5" t="inlineStr">
        <is>
          <t>YES</t>
        </is>
      </c>
    </row>
    <row r="68">
      <c r="A68" s="6" t="n">
        <v>427</v>
      </c>
      <c r="B68" s="5" t="inlineStr">
        <is>
          <t>S5</t>
        </is>
      </c>
      <c r="C68" s="5" t="inlineStr">
        <is>
          <t>13: • Biomaterial and tissue-platform standardization systems</t>
        </is>
      </c>
      <c r="D68" s="5" t="inlineStr">
        <is>
          <t>Multi-scale analysis of the composition, structure, and function of decellularized extracellular matrix for human skin and wound healing models</t>
        </is>
      </c>
      <c r="E68" s="5" t="inlineStr">
        <is>
          <t>10.3390/biom12060837</t>
        </is>
      </c>
      <c r="G68" s="5" t="inlineStr">
        <is>
          <t>Overstating clinical validation or therapeutic efficacy</t>
        </is>
      </c>
      <c r="H68" s="6" t="inlineStr">
        <is>
          <t>1</t>
        </is>
      </c>
      <c r="K68" s="5" t="inlineStr">
        <is>
          <t xml:space="preserve">; </t>
        </is>
      </c>
      <c r="M68" s="5" t="inlineStr">
        <is>
          <t>100.0</t>
        </is>
      </c>
      <c r="N68" s="5" t="inlineStr">
        <is>
          <t>YES</t>
        </is>
      </c>
    </row>
    <row r="69">
      <c r="A69" s="6" t="n">
        <v>427</v>
      </c>
      <c r="B69" s="5" t="inlineStr">
        <is>
          <t>S5</t>
        </is>
      </c>
      <c r="C69" s="5" t="inlineStr">
        <is>
          <t>13: • Biomaterial and tissue-platform standardization systems</t>
        </is>
      </c>
      <c r="D69" s="5" t="inlineStr">
        <is>
          <t>Multi-scale analysis of the composition, structure, and function of decellularized extracellular matrix for human skin and wound healing models</t>
        </is>
      </c>
      <c r="E69" s="5" t="inlineStr">
        <is>
          <t>10.3390/biom12060837</t>
        </is>
      </c>
      <c r="G69" s="5" t="inlineStr">
        <is>
          <t>Overstating chronic wound or DFU specificity</t>
        </is>
      </c>
      <c r="H69" s="6" t="inlineStr">
        <is>
          <t>1</t>
        </is>
      </c>
      <c r="K69" s="5" t="inlineStr">
        <is>
          <t xml:space="preserve">; </t>
        </is>
      </c>
      <c r="M69" s="5" t="inlineStr">
        <is>
          <t>100.0</t>
        </is>
      </c>
      <c r="N69" s="5" t="inlineStr">
        <is>
          <t>YES</t>
        </is>
      </c>
    </row>
    <row r="70">
      <c r="A70" s="6" t="n">
        <v>427</v>
      </c>
      <c r="B70" s="5" t="inlineStr">
        <is>
          <t>S5</t>
        </is>
      </c>
      <c r="C70" s="5" t="inlineStr">
        <is>
          <t>13: • Biomaterial and tissue-platform standardization systems</t>
        </is>
      </c>
      <c r="D70" s="5" t="inlineStr">
        <is>
          <t>Multi-scale analysis of the composition, structure, and function of decellularized extracellular matrix for human skin and wound healing models</t>
        </is>
      </c>
      <c r="E70" s="5" t="inlineStr">
        <is>
          <t>10.3390/biom12060837</t>
        </is>
      </c>
      <c r="G70" s="5" t="inlineStr">
        <is>
          <t>Treating assay, endpoint, or measurement tools as full discovery platforms</t>
        </is>
      </c>
      <c r="H70" s="6" t="inlineStr">
        <is>
          <t>1</t>
        </is>
      </c>
      <c r="K70" s="5" t="inlineStr">
        <is>
          <t xml:space="preserve">; </t>
        </is>
      </c>
      <c r="M70" s="5" t="inlineStr">
        <is>
          <t>100.0</t>
        </is>
      </c>
      <c r="N70" s="5" t="inlineStr">
        <is>
          <t>YES</t>
        </is>
      </c>
    </row>
    <row r="71">
      <c r="A71" s="6" t="n">
        <v>428</v>
      </c>
      <c r="B71" s="5" t="inlineStr">
        <is>
          <t>S5</t>
        </is>
      </c>
      <c r="C71" s="5" t="inlineStr">
        <is>
          <t>13: • Biomaterial and tissue-platform standardization systems</t>
        </is>
      </c>
      <c r="D71" s="5" t="inlineStr">
        <is>
          <t>In vitro characterisation of 3D printed platelet lysate-based bioink for potential application in skin tissue engineering</t>
        </is>
      </c>
      <c r="G71" s="5" t="inlineStr">
        <is>
          <t>Misclassifying AI-ready systems as AI-integrated platforms</t>
        </is>
      </c>
      <c r="H71" s="6" t="inlineStr">
        <is>
          <t>1</t>
        </is>
      </c>
      <c r="K71" s="5" t="inlineStr">
        <is>
          <t xml:space="preserve">; </t>
        </is>
      </c>
      <c r="M71" s="5" t="inlineStr">
        <is>
          <t>100.0</t>
        </is>
      </c>
      <c r="N71" s="5" t="inlineStr">
        <is>
          <t>YES</t>
        </is>
      </c>
    </row>
    <row r="72">
      <c r="A72" s="6" t="n">
        <v>428</v>
      </c>
      <c r="B72" s="5" t="inlineStr">
        <is>
          <t>S5</t>
        </is>
      </c>
      <c r="C72" s="5" t="inlineStr">
        <is>
          <t>13: • Biomaterial and tissue-platform standardization systems</t>
        </is>
      </c>
      <c r="D72" s="5" t="inlineStr">
        <is>
          <t>In vitro characterisation of 3D printed platelet lysate-based bioink for potential application in skin tissue engineering</t>
        </is>
      </c>
      <c r="G72" s="5" t="inlineStr">
        <is>
          <t>Overstating clinical validation or therapeutic efficacy</t>
        </is>
      </c>
      <c r="H72" s="6" t="inlineStr">
        <is>
          <t>1</t>
        </is>
      </c>
      <c r="K72" s="5" t="inlineStr">
        <is>
          <t xml:space="preserve">; </t>
        </is>
      </c>
      <c r="M72" s="5" t="inlineStr">
        <is>
          <t>100.0</t>
        </is>
      </c>
      <c r="N72" s="5" t="inlineStr">
        <is>
          <t>YES</t>
        </is>
      </c>
    </row>
    <row r="73">
      <c r="A73" s="6" t="n">
        <v>428</v>
      </c>
      <c r="B73" s="5" t="inlineStr">
        <is>
          <t>S5</t>
        </is>
      </c>
      <c r="C73" s="5" t="inlineStr">
        <is>
          <t>13: • Biomaterial and tissue-platform standardization systems</t>
        </is>
      </c>
      <c r="D73" s="5" t="inlineStr">
        <is>
          <t>In vitro characterisation of 3D printed platelet lysate-based bioink for potential application in skin tissue engineering</t>
        </is>
      </c>
      <c r="G73" s="5" t="inlineStr">
        <is>
          <t>Treating assay, endpoint, or measurement tools as full discovery platforms</t>
        </is>
      </c>
      <c r="H73" s="6" t="inlineStr">
        <is>
          <t>1</t>
        </is>
      </c>
      <c r="K73" s="5" t="inlineStr">
        <is>
          <t xml:space="preserve">; </t>
        </is>
      </c>
      <c r="M73" s="5" t="inlineStr">
        <is>
          <t>100.0</t>
        </is>
      </c>
      <c r="N73" s="5" t="inlineStr">
        <is>
          <t>YES</t>
        </is>
      </c>
    </row>
    <row r="74">
      <c r="A74" s="6" t="n">
        <v>430</v>
      </c>
      <c r="B74" s="5" t="inlineStr">
        <is>
          <t>S5</t>
        </is>
      </c>
      <c r="C74" s="5" t="inlineStr">
        <is>
          <t>13: • Biomaterial and tissue-platform standardization systems</t>
        </is>
      </c>
      <c r="D74" s="5" t="inlineStr">
        <is>
          <t>Environmentally controlled microfluidic system enabling immune cell flow and activation in an endothelialised skin‐on‐chip</t>
        </is>
      </c>
      <c r="G74" s="5" t="inlineStr">
        <is>
          <t>Misclassifying AI-ready systems as AI-integrated platforms</t>
        </is>
      </c>
      <c r="H74" s="6" t="inlineStr">
        <is>
          <t>1</t>
        </is>
      </c>
      <c r="K74" s="5" t="inlineStr">
        <is>
          <t xml:space="preserve">; </t>
        </is>
      </c>
      <c r="M74" s="5" t="inlineStr">
        <is>
          <t>100.0</t>
        </is>
      </c>
      <c r="N74" s="5" t="inlineStr">
        <is>
          <t>YES</t>
        </is>
      </c>
    </row>
    <row r="75">
      <c r="A75" s="6" t="n">
        <v>430</v>
      </c>
      <c r="B75" s="5" t="inlineStr">
        <is>
          <t>S5</t>
        </is>
      </c>
      <c r="C75" s="5" t="inlineStr">
        <is>
          <t>13: • Biomaterial and tissue-platform standardization systems</t>
        </is>
      </c>
      <c r="D75" s="5" t="inlineStr">
        <is>
          <t>Environmentally controlled microfluidic system enabling immune cell flow and activation in an endothelialised skin‐on‐chip</t>
        </is>
      </c>
      <c r="G75" s="5" t="inlineStr">
        <is>
          <t>Overstating chronic wound or DFU specificity</t>
        </is>
      </c>
      <c r="H75" s="6" t="inlineStr">
        <is>
          <t>1</t>
        </is>
      </c>
      <c r="K75" s="5" t="inlineStr">
        <is>
          <t xml:space="preserve">; </t>
        </is>
      </c>
      <c r="M75" s="5" t="inlineStr">
        <is>
          <t>100.0</t>
        </is>
      </c>
      <c r="N75" s="5" t="inlineStr">
        <is>
          <t>YES</t>
        </is>
      </c>
    </row>
    <row r="76">
      <c r="A76" s="6" t="n">
        <v>430</v>
      </c>
      <c r="B76" s="5" t="inlineStr">
        <is>
          <t>S5</t>
        </is>
      </c>
      <c r="C76" s="5" t="inlineStr">
        <is>
          <t>13: • Biomaterial and tissue-platform standardization systems</t>
        </is>
      </c>
      <c r="D76" s="5" t="inlineStr">
        <is>
          <t>Environmentally controlled microfluidic system enabling immune cell flow and activation in an endothelialised skin‐on‐chip</t>
        </is>
      </c>
      <c r="G76" s="5" t="inlineStr">
        <is>
          <t>Treating assay, endpoint, or measurement tools as full discovery platforms</t>
        </is>
      </c>
      <c r="H76" s="6" t="inlineStr">
        <is>
          <t>1</t>
        </is>
      </c>
      <c r="K76" s="5" t="inlineStr">
        <is>
          <t xml:space="preserve">; </t>
        </is>
      </c>
      <c r="M76" s="5" t="inlineStr">
        <is>
          <t>100.0</t>
        </is>
      </c>
      <c r="N76" s="5" t="inlineStr">
        <is>
          <t>YES</t>
        </is>
      </c>
    </row>
    <row r="77">
      <c r="A77" s="6" t="n">
        <v>432</v>
      </c>
      <c r="B77" s="5" t="inlineStr">
        <is>
          <t>S5</t>
        </is>
      </c>
      <c r="C77" s="5" t="inlineStr">
        <is>
          <t>13: • Biomaterial and tissue-platform standardization systems</t>
        </is>
      </c>
      <c r="D77" s="5" t="inlineStr">
        <is>
          <t>Optimization and Standardization of Stable De-Epidermized Dermis (DED) Models for Functional Evaluation of Cutaneous Cell Therapies</t>
        </is>
      </c>
      <c r="E77" s="5" t="n"/>
      <c r="G77" s="5" t="inlineStr">
        <is>
          <t>Misclassifying AI-ready systems as AI-integrated platforms</t>
        </is>
      </c>
      <c r="H77" s="6" t="inlineStr">
        <is>
          <t>1</t>
        </is>
      </c>
      <c r="K77" s="5" t="inlineStr">
        <is>
          <t xml:space="preserve">; </t>
        </is>
      </c>
      <c r="M77" s="5" t="inlineStr">
        <is>
          <t>100.0</t>
        </is>
      </c>
      <c r="N77" s="5" t="inlineStr">
        <is>
          <t>YES</t>
        </is>
      </c>
    </row>
    <row r="78">
      <c r="A78" s="6" t="n">
        <v>432</v>
      </c>
      <c r="B78" s="5" t="inlineStr">
        <is>
          <t>S5</t>
        </is>
      </c>
      <c r="C78" s="5" t="inlineStr">
        <is>
          <t>13: • Biomaterial and tissue-platform standardization systems</t>
        </is>
      </c>
      <c r="D78" s="5" t="inlineStr">
        <is>
          <t>Optimization and Standardization of Stable De-Epidermized Dermis (DED) Models for Functional Evaluation of Cutaneous Cell Therapies</t>
        </is>
      </c>
      <c r="E78" s="5" t="n"/>
      <c r="G78" s="5" t="inlineStr">
        <is>
          <t>Overstating chronic wound or DFU specificity</t>
        </is>
      </c>
      <c r="H78" s="6" t="inlineStr">
        <is>
          <t>1</t>
        </is>
      </c>
      <c r="K78" s="5" t="inlineStr">
        <is>
          <t xml:space="preserve">; </t>
        </is>
      </c>
      <c r="M78" s="5" t="inlineStr">
        <is>
          <t>100.0</t>
        </is>
      </c>
      <c r="N78" s="5" t="inlineStr">
        <is>
          <t>YES</t>
        </is>
      </c>
    </row>
    <row r="79">
      <c r="A79" s="6" t="n">
        <v>432</v>
      </c>
      <c r="B79" s="5" t="inlineStr">
        <is>
          <t>S5</t>
        </is>
      </c>
      <c r="C79" s="5" t="inlineStr">
        <is>
          <t>13: • Biomaterial and tissue-platform standardization systems</t>
        </is>
      </c>
      <c r="D79" s="5" t="inlineStr">
        <is>
          <t>Optimization and Standardization of Stable De-Epidermized Dermis (DED) Models for Functional Evaluation of Cutaneous Cell Therapies</t>
        </is>
      </c>
      <c r="E79" s="5" t="n"/>
      <c r="G79" s="5" t="inlineStr">
        <is>
          <t>Treating assay, endpoint, or measurement tools as full discovery platforms</t>
        </is>
      </c>
      <c r="H79" s="6" t="inlineStr">
        <is>
          <t>1</t>
        </is>
      </c>
      <c r="K79" s="5" t="inlineStr">
        <is>
          <t xml:space="preserve">; </t>
        </is>
      </c>
      <c r="M79" s="5" t="inlineStr">
        <is>
          <t>100.0</t>
        </is>
      </c>
      <c r="N79" s="5" t="inlineStr">
        <is>
          <t>YES</t>
        </is>
      </c>
    </row>
    <row r="80">
      <c r="A80" s="6" t="n">
        <v>451</v>
      </c>
      <c r="B80" s="5" t="inlineStr">
        <is>
          <t>S5</t>
        </is>
      </c>
      <c r="C80" s="5" t="inlineStr">
        <is>
          <t>14: • AI-assisted wound endpoint standardization for clinical and preclinical studies</t>
        </is>
      </c>
      <c r="D80" s="5" t="inlineStr">
        <is>
          <t>Towards objective In-Vitro wound healing assessment with segment anything: A large evaluation of interactive and automated pipelines</t>
        </is>
      </c>
      <c r="E80" s="5" t="inlineStr">
        <is>
          <t>10.1016/j.cmpbup.2025.100224</t>
        </is>
      </c>
      <c r="G80" s="5" t="inlineStr">
        <is>
          <t>Overstating chronic wound or DFU specificity</t>
        </is>
      </c>
      <c r="H80" s="6" t="inlineStr">
        <is>
          <t>1</t>
        </is>
      </c>
      <c r="K80" s="5" t="inlineStr">
        <is>
          <t xml:space="preserve">; </t>
        </is>
      </c>
      <c r="M80" s="5" t="inlineStr">
        <is>
          <t>100.0</t>
        </is>
      </c>
      <c r="N80" s="5" t="inlineStr">
        <is>
          <t>YES</t>
        </is>
      </c>
    </row>
    <row r="81">
      <c r="A81" s="6" t="n">
        <v>451</v>
      </c>
      <c r="B81" s="5" t="inlineStr">
        <is>
          <t>S5</t>
        </is>
      </c>
      <c r="C81" s="5" t="inlineStr">
        <is>
          <t>14: • AI-assisted wound endpoint standardization for clinical and preclinical studies</t>
        </is>
      </c>
      <c r="D81" s="5" t="inlineStr">
        <is>
          <t>Towards objective In-Vitro wound healing assessment with segment anything: A large evaluation of interactive and automated pipelines</t>
        </is>
      </c>
      <c r="E81" t="inlineStr">
        <is>
          <t>10.1016/j.cmpbup.2025.100224</t>
        </is>
      </c>
      <c r="G81" s="5" t="inlineStr">
        <is>
          <t>Equating simplified endpoints with true wound repair</t>
        </is>
      </c>
      <c r="H81" s="6" t="inlineStr">
        <is>
          <t>1</t>
        </is>
      </c>
      <c r="K81" s="5" t="inlineStr">
        <is>
          <t xml:space="preserve">; </t>
        </is>
      </c>
      <c r="M81" s="5" t="inlineStr">
        <is>
          <t>100.0</t>
        </is>
      </c>
      <c r="N81" s="5" t="inlineStr">
        <is>
          <t>YES</t>
        </is>
      </c>
    </row>
    <row r="82">
      <c r="A82" s="6" t="n">
        <v>452</v>
      </c>
      <c r="B82" s="5" t="inlineStr">
        <is>
          <t>S5</t>
        </is>
      </c>
      <c r="C82" s="5" t="inlineStr">
        <is>
          <t>14: • AI-assisted wound endpoint standardization for clinical and preclinical studies</t>
        </is>
      </c>
      <c r="D82" s="5" t="inlineStr">
        <is>
          <t>Development of a method for clinical evaluation of artificial intelligence–based digital wound assessment tools</t>
        </is>
      </c>
      <c r="G82" s="5" t="inlineStr">
        <is>
          <t>Treating assay, endpoint, or measurement tools as full discovery platforms</t>
        </is>
      </c>
      <c r="H82" s="6" t="inlineStr">
        <is>
          <t>1</t>
        </is>
      </c>
      <c r="K82" s="5" t="inlineStr">
        <is>
          <t xml:space="preserve">; </t>
        </is>
      </c>
      <c r="M82" s="5" t="inlineStr">
        <is>
          <t>100.0</t>
        </is>
      </c>
      <c r="N82" s="5" t="inlineStr">
        <is>
          <t>YES</t>
        </is>
      </c>
    </row>
    <row r="83">
      <c r="A83" s="6" t="n">
        <v>452</v>
      </c>
      <c r="B83" s="5" t="inlineStr">
        <is>
          <t>S5</t>
        </is>
      </c>
      <c r="C83" s="5" t="inlineStr">
        <is>
          <t>14: • AI-assisted wound endpoint standardization for clinical and preclinical studies</t>
        </is>
      </c>
      <c r="D83" s="5" t="inlineStr">
        <is>
          <t>Development of a method for clinical evaluation of artificial intelligence–based digital wound assessment tools</t>
        </is>
      </c>
      <c r="G83" s="5" t="inlineStr">
        <is>
          <t>Equating simplified endpoints with true wound repair</t>
        </is>
      </c>
      <c r="H83" s="6" t="inlineStr">
        <is>
          <t>1</t>
        </is>
      </c>
      <c r="K83" s="5" t="inlineStr">
        <is>
          <t xml:space="preserve">; </t>
        </is>
      </c>
      <c r="M83" s="5" t="inlineStr">
        <is>
          <t>100.0</t>
        </is>
      </c>
      <c r="N83" s="5" t="inlineStr">
        <is>
          <t>YES</t>
        </is>
      </c>
    </row>
    <row r="84">
      <c r="A84" s="6" t="n">
        <v>453</v>
      </c>
      <c r="B84" s="5" t="inlineStr">
        <is>
          <t>S5</t>
        </is>
      </c>
      <c r="C84" s="5" t="inlineStr">
        <is>
          <t>14: • AI-assisted wound endpoint standardization for clinical and preclinical studies</t>
        </is>
      </c>
      <c r="D84" s="5" t="inlineStr">
        <is>
          <t>Automatic wound detection and size estimation using deep learning algorithms</t>
        </is>
      </c>
      <c r="G84" s="5" t="inlineStr">
        <is>
          <t>Treating assay, endpoint, or measurement tools as full discovery platforms</t>
        </is>
      </c>
      <c r="H84" s="6" t="inlineStr">
        <is>
          <t>1</t>
        </is>
      </c>
      <c r="K84" s="5" t="inlineStr">
        <is>
          <t xml:space="preserve">; </t>
        </is>
      </c>
      <c r="M84" s="5" t="inlineStr">
        <is>
          <t>100.0</t>
        </is>
      </c>
      <c r="N84" s="5" t="inlineStr">
        <is>
          <t>YES</t>
        </is>
      </c>
    </row>
    <row r="85">
      <c r="A85" s="6" t="n">
        <v>453</v>
      </c>
      <c r="B85" s="5" t="inlineStr">
        <is>
          <t>S5</t>
        </is>
      </c>
      <c r="C85" s="5" t="inlineStr">
        <is>
          <t>14: • AI-assisted wound endpoint standardization for clinical and preclinical studies</t>
        </is>
      </c>
      <c r="D85" s="5" t="inlineStr">
        <is>
          <t>Automatic wound detection and size estimation using deep learning algorithms</t>
        </is>
      </c>
      <c r="G85" s="5" t="inlineStr">
        <is>
          <t>Equating simplified endpoints with true wound repair</t>
        </is>
      </c>
      <c r="H85" s="6" t="inlineStr">
        <is>
          <t>1</t>
        </is>
      </c>
      <c r="K85" s="5" t="inlineStr">
        <is>
          <t xml:space="preserve">; </t>
        </is>
      </c>
      <c r="M85" s="5" t="inlineStr">
        <is>
          <t>100.0</t>
        </is>
      </c>
      <c r="N85" s="5" t="inlineStr">
        <is>
          <t>YES</t>
        </is>
      </c>
    </row>
    <row r="86">
      <c r="A86" s="6" t="n">
        <v>454</v>
      </c>
      <c r="B86" s="5" t="inlineStr">
        <is>
          <t>S5</t>
        </is>
      </c>
      <c r="C86" s="5" t="inlineStr">
        <is>
          <t>14: • AI-assisted wound endpoint standardization for clinical and preclinical studies</t>
        </is>
      </c>
      <c r="D86" s="5" t="inlineStr">
        <is>
          <t>Convolutional Neural Networks in Chronic Wound Segmentation and Tissue Classification Using Real‐World Images</t>
        </is>
      </c>
      <c r="G86" s="5" t="inlineStr">
        <is>
          <t>Overstating clinical validation or therapeutic efficacy</t>
        </is>
      </c>
      <c r="H86" s="6" t="inlineStr">
        <is>
          <t>1</t>
        </is>
      </c>
      <c r="K86" s="5" t="inlineStr">
        <is>
          <t xml:space="preserve">; </t>
        </is>
      </c>
      <c r="M86" s="5" t="inlineStr">
        <is>
          <t>100.0</t>
        </is>
      </c>
      <c r="N86" s="5" t="inlineStr">
        <is>
          <t>YES</t>
        </is>
      </c>
    </row>
    <row r="87">
      <c r="A87" s="6" t="n">
        <v>454</v>
      </c>
      <c r="B87" s="5" t="inlineStr">
        <is>
          <t>S5</t>
        </is>
      </c>
      <c r="C87" s="5" t="inlineStr">
        <is>
          <t>14: • AI-assisted wound endpoint standardization for clinical and preclinical studies</t>
        </is>
      </c>
      <c r="D87" s="5" t="inlineStr">
        <is>
          <t>Convolutional Neural Networks in Chronic Wound Segmentation and Tissue Classification Using Real‐World Images</t>
        </is>
      </c>
      <c r="G87" s="5" t="inlineStr">
        <is>
          <t>Treating assay, endpoint, or measurement tools as full discovery platforms</t>
        </is>
      </c>
      <c r="H87" s="6" t="inlineStr">
        <is>
          <t>1</t>
        </is>
      </c>
      <c r="K87" s="5" t="inlineStr">
        <is>
          <t xml:space="preserve">; </t>
        </is>
      </c>
      <c r="M87" s="5" t="inlineStr">
        <is>
          <t>100.0</t>
        </is>
      </c>
      <c r="N87" s="5" t="inlineStr">
        <is>
          <t>YES</t>
        </is>
      </c>
    </row>
    <row r="88">
      <c r="A88" s="6" t="n">
        <v>454</v>
      </c>
      <c r="B88" s="5" t="inlineStr">
        <is>
          <t>S5</t>
        </is>
      </c>
      <c r="C88" s="5" t="inlineStr">
        <is>
          <t>14: • AI-assisted wound endpoint standardization for clinical and preclinical studies</t>
        </is>
      </c>
      <c r="D88" s="5" t="inlineStr">
        <is>
          <t>Convolutional Neural Networks in Chronic Wound Segmentation and Tissue Classification Using Real‐World Images</t>
        </is>
      </c>
      <c r="G88" s="5" t="inlineStr">
        <is>
          <t>Overstating predictive or decision-support capability</t>
        </is>
      </c>
      <c r="H88" s="6" t="inlineStr">
        <is>
          <t>1</t>
        </is>
      </c>
      <c r="K88" s="5" t="inlineStr">
        <is>
          <t xml:space="preserve">; </t>
        </is>
      </c>
      <c r="M88" s="5" t="inlineStr">
        <is>
          <t>100.0</t>
        </is>
      </c>
      <c r="N88" s="5" t="inlineStr">
        <is>
          <t>YES</t>
        </is>
      </c>
    </row>
    <row r="89">
      <c r="A89" s="6" t="n">
        <v>454</v>
      </c>
      <c r="B89" s="5" t="inlineStr">
        <is>
          <t>S5</t>
        </is>
      </c>
      <c r="C89" s="5" t="inlineStr">
        <is>
          <t>14: • AI-assisted wound endpoint standardization for clinical and preclinical studies</t>
        </is>
      </c>
      <c r="D89" s="5" t="inlineStr">
        <is>
          <t>Convolutional Neural Networks in Chronic Wound Segmentation and Tissue Classification Using Real‐World Images</t>
        </is>
      </c>
      <c r="G89" s="5" t="inlineStr">
        <is>
          <t>Equating simplified endpoints with true wound repair</t>
        </is>
      </c>
      <c r="H89" s="6" t="inlineStr">
        <is>
          <t>1</t>
        </is>
      </c>
      <c r="K89" s="5" t="inlineStr">
        <is>
          <t xml:space="preserve">; </t>
        </is>
      </c>
      <c r="M89" s="5" t="inlineStr">
        <is>
          <t>100.0</t>
        </is>
      </c>
      <c r="N89" s="5" t="inlineStr">
        <is>
          <t>YES</t>
        </is>
      </c>
    </row>
    <row r="90">
      <c r="A90" s="6" t="n">
        <v>460</v>
      </c>
      <c r="B90" s="5" t="inlineStr">
        <is>
          <t>S5</t>
        </is>
      </c>
      <c r="C90" s="5" t="inlineStr">
        <is>
          <t>14: • AI-assisted wound endpoint standardization for clinical and preclinical studies</t>
        </is>
      </c>
      <c r="D90" s="5" t="inlineStr">
        <is>
          <t>Enhancing chronic wound assessment through agreement analysis and tissue segmentation</t>
        </is>
      </c>
      <c r="E90" s="5" t="n"/>
      <c r="G90" s="5" t="inlineStr">
        <is>
          <t>Overstating chronic wound or DFU specificity</t>
        </is>
      </c>
      <c r="H90" s="6" t="inlineStr">
        <is>
          <t>1</t>
        </is>
      </c>
      <c r="K90" s="5" t="inlineStr">
        <is>
          <t xml:space="preserve">; </t>
        </is>
      </c>
      <c r="M90" s="5" t="inlineStr">
        <is>
          <t>100.0</t>
        </is>
      </c>
      <c r="N90" s="5" t="inlineStr">
        <is>
          <t>YES</t>
        </is>
      </c>
    </row>
    <row r="91">
      <c r="A91" s="6" t="n">
        <v>460</v>
      </c>
      <c r="B91" s="5" t="inlineStr">
        <is>
          <t>S5</t>
        </is>
      </c>
      <c r="C91" s="5" t="inlineStr">
        <is>
          <t>14: • AI-assisted wound endpoint standardization for clinical and preclinical studies</t>
        </is>
      </c>
      <c r="D91" s="5" t="inlineStr">
        <is>
          <t>Enhancing chronic wound assessment through agreement analysis and tissue segmentation</t>
        </is>
      </c>
      <c r="E91" s="5" t="n"/>
      <c r="G91" s="5" t="inlineStr">
        <is>
          <t>Overstating predictive or decision-support capability</t>
        </is>
      </c>
      <c r="H91" s="6" t="inlineStr">
        <is>
          <t>1</t>
        </is>
      </c>
      <c r="K91" s="5" t="inlineStr">
        <is>
          <t xml:space="preserve">; </t>
        </is>
      </c>
      <c r="M91" s="5" t="inlineStr">
        <is>
          <t>100.0</t>
        </is>
      </c>
      <c r="N91" s="5" t="inlineStr">
        <is>
          <t>YES</t>
        </is>
      </c>
    </row>
    <row r="92">
      <c r="A92" s="6" t="n">
        <v>460</v>
      </c>
      <c r="B92" s="5" t="inlineStr">
        <is>
          <t>S5</t>
        </is>
      </c>
      <c r="C92" s="5" t="inlineStr">
        <is>
          <t>14: • AI-assisted wound endpoint standardization for clinical and preclinical studies</t>
        </is>
      </c>
      <c r="D92" s="5" t="inlineStr">
        <is>
          <t>Enhancing chronic wound assessment through agreement analysis and tissue segmentation</t>
        </is>
      </c>
      <c r="G92" s="5" t="inlineStr">
        <is>
          <t>Equating simplified endpoints with true wound repair</t>
        </is>
      </c>
      <c r="H92" s="6" t="inlineStr">
        <is>
          <t>1</t>
        </is>
      </c>
      <c r="K92" s="5" t="inlineStr">
        <is>
          <t xml:space="preserve">; </t>
        </is>
      </c>
      <c r="M92" s="5" t="inlineStr">
        <is>
          <t>100.0</t>
        </is>
      </c>
      <c r="N92" s="5" t="inlineStr">
        <is>
          <t>YES</t>
        </is>
      </c>
    </row>
    <row r="93">
      <c r="A93" s="6" t="n">
        <v>468</v>
      </c>
      <c r="B93" s="5" t="inlineStr">
        <is>
          <t>S5</t>
        </is>
      </c>
      <c r="C93" s="5" t="inlineStr">
        <is>
          <t>16: • Wearable infection and wound-state monitoring systems</t>
        </is>
      </c>
      <c r="D93" s="5" t="inlineStr">
        <is>
          <t>Wearable battery-free smart bandage with peptide functionalized biosensors based on MXene for bacterial wound infection detection</t>
        </is>
      </c>
      <c r="E93" t="inlineStr">
        <is>
          <t>10.1016/j.snb.2023.133598</t>
        </is>
      </c>
      <c r="G93" s="5" t="inlineStr">
        <is>
          <t>Overstating clinical validation or therapeutic efficacy</t>
        </is>
      </c>
      <c r="H93" s="6" t="inlineStr">
        <is>
          <t>1</t>
        </is>
      </c>
      <c r="K93" s="5" t="inlineStr">
        <is>
          <t xml:space="preserve">; </t>
        </is>
      </c>
      <c r="M93" s="5" t="inlineStr">
        <is>
          <t>100.0</t>
        </is>
      </c>
      <c r="N93" s="5" t="inlineStr">
        <is>
          <t>YES</t>
        </is>
      </c>
    </row>
    <row r="94">
      <c r="A94" s="6" t="n">
        <v>468</v>
      </c>
      <c r="B94" s="5" t="inlineStr">
        <is>
          <t>S5</t>
        </is>
      </c>
      <c r="C94" s="5" t="inlineStr">
        <is>
          <t>16: • Wearable infection and wound-state monitoring systems</t>
        </is>
      </c>
      <c r="D94" s="5" t="inlineStr">
        <is>
          <t>Wearable battery-free smart bandage with peptide functionalized biosensors based on MXene for bacterial wound infection detection</t>
        </is>
      </c>
      <c r="E94" t="inlineStr">
        <is>
          <t>10.1016/j.snb.2023.133598</t>
        </is>
      </c>
      <c r="G94" s="5" t="inlineStr">
        <is>
          <t>Overstating chronic wound or DFU specificity</t>
        </is>
      </c>
      <c r="H94" s="6" t="inlineStr">
        <is>
          <t>1</t>
        </is>
      </c>
      <c r="K94" s="5" t="inlineStr">
        <is>
          <t xml:space="preserve">; </t>
        </is>
      </c>
      <c r="M94" s="5" t="inlineStr">
        <is>
          <t>100.0</t>
        </is>
      </c>
      <c r="N94" s="5" t="inlineStr">
        <is>
          <t>YES</t>
        </is>
      </c>
    </row>
    <row r="95">
      <c r="A95" s="6" t="n">
        <v>468</v>
      </c>
      <c r="B95" s="5" t="inlineStr">
        <is>
          <t>S5</t>
        </is>
      </c>
      <c r="C95" s="5" t="inlineStr">
        <is>
          <t>16: • Wearable infection and wound-state monitoring systems</t>
        </is>
      </c>
      <c r="D95" s="5" t="inlineStr">
        <is>
          <t>Wearable battery-free smart bandage with peptide functionalized biosensors based on MXene for bacterial wound infection detection</t>
        </is>
      </c>
      <c r="E95" t="inlineStr">
        <is>
          <t>10.1016/j.snb.2023.133598</t>
        </is>
      </c>
      <c r="G95" s="5" t="inlineStr">
        <is>
          <t>Overstating smart dressing or sensing as definitive diagnosis or therapy</t>
        </is>
      </c>
      <c r="H95" s="6" t="inlineStr">
        <is>
          <t>1</t>
        </is>
      </c>
      <c r="K95" s="5" t="inlineStr">
        <is>
          <t xml:space="preserve">; </t>
        </is>
      </c>
      <c r="M95" s="5" t="inlineStr">
        <is>
          <t>100.0</t>
        </is>
      </c>
      <c r="N95" s="5" t="inlineStr">
        <is>
          <t>YES</t>
        </is>
      </c>
    </row>
    <row r="96">
      <c r="A96" s="6" t="n">
        <v>469</v>
      </c>
      <c r="B96" s="5" t="inlineStr">
        <is>
          <t>S5</t>
        </is>
      </c>
      <c r="C96" s="5" t="inlineStr">
        <is>
          <t>16: • Wearable infection and wound-state monitoring systems</t>
        </is>
      </c>
      <c r="D96" s="5" t="inlineStr">
        <is>
          <t>In vivo validation of a smart sensor-enabled dressing for remote wound monitoring</t>
        </is>
      </c>
      <c r="G96" s="5" t="inlineStr">
        <is>
          <t>Overstating clinical validation or therapeutic efficacy</t>
        </is>
      </c>
      <c r="H96" s="6" t="inlineStr">
        <is>
          <t>1</t>
        </is>
      </c>
      <c r="K96" s="5" t="inlineStr">
        <is>
          <t xml:space="preserve">; </t>
        </is>
      </c>
      <c r="M96" s="5" t="inlineStr">
        <is>
          <t>100.0</t>
        </is>
      </c>
      <c r="N96" s="5" t="inlineStr">
        <is>
          <t>YES</t>
        </is>
      </c>
    </row>
    <row r="97">
      <c r="A97" s="6" t="n">
        <v>469</v>
      </c>
      <c r="B97" s="5" t="inlineStr">
        <is>
          <t>S5</t>
        </is>
      </c>
      <c r="C97" s="5" t="inlineStr">
        <is>
          <t>16: • Wearable infection and wound-state monitoring systems</t>
        </is>
      </c>
      <c r="D97" s="5" t="inlineStr">
        <is>
          <t>In vivo validation of a smart sensor-enabled dressing for remote wound monitoring</t>
        </is>
      </c>
      <c r="G97" s="5" t="inlineStr">
        <is>
          <t>Overstating smart dressing or sensing as definitive diagnosis or therapy</t>
        </is>
      </c>
      <c r="H97" s="6" t="inlineStr">
        <is>
          <t>1</t>
        </is>
      </c>
      <c r="K97" s="5" t="inlineStr">
        <is>
          <t xml:space="preserve">; </t>
        </is>
      </c>
      <c r="M97" s="5" t="inlineStr">
        <is>
          <t>100.0</t>
        </is>
      </c>
      <c r="N97" s="5" t="inlineStr">
        <is>
          <t>YES</t>
        </is>
      </c>
    </row>
    <row r="98">
      <c r="A98" s="6" t="n">
        <v>470</v>
      </c>
      <c r="B98" s="5" t="inlineStr">
        <is>
          <t>S5</t>
        </is>
      </c>
      <c r="C98" s="5" t="inlineStr">
        <is>
          <t>16: • Wearable infection and wound-state monitoring systems</t>
        </is>
      </c>
      <c r="D98" s="5" t="inlineStr">
        <is>
          <t>Smart dual‐sensor wound dressing for monitoring cutaneous wounds</t>
        </is>
      </c>
      <c r="G98" s="5" t="inlineStr">
        <is>
          <t>Overstating clinical validation or therapeutic efficacy</t>
        </is>
      </c>
      <c r="H98" s="6" t="inlineStr">
        <is>
          <t>1</t>
        </is>
      </c>
      <c r="K98" s="5" t="inlineStr">
        <is>
          <t xml:space="preserve">; </t>
        </is>
      </c>
      <c r="M98" s="5" t="inlineStr">
        <is>
          <t>100.0</t>
        </is>
      </c>
      <c r="N98" s="5" t="inlineStr">
        <is>
          <t>YES</t>
        </is>
      </c>
    </row>
    <row r="99">
      <c r="A99" s="6" t="n">
        <v>470</v>
      </c>
      <c r="B99" s="5" t="inlineStr">
        <is>
          <t>S5</t>
        </is>
      </c>
      <c r="C99" s="5" t="inlineStr">
        <is>
          <t>16: • Wearable infection and wound-state monitoring systems</t>
        </is>
      </c>
      <c r="D99" s="5" t="inlineStr">
        <is>
          <t>Smart dual‐sensor wound dressing for monitoring cutaneous wounds</t>
        </is>
      </c>
      <c r="G99" s="5" t="inlineStr">
        <is>
          <t>Overstating chronic wound or DFU specificity</t>
        </is>
      </c>
      <c r="H99" s="6" t="inlineStr">
        <is>
          <t>1</t>
        </is>
      </c>
      <c r="K99" s="5" t="inlineStr">
        <is>
          <t xml:space="preserve">; </t>
        </is>
      </c>
      <c r="M99" s="5" t="inlineStr">
        <is>
          <t>100.0</t>
        </is>
      </c>
      <c r="N99" s="5" t="inlineStr">
        <is>
          <t>YES</t>
        </is>
      </c>
    </row>
    <row r="100">
      <c r="A100" s="6" t="n">
        <v>470</v>
      </c>
      <c r="B100" s="5" t="inlineStr">
        <is>
          <t>S5</t>
        </is>
      </c>
      <c r="C100" s="5" t="inlineStr">
        <is>
          <t>16: • Wearable infection and wound-state monitoring systems</t>
        </is>
      </c>
      <c r="D100" s="5" t="inlineStr">
        <is>
          <t>Smart dual‐sensor wound dressing for monitoring cutaneous wounds</t>
        </is>
      </c>
      <c r="G100" s="5" t="inlineStr">
        <is>
          <t>Overstating smart dressing or sensing as definitive diagnosis or therapy</t>
        </is>
      </c>
      <c r="H100" s="6" t="inlineStr">
        <is>
          <t>1</t>
        </is>
      </c>
      <c r="K100" s="5" t="inlineStr">
        <is>
          <t xml:space="preserve">; </t>
        </is>
      </c>
      <c r="M100" s="5" t="inlineStr">
        <is>
          <t>100.0</t>
        </is>
      </c>
      <c r="N100" s="5" t="inlineStr">
        <is>
          <t>YES</t>
        </is>
      </c>
    </row>
    <row r="101">
      <c r="A101" s="6" t="n">
        <v>474</v>
      </c>
      <c r="B101" s="5" t="inlineStr">
        <is>
          <t>S5</t>
        </is>
      </c>
      <c r="C101" s="5" t="inlineStr">
        <is>
          <t>17: • Closed-loop bioelectronic wound-management platforms</t>
        </is>
      </c>
      <c r="D101" s="5" t="inlineStr">
        <is>
          <t>Wireless intelligent patch for closed‐loop in situ wound management</t>
        </is>
      </c>
      <c r="E101" t="inlineStr">
        <is>
          <t>10.1002/advs.202400451</t>
        </is>
      </c>
      <c r="G101" s="5" t="inlineStr">
        <is>
          <t>Overstating clinical validation or therapeutic efficacy</t>
        </is>
      </c>
      <c r="H101" s="6" t="inlineStr">
        <is>
          <t>1</t>
        </is>
      </c>
      <c r="K101" s="5" t="inlineStr">
        <is>
          <t xml:space="preserve">; </t>
        </is>
      </c>
      <c r="M101" s="5" t="inlineStr">
        <is>
          <t>100.0</t>
        </is>
      </c>
      <c r="N101" s="5" t="inlineStr">
        <is>
          <t>YES</t>
        </is>
      </c>
    </row>
    <row r="102">
      <c r="A102" s="6" t="n">
        <v>474</v>
      </c>
      <c r="B102" s="5" t="inlineStr">
        <is>
          <t>S5</t>
        </is>
      </c>
      <c r="C102" s="5" t="inlineStr">
        <is>
          <t>17: • Closed-loop bioelectronic wound-management platforms</t>
        </is>
      </c>
      <c r="D102" s="5" t="inlineStr">
        <is>
          <t>Wireless intelligent patch for closed‐loop in situ wound management</t>
        </is>
      </c>
      <c r="E102" t="inlineStr">
        <is>
          <t>10.1002/advs.202400451</t>
        </is>
      </c>
      <c r="G102" s="5" t="inlineStr">
        <is>
          <t>Overstating chronic wound or DFU specificity</t>
        </is>
      </c>
      <c r="H102" s="6" t="inlineStr">
        <is>
          <t>1</t>
        </is>
      </c>
      <c r="K102" s="5" t="inlineStr">
        <is>
          <t xml:space="preserve">; </t>
        </is>
      </c>
      <c r="M102" s="5" t="inlineStr">
        <is>
          <t>100.0</t>
        </is>
      </c>
      <c r="N102" s="5" t="inlineStr">
        <is>
          <t>YES</t>
        </is>
      </c>
    </row>
    <row r="103">
      <c r="A103" s="6" t="n">
        <v>474</v>
      </c>
      <c r="B103" s="5" t="inlineStr">
        <is>
          <t>S5</t>
        </is>
      </c>
      <c r="C103" s="5" t="inlineStr">
        <is>
          <t>17: • Closed-loop bioelectronic wound-management platforms</t>
        </is>
      </c>
      <c r="D103" s="5" t="inlineStr">
        <is>
          <t>Wireless intelligent patch for closed‐loop in situ wound management</t>
        </is>
      </c>
      <c r="E103" s="5" t="inlineStr">
        <is>
          <t>10.1002/advs.202400451</t>
        </is>
      </c>
      <c r="G103" s="5" t="inlineStr">
        <is>
          <t>Overstating smart dressing or sensing as definitive diagnosis or therapy</t>
        </is>
      </c>
      <c r="H103" s="6" t="inlineStr">
        <is>
          <t>1</t>
        </is>
      </c>
      <c r="K103" s="5" t="inlineStr">
        <is>
          <t xml:space="preserve">; </t>
        </is>
      </c>
      <c r="M103" s="5" t="inlineStr">
        <is>
          <t>100.0</t>
        </is>
      </c>
      <c r="N103" s="5" t="inlineStr">
        <is>
          <t>YES</t>
        </is>
      </c>
    </row>
    <row r="104">
      <c r="A104" s="6" t="n">
        <v>394</v>
      </c>
      <c r="B104" s="5" t="inlineStr">
        <is>
          <t>S5</t>
        </is>
      </c>
      <c r="C104" s="5" t="inlineStr">
        <is>
          <t>9: • Clinical image and trajectory-based wound digital twins</t>
        </is>
      </c>
      <c r="D104" s="5" t="inlineStr">
        <is>
          <t>Digital twin in healthcare: a study for chronic wound management</t>
        </is>
      </c>
      <c r="E104" s="5" t="inlineStr">
        <is>
          <t>10.1109/JBHI.2023.3299028</t>
        </is>
      </c>
      <c r="G104" s="5" t="inlineStr">
        <is>
          <t>Overstating clinical validation or therapeutic efficacy</t>
        </is>
      </c>
      <c r="H104" s="6" t="inlineStr">
        <is>
          <t>1</t>
        </is>
      </c>
      <c r="K104" s="5" t="inlineStr">
        <is>
          <t xml:space="preserve">; </t>
        </is>
      </c>
      <c r="M104" s="5" t="inlineStr">
        <is>
          <t>100.0</t>
        </is>
      </c>
      <c r="N104" s="5" t="inlineStr">
        <is>
          <t>YES</t>
        </is>
      </c>
    </row>
    <row r="105">
      <c r="A105" s="6" t="n">
        <v>394</v>
      </c>
      <c r="B105" s="5" t="inlineStr">
        <is>
          <t>S5</t>
        </is>
      </c>
      <c r="C105" s="5" t="inlineStr">
        <is>
          <t>9: • Clinical image and trajectory-based wound digital twins</t>
        </is>
      </c>
      <c r="D105" s="5" t="inlineStr">
        <is>
          <t>Digital twin in healthcare: a study for chronic wound management</t>
        </is>
      </c>
      <c r="E105" s="5" t="inlineStr">
        <is>
          <t>10.1109/JBHI.2023.3299028</t>
        </is>
      </c>
      <c r="G105" s="5" t="inlineStr">
        <is>
          <t>Overstating predictive or decision-support capability</t>
        </is>
      </c>
      <c r="H105" s="6" t="inlineStr">
        <is>
          <t>1</t>
        </is>
      </c>
      <c r="K105" s="5" t="inlineStr">
        <is>
          <t xml:space="preserve">; </t>
        </is>
      </c>
      <c r="M105" s="5" t="inlineStr">
        <is>
          <t>100.0</t>
        </is>
      </c>
      <c r="N105" s="5" t="inlineStr">
        <is>
          <t>YES</t>
        </is>
      </c>
    </row>
  </sheetData>
  <autoFilter ref="A1:N115"/>
  <pageMargins left="0.7" right="0.7" top="0.75" bottom="0.75" header="0.3" footer="0.3"/>
</worksheet>
</file>

<file path=xl/worksheets/sheet27.xml><?xml version="1.0" encoding="utf-8"?>
<worksheet xmlns="http://schemas.openxmlformats.org/spreadsheetml/2006/main">
  <sheetPr>
    <tabColor rgb="FF23678D"/>
    <outlinePr summaryBelow="1" summaryRight="1"/>
    <pageSetUpPr/>
  </sheetPr>
  <dimension ref="A1:B8"/>
  <sheetViews>
    <sheetView showGridLines="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56.7109375" customWidth="1" min="1" max="1"/>
    <col width="19.7109375" customWidth="1" min="2" max="2"/>
  </cols>
  <sheetData>
    <row r="1" ht="75" customHeight="1">
      <c r="A1" s="2" t="inlineStr">
        <is>
          <t>Coded domain/category</t>
        </is>
      </c>
      <c r="B1" s="2" t="inlineStr">
        <is>
          <t>Study count</t>
        </is>
      </c>
    </row>
    <row r="2">
      <c r="A2" s="5" t="inlineStr">
        <is>
          <t>Misclassifying AI-ready systems as AI-integrated platforms</t>
        </is>
      </c>
      <c r="B2" s="7" t="n">
        <f>COUNTIFS('Code_S11'!$G$2:$G$105,SUBSTITUTE($A2,CHAR(10)," "),'Code_S11'!$H$2:$H$105,1)</f>
        <v>23</v>
      </c>
    </row>
    <row r="3">
      <c r="A3" s="5" t="inlineStr">
        <is>
          <t>Overstating clinical validation or therapeutic efficacy</t>
        </is>
      </c>
      <c r="B3" s="7" t="n">
        <f>COUNTIFS('Code_S11'!$G$2:$G$105,SUBSTITUTE($A3,CHAR(10)," "),'Code_S11'!$H$2:$H$105,1)</f>
        <v>22</v>
      </c>
    </row>
    <row r="4">
      <c r="A4" s="5" t="inlineStr">
        <is>
          <t>Overstating chronic wound or DFU specificity</t>
        </is>
      </c>
      <c r="B4" s="7" t="n">
        <f>COUNTIFS('Code_S11'!$G$2:$G$105,SUBSTITUTE($A4,CHAR(10)," "),'Code_S11'!$H$2:$H$105,1)</f>
        <v>26</v>
      </c>
    </row>
    <row r="5">
      <c r="A5" s="5" t="inlineStr">
        <is>
          <t>Treating assay, endpoint, or measurement tools as full discovery platforms</t>
        </is>
      </c>
      <c r="B5" s="7" t="n">
        <f>COUNTIFS('Code_S11'!$G$2:$G$105,SUBSTITUTE($A5,CHAR(10)," "),'Code_S11'!$H$2:$H$105,1)</f>
        <v>17</v>
      </c>
    </row>
    <row r="6">
      <c r="A6" s="5" t="inlineStr">
        <is>
          <t>Overstating predictive or decision-support capability</t>
        </is>
      </c>
      <c r="B6" s="7" t="n">
        <f>COUNTIFS('Code_S11'!$G$2:$G$105,SUBSTITUTE($A6,CHAR(10)," "),'Code_S11'!$H$2:$H$105,1)</f>
        <v>7</v>
      </c>
    </row>
    <row r="7">
      <c r="A7" s="5" t="inlineStr">
        <is>
          <t>Overstating smart dressing or sensing as definitive diagnosis or therapy</t>
        </is>
      </c>
      <c r="B7" s="7" t="n">
        <f>COUNTIFS('Code_S11'!$G$2:$G$105,SUBSTITUTE($A7,CHAR(10)," "),'Code_S11'!$H$2:$H$105,1)</f>
        <v>4</v>
      </c>
    </row>
    <row r="8">
      <c r="A8" s="5" t="inlineStr">
        <is>
          <t>Equating simplified endpoints with true wound repair</t>
        </is>
      </c>
      <c r="B8" s="7" t="n">
        <f>COUNTIFS('Code_S11'!$G$2:$G$105,SUBSTITUTE($A8,CHAR(10)," "),'Code_S11'!$H$2:$H$105,1)</f>
        <v>5</v>
      </c>
    </row>
  </sheetData>
  <pageMargins left="0.7" right="0.7" top="0.75" bottom="0.75" header="0.3" footer="0.3"/>
</worksheet>
</file>

<file path=xl/worksheets/sheet28.xml><?xml version="1.0" encoding="utf-8"?>
<worksheet xmlns="http://schemas.openxmlformats.org/spreadsheetml/2006/main">
  <sheetPr>
    <tabColor rgb="FF1C906C"/>
    <outlinePr summaryBelow="1" summaryRight="1"/>
    <pageSetUpPr/>
  </sheetPr>
  <dimension ref="A1:G340"/>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52.7109375" customWidth="1" min="2" max="3"/>
    <col width="20.7109375" customWidth="1" min="4" max="6"/>
    <col width="78.7109375" customWidth="1" min="7" max="7"/>
  </cols>
  <sheetData>
    <row r="1" ht="45" customHeight="1">
      <c r="A1" s="2" t="inlineStr">
        <is>
          <t>Figure</t>
        </is>
      </c>
      <c r="B1" s="2" t="inlineStr">
        <is>
          <t>Group</t>
        </is>
      </c>
      <c r="C1" s="2" t="inlineStr">
        <is>
          <t>Category</t>
        </is>
      </c>
      <c r="D1" s="2" t="inlineStr">
        <is>
          <t>Expected from source coding</t>
        </is>
      </c>
      <c r="E1" s="2" t="inlineStr">
        <is>
          <t>Formula-driven matrix</t>
        </is>
      </c>
      <c r="F1" s="2" t="inlineStr">
        <is>
          <t>Agreement</t>
        </is>
      </c>
      <c r="G1" s="2" t="inlineStr">
        <is>
          <t>Qualification</t>
        </is>
      </c>
    </row>
    <row r="2">
      <c r="A2" s="5" t="inlineStr">
        <is>
          <t>S1</t>
        </is>
      </c>
      <c r="B2" s="5" t="inlineStr">
        <is>
          <t>2D early screening models</t>
        </is>
      </c>
      <c r="C2" s="5" t="inlineStr">
        <is>
          <t>Longitudinal/time-resolved</t>
        </is>
      </c>
      <c r="D2" s="6" t="n">
        <v>4</v>
      </c>
      <c r="E2" s="7" t="n">
        <f>'Matrix_S01'!B2</f>
        <v>4</v>
      </c>
      <c r="F2" s="8" t="str">
        <f>IF(ABS(D2-E2)&lt;0.00001,"PASS","MISMATCH")</f>
        <v>PASS</v>
      </c>
      <c r="G2" s="9" t="inlineStr">
        <is>
          <t>Selected-source descriptor only; numeric reproduction does not validate scientific classification.</t>
        </is>
      </c>
    </row>
    <row r="3">
      <c r="A3" s="5" t="inlineStr">
        <is>
          <t>S1</t>
        </is>
      </c>
      <c r="B3" s="5" t="inlineStr">
        <is>
          <t>2D early screening models</t>
        </is>
      </c>
      <c r="C3" s="5" t="inlineStr">
        <is>
          <t>Image/segmentation</t>
        </is>
      </c>
      <c r="D3" s="6" t="n">
        <v>5</v>
      </c>
      <c r="E3" s="7" t="n">
        <f>'Matrix_S01'!C2</f>
        <v>5</v>
      </c>
      <c r="F3" s="8" t="str">
        <f>IF(ABS(D3-E3)&lt;0.00001,"PASS","MISMATCH")</f>
        <v>PASS</v>
      </c>
      <c r="G3" s="9" t="inlineStr">
        <is>
          <t>Selected-source descriptor only; numeric reproduction does not validate scientific classification.</t>
        </is>
      </c>
    </row>
    <row r="4">
      <c r="A4" s="5" t="inlineStr">
        <is>
          <t>S1</t>
        </is>
      </c>
      <c r="B4" s="5" t="inlineStr">
        <is>
          <t>2D early screening models</t>
        </is>
      </c>
      <c r="C4" s="5" t="inlineStr">
        <is>
          <t>Barrier/permeability</t>
        </is>
      </c>
      <c r="D4" s="6" t="n">
        <v>0</v>
      </c>
      <c r="E4" s="7" t="n">
        <f>'Matrix_S01'!D2</f>
        <v>0</v>
      </c>
      <c r="F4" s="8" t="str">
        <f>IF(ABS(D4-E4)&lt;0.00001,"PASS","MISMATCH")</f>
        <v>PASS</v>
      </c>
      <c r="G4" s="9" t="inlineStr">
        <is>
          <t>Selected-source descriptor only; numeric reproduction does not validate scientific classification.</t>
        </is>
      </c>
    </row>
    <row r="5">
      <c r="A5" s="5" t="inlineStr">
        <is>
          <t>S1</t>
        </is>
      </c>
      <c r="B5" s="5" t="inlineStr">
        <is>
          <t>2D early screening models</t>
        </is>
      </c>
      <c r="C5" s="5" t="inlineStr">
        <is>
          <t>Molecular/inflammatory</t>
        </is>
      </c>
      <c r="D5" s="6" t="n">
        <v>4</v>
      </c>
      <c r="E5" s="7" t="n">
        <f>'Matrix_S01'!E2</f>
        <v>4</v>
      </c>
      <c r="F5" s="8" t="str">
        <f>IF(ABS(D5-E5)&lt;0.00001,"PASS","MISMATCH")</f>
        <v>PASS</v>
      </c>
      <c r="G5" s="9" t="inlineStr">
        <is>
          <t>Selected-source descriptor only; numeric reproduction does not validate scientific classification.</t>
        </is>
      </c>
    </row>
    <row r="6">
      <c r="A6" s="5" t="inlineStr">
        <is>
          <t>S1</t>
        </is>
      </c>
      <c r="B6" s="5" t="inlineStr">
        <is>
          <t>2D early screening models</t>
        </is>
      </c>
      <c r="C6" s="5" t="inlineStr">
        <is>
          <t>Histology/IHC</t>
        </is>
      </c>
      <c r="D6" s="6" t="n">
        <v>3</v>
      </c>
      <c r="E6" s="7" t="n">
        <f>'Matrix_S01'!F2</f>
        <v>3</v>
      </c>
      <c r="F6" s="8" t="str">
        <f>IF(ABS(D6-E6)&lt;0.00001,"PASS","MISMATCH")</f>
        <v>PASS</v>
      </c>
      <c r="G6" s="9" t="inlineStr">
        <is>
          <t>Selected-source descriptor only; numeric reproduction does not validate scientific classification.</t>
        </is>
      </c>
    </row>
    <row r="7">
      <c r="A7" s="5" t="inlineStr">
        <is>
          <t>S1</t>
        </is>
      </c>
      <c r="B7" s="5" t="inlineStr">
        <is>
          <t>2D early screening models</t>
        </is>
      </c>
      <c r="C7" s="5" t="inlineStr">
        <is>
          <t>Mechanical/material</t>
        </is>
      </c>
      <c r="D7" s="6" t="n">
        <v>0</v>
      </c>
      <c r="E7" s="7" t="n">
        <f>'Matrix_S01'!G2</f>
        <v>0</v>
      </c>
      <c r="F7" s="8" t="str">
        <f>IF(ABS(D7-E7)&lt;0.00001,"PASS","MISMATCH")</f>
        <v>PASS</v>
      </c>
      <c r="G7" s="9" t="inlineStr">
        <is>
          <t>Selected-source descriptor only; numeric reproduction does not validate scientific classification.</t>
        </is>
      </c>
    </row>
    <row r="8">
      <c r="A8" s="5" t="inlineStr">
        <is>
          <t>S1</t>
        </is>
      </c>
      <c r="B8" s="5" t="inlineStr">
        <is>
          <t>2D early screening models</t>
        </is>
      </c>
      <c r="C8" s="5" t="inlineStr">
        <is>
          <t>Vascular/perfusion</t>
        </is>
      </c>
      <c r="D8" s="6" t="n">
        <v>1</v>
      </c>
      <c r="E8" s="7" t="n">
        <f>'Matrix_S01'!H2</f>
        <v>1</v>
      </c>
      <c r="F8" s="8" t="str">
        <f>IF(ABS(D8-E8)&lt;0.00001,"PASS","MISMATCH")</f>
        <v>PASS</v>
      </c>
      <c r="G8" s="9" t="inlineStr">
        <is>
          <t>Selected-source descriptor only; numeric reproduction does not validate scientific classification.</t>
        </is>
      </c>
    </row>
    <row r="9">
      <c r="A9" s="5" t="inlineStr">
        <is>
          <t>S1</t>
        </is>
      </c>
      <c r="B9" s="5" t="inlineStr">
        <is>
          <t>3D epidermal models</t>
        </is>
      </c>
      <c r="C9" s="5" t="inlineStr">
        <is>
          <t>Longitudinal/time-resolved</t>
        </is>
      </c>
      <c r="D9" s="6" t="n">
        <v>0</v>
      </c>
      <c r="E9" s="7" t="n">
        <f>'Matrix_S01'!B3</f>
        <v>0</v>
      </c>
      <c r="F9" s="8" t="str">
        <f>IF(ABS(D9-E9)&lt;0.00001,"PASS","MISMATCH")</f>
        <v>PASS</v>
      </c>
      <c r="G9" s="9" t="inlineStr">
        <is>
          <t>Selected-source descriptor only; numeric reproduction does not validate scientific classification.</t>
        </is>
      </c>
    </row>
    <row r="10">
      <c r="A10" s="5" t="inlineStr">
        <is>
          <t>S1</t>
        </is>
      </c>
      <c r="B10" s="5" t="inlineStr">
        <is>
          <t>3D epidermal models</t>
        </is>
      </c>
      <c r="C10" s="5" t="inlineStr">
        <is>
          <t>Image/segmentation</t>
        </is>
      </c>
      <c r="D10" s="6" t="n">
        <v>5</v>
      </c>
      <c r="E10" s="7" t="n">
        <f>'Matrix_S01'!C3</f>
        <v>5</v>
      </c>
      <c r="F10" s="8" t="str">
        <f>IF(ABS(D10-E10)&lt;0.00001,"PASS","MISMATCH")</f>
        <v>PASS</v>
      </c>
      <c r="G10" s="9" t="inlineStr">
        <is>
          <t>Selected-source descriptor only; numeric reproduction does not validate scientific classification.</t>
        </is>
      </c>
    </row>
    <row r="11">
      <c r="A11" s="5" t="inlineStr">
        <is>
          <t>S1</t>
        </is>
      </c>
      <c r="B11" s="5" t="inlineStr">
        <is>
          <t>3D epidermal models</t>
        </is>
      </c>
      <c r="C11" s="5" t="inlineStr">
        <is>
          <t>Barrier/permeability</t>
        </is>
      </c>
      <c r="D11" s="6" t="n">
        <v>3</v>
      </c>
      <c r="E11" s="7" t="n">
        <f>'Matrix_S01'!D3</f>
        <v>3</v>
      </c>
      <c r="F11" s="8" t="str">
        <f>IF(ABS(D11-E11)&lt;0.00001,"PASS","MISMATCH")</f>
        <v>PASS</v>
      </c>
      <c r="G11" s="9" t="inlineStr">
        <is>
          <t>Selected-source descriptor only; numeric reproduction does not validate scientific classification.</t>
        </is>
      </c>
    </row>
    <row r="12">
      <c r="A12" s="5" t="inlineStr">
        <is>
          <t>S1</t>
        </is>
      </c>
      <c r="B12" s="5" t="inlineStr">
        <is>
          <t>3D epidermal models</t>
        </is>
      </c>
      <c r="C12" s="5" t="inlineStr">
        <is>
          <t>Molecular/inflammatory</t>
        </is>
      </c>
      <c r="D12" s="6" t="n">
        <v>1</v>
      </c>
      <c r="E12" s="7" t="n">
        <f>'Matrix_S01'!E3</f>
        <v>1</v>
      </c>
      <c r="F12" s="8" t="str">
        <f>IF(ABS(D12-E12)&lt;0.00001,"PASS","MISMATCH")</f>
        <v>PASS</v>
      </c>
      <c r="G12" s="9" t="inlineStr">
        <is>
          <t>Selected-source descriptor only; numeric reproduction does not validate scientific classification.</t>
        </is>
      </c>
    </row>
    <row r="13">
      <c r="A13" s="5" t="inlineStr">
        <is>
          <t>S1</t>
        </is>
      </c>
      <c r="B13" s="5" t="inlineStr">
        <is>
          <t>3D epidermal models</t>
        </is>
      </c>
      <c r="C13" s="5" t="inlineStr">
        <is>
          <t>Histology/IHC</t>
        </is>
      </c>
      <c r="D13" s="6" t="n">
        <v>5</v>
      </c>
      <c r="E13" s="7" t="n">
        <f>'Matrix_S01'!F3</f>
        <v>5</v>
      </c>
      <c r="F13" s="8" t="str">
        <f>IF(ABS(D13-E13)&lt;0.00001,"PASS","MISMATCH")</f>
        <v>PASS</v>
      </c>
      <c r="G13" s="9" t="inlineStr">
        <is>
          <t>Selected-source descriptor only; numeric reproduction does not validate scientific classification.</t>
        </is>
      </c>
    </row>
    <row r="14">
      <c r="A14" s="5" t="inlineStr">
        <is>
          <t>S1</t>
        </is>
      </c>
      <c r="B14" s="5" t="inlineStr">
        <is>
          <t>3D epidermal models</t>
        </is>
      </c>
      <c r="C14" s="5" t="inlineStr">
        <is>
          <t>Mechanical/material</t>
        </is>
      </c>
      <c r="D14" s="6" t="n">
        <v>0</v>
      </c>
      <c r="E14" s="7" t="n">
        <f>'Matrix_S01'!G3</f>
        <v>0</v>
      </c>
      <c r="F14" s="8" t="str">
        <f>IF(ABS(D14-E14)&lt;0.00001,"PASS","MISMATCH")</f>
        <v>PASS</v>
      </c>
      <c r="G14" s="9" t="inlineStr">
        <is>
          <t>Selected-source descriptor only; numeric reproduction does not validate scientific classification.</t>
        </is>
      </c>
    </row>
    <row r="15">
      <c r="A15" s="5" t="inlineStr">
        <is>
          <t>S1</t>
        </is>
      </c>
      <c r="B15" s="5" t="inlineStr">
        <is>
          <t>3D epidermal models</t>
        </is>
      </c>
      <c r="C15" s="5" t="inlineStr">
        <is>
          <t>Vascular/perfusion</t>
        </is>
      </c>
      <c r="D15" s="6" t="n">
        <v>0</v>
      </c>
      <c r="E15" s="7" t="n">
        <f>'Matrix_S01'!H3</f>
        <v>0</v>
      </c>
      <c r="F15" s="8" t="str">
        <f>IF(ABS(D15-E15)&lt;0.00001,"PASS","MISMATCH")</f>
        <v>PASS</v>
      </c>
      <c r="G15" s="9" t="inlineStr">
        <is>
          <t>Selected-source descriptor only; numeric reproduction does not validate scientific classification.</t>
        </is>
      </c>
    </row>
    <row r="16">
      <c r="A16" s="5" t="inlineStr">
        <is>
          <t>S1</t>
        </is>
      </c>
      <c r="B16" s="5" t="inlineStr">
        <is>
          <t>3D wound models</t>
        </is>
      </c>
      <c r="C16" s="5" t="inlineStr">
        <is>
          <t>Longitudinal/time-resolved</t>
        </is>
      </c>
      <c r="D16" s="6" t="n">
        <v>8</v>
      </c>
      <c r="E16" s="7" t="n">
        <f>'Matrix_S01'!B4</f>
        <v>8</v>
      </c>
      <c r="F16" s="8" t="str">
        <f>IF(ABS(D16-E16)&lt;0.00001,"PASS","MISMATCH")</f>
        <v>PASS</v>
      </c>
      <c r="G16" s="9" t="inlineStr">
        <is>
          <t>Selected-source descriptor only; numeric reproduction does not validate scientific classification.</t>
        </is>
      </c>
    </row>
    <row r="17">
      <c r="A17" s="5" t="inlineStr">
        <is>
          <t>S1</t>
        </is>
      </c>
      <c r="B17" s="5" t="inlineStr">
        <is>
          <t>3D wound models</t>
        </is>
      </c>
      <c r="C17" s="5" t="inlineStr">
        <is>
          <t>Image/segmentation</t>
        </is>
      </c>
      <c r="D17" s="6" t="n">
        <v>8</v>
      </c>
      <c r="E17" s="7" t="n">
        <f>'Matrix_S01'!C4</f>
        <v>8</v>
      </c>
      <c r="F17" s="8" t="str">
        <f>IF(ABS(D17-E17)&lt;0.00001,"PASS","MISMATCH")</f>
        <v>PASS</v>
      </c>
      <c r="G17" s="9" t="inlineStr">
        <is>
          <t>Selected-source descriptor only; numeric reproduction does not validate scientific classification.</t>
        </is>
      </c>
    </row>
    <row r="18">
      <c r="A18" s="5" t="inlineStr">
        <is>
          <t>S1</t>
        </is>
      </c>
      <c r="B18" s="5" t="inlineStr">
        <is>
          <t>3D wound models</t>
        </is>
      </c>
      <c r="C18" s="5" t="inlineStr">
        <is>
          <t>Barrier/permeability</t>
        </is>
      </c>
      <c r="D18" s="6" t="n">
        <v>1</v>
      </c>
      <c r="E18" s="7" t="n">
        <f>'Matrix_S01'!D4</f>
        <v>1</v>
      </c>
      <c r="F18" s="8" t="str">
        <f>IF(ABS(D18-E18)&lt;0.00001,"PASS","MISMATCH")</f>
        <v>PASS</v>
      </c>
      <c r="G18" s="9" t="inlineStr">
        <is>
          <t>Selected-source descriptor only; numeric reproduction does not validate scientific classification.</t>
        </is>
      </c>
    </row>
    <row r="19">
      <c r="A19" s="5" t="inlineStr">
        <is>
          <t>S1</t>
        </is>
      </c>
      <c r="B19" s="5" t="inlineStr">
        <is>
          <t>3D wound models</t>
        </is>
      </c>
      <c r="C19" s="5" t="inlineStr">
        <is>
          <t>Molecular/inflammatory</t>
        </is>
      </c>
      <c r="D19" s="6" t="n">
        <v>5</v>
      </c>
      <c r="E19" s="7" t="n">
        <f>'Matrix_S01'!E4</f>
        <v>5</v>
      </c>
      <c r="F19" s="8" t="str">
        <f>IF(ABS(D19-E19)&lt;0.00001,"PASS","MISMATCH")</f>
        <v>PASS</v>
      </c>
      <c r="G19" s="9" t="inlineStr">
        <is>
          <t>Selected-source descriptor only; numeric reproduction does not validate scientific classification.</t>
        </is>
      </c>
    </row>
    <row r="20">
      <c r="A20" s="5" t="inlineStr">
        <is>
          <t>S1</t>
        </is>
      </c>
      <c r="B20" s="5" t="inlineStr">
        <is>
          <t>3D wound models</t>
        </is>
      </c>
      <c r="C20" s="5" t="inlineStr">
        <is>
          <t>Histology/IHC</t>
        </is>
      </c>
      <c r="D20" s="6" t="n">
        <v>7</v>
      </c>
      <c r="E20" s="7" t="n">
        <f>'Matrix_S01'!F4</f>
        <v>7</v>
      </c>
      <c r="F20" s="8" t="str">
        <f>IF(ABS(D20-E20)&lt;0.00001,"PASS","MISMATCH")</f>
        <v>PASS</v>
      </c>
      <c r="G20" s="9" t="inlineStr">
        <is>
          <t>Selected-source descriptor only; numeric reproduction does not validate scientific classification.</t>
        </is>
      </c>
    </row>
    <row r="21">
      <c r="A21" s="5" t="inlineStr">
        <is>
          <t>S1</t>
        </is>
      </c>
      <c r="B21" s="5" t="inlineStr">
        <is>
          <t>3D wound models</t>
        </is>
      </c>
      <c r="C21" s="5" t="inlineStr">
        <is>
          <t>Mechanical/material</t>
        </is>
      </c>
      <c r="D21" s="6" t="n">
        <v>2</v>
      </c>
      <c r="E21" s="7" t="n">
        <f>'Matrix_S01'!G4</f>
        <v>2</v>
      </c>
      <c r="F21" s="8" t="str">
        <f>IF(ABS(D21-E21)&lt;0.00001,"PASS","MISMATCH")</f>
        <v>PASS</v>
      </c>
      <c r="G21" s="9" t="inlineStr">
        <is>
          <t>Selected-source descriptor only; numeric reproduction does not validate scientific classification.</t>
        </is>
      </c>
    </row>
    <row r="22">
      <c r="A22" s="5" t="inlineStr">
        <is>
          <t>S1</t>
        </is>
      </c>
      <c r="B22" s="5" t="inlineStr">
        <is>
          <t>3D wound models</t>
        </is>
      </c>
      <c r="C22" s="5" t="inlineStr">
        <is>
          <t>Vascular/perfusion</t>
        </is>
      </c>
      <c r="D22" s="6" t="n">
        <v>2</v>
      </c>
      <c r="E22" s="7" t="n">
        <f>'Matrix_S01'!H4</f>
        <v>2</v>
      </c>
      <c r="F22" s="8" t="str">
        <f>IF(ABS(D22-E22)&lt;0.00001,"PASS","MISMATCH")</f>
        <v>PASS</v>
      </c>
      <c r="G22" s="9" t="inlineStr">
        <is>
          <t>Selected-source descriptor only; numeric reproduction does not validate scientific classification.</t>
        </is>
      </c>
    </row>
    <row r="23">
      <c r="A23" s="5" t="inlineStr">
        <is>
          <t>S1</t>
        </is>
      </c>
      <c r="B23" s="5" t="inlineStr">
        <is>
          <t>Bioprinted models</t>
        </is>
      </c>
      <c r="C23" s="5" t="inlineStr">
        <is>
          <t>Longitudinal/time-resolved</t>
        </is>
      </c>
      <c r="D23" s="6" t="n">
        <v>10</v>
      </c>
      <c r="E23" s="7" t="n">
        <f>'Matrix_S01'!B5</f>
        <v>10</v>
      </c>
      <c r="F23" s="8" t="str">
        <f>IF(ABS(D23-E23)&lt;0.00001,"PASS","MISMATCH")</f>
        <v>PASS</v>
      </c>
      <c r="G23" s="9" t="inlineStr">
        <is>
          <t>Selected-source descriptor only; numeric reproduction does not validate scientific classification.</t>
        </is>
      </c>
    </row>
    <row r="24">
      <c r="A24" s="5" t="inlineStr">
        <is>
          <t>S1</t>
        </is>
      </c>
      <c r="B24" s="5" t="inlineStr">
        <is>
          <t>Bioprinted models</t>
        </is>
      </c>
      <c r="C24" s="5" t="inlineStr">
        <is>
          <t>Image/segmentation</t>
        </is>
      </c>
      <c r="D24" s="6" t="n">
        <v>10</v>
      </c>
      <c r="E24" s="7" t="n">
        <f>'Matrix_S01'!C5</f>
        <v>10</v>
      </c>
      <c r="F24" s="8" t="str">
        <f>IF(ABS(D24-E24)&lt;0.00001,"PASS","MISMATCH")</f>
        <v>PASS</v>
      </c>
      <c r="G24" s="9" t="inlineStr">
        <is>
          <t>Selected-source descriptor only; numeric reproduction does not validate scientific classification.</t>
        </is>
      </c>
    </row>
    <row r="25">
      <c r="A25" s="5" t="inlineStr">
        <is>
          <t>S1</t>
        </is>
      </c>
      <c r="B25" s="5" t="inlineStr">
        <is>
          <t>Bioprinted models</t>
        </is>
      </c>
      <c r="C25" s="5" t="inlineStr">
        <is>
          <t>Barrier/permeability</t>
        </is>
      </c>
      <c r="D25" s="6" t="n">
        <v>1</v>
      </c>
      <c r="E25" s="7" t="n">
        <f>'Matrix_S01'!D5</f>
        <v>1</v>
      </c>
      <c r="F25" s="8" t="str">
        <f>IF(ABS(D25-E25)&lt;0.00001,"PASS","MISMATCH")</f>
        <v>PASS</v>
      </c>
      <c r="G25" s="9" t="inlineStr">
        <is>
          <t>Selected-source descriptor only; numeric reproduction does not validate scientific classification.</t>
        </is>
      </c>
    </row>
    <row r="26">
      <c r="A26" s="5" t="inlineStr">
        <is>
          <t>S1</t>
        </is>
      </c>
      <c r="B26" s="5" t="inlineStr">
        <is>
          <t>Bioprinted models</t>
        </is>
      </c>
      <c r="C26" s="5" t="inlineStr">
        <is>
          <t>Molecular/inflammatory</t>
        </is>
      </c>
      <c r="D26" s="6" t="n">
        <v>5</v>
      </c>
      <c r="E26" s="7" t="n">
        <f>'Matrix_S01'!E5</f>
        <v>5</v>
      </c>
      <c r="F26" s="8" t="str">
        <f>IF(ABS(D26-E26)&lt;0.00001,"PASS","MISMATCH")</f>
        <v>PASS</v>
      </c>
      <c r="G26" s="9" t="inlineStr">
        <is>
          <t>Selected-source descriptor only; numeric reproduction does not validate scientific classification.</t>
        </is>
      </c>
    </row>
    <row r="27">
      <c r="A27" s="5" t="inlineStr">
        <is>
          <t>S1</t>
        </is>
      </c>
      <c r="B27" s="5" t="inlineStr">
        <is>
          <t>Bioprinted models</t>
        </is>
      </c>
      <c r="C27" s="5" t="inlineStr">
        <is>
          <t>Histology/IHC</t>
        </is>
      </c>
      <c r="D27" s="6" t="n">
        <v>10</v>
      </c>
      <c r="E27" s="7" t="n">
        <f>'Matrix_S01'!F5</f>
        <v>10</v>
      </c>
      <c r="F27" s="8" t="str">
        <f>IF(ABS(D27-E27)&lt;0.00001,"PASS","MISMATCH")</f>
        <v>PASS</v>
      </c>
      <c r="G27" s="9" t="inlineStr">
        <is>
          <t>Selected-source descriptor only; numeric reproduction does not validate scientific classification.</t>
        </is>
      </c>
    </row>
    <row r="28">
      <c r="A28" s="5" t="inlineStr">
        <is>
          <t>S1</t>
        </is>
      </c>
      <c r="B28" s="5" t="inlineStr">
        <is>
          <t>Bioprinted models</t>
        </is>
      </c>
      <c r="C28" s="5" t="inlineStr">
        <is>
          <t>Mechanical/material</t>
        </is>
      </c>
      <c r="D28" s="6" t="n">
        <v>9</v>
      </c>
      <c r="E28" s="7" t="n">
        <f>'Matrix_S01'!G5</f>
        <v>9</v>
      </c>
      <c r="F28" s="8" t="str">
        <f>IF(ABS(D28-E28)&lt;0.00001,"PASS","MISMATCH")</f>
        <v>PASS</v>
      </c>
      <c r="G28" s="9" t="inlineStr">
        <is>
          <t>Selected-source descriptor only; numeric reproduction does not validate scientific classification.</t>
        </is>
      </c>
    </row>
    <row r="29">
      <c r="A29" s="5" t="inlineStr">
        <is>
          <t>S1</t>
        </is>
      </c>
      <c r="B29" s="5" t="inlineStr">
        <is>
          <t>Bioprinted models</t>
        </is>
      </c>
      <c r="C29" s="5" t="inlineStr">
        <is>
          <t>Vascular/perfusion</t>
        </is>
      </c>
      <c r="D29" s="6" t="n">
        <v>7</v>
      </c>
      <c r="E29" s="7" t="n">
        <f>'Matrix_S01'!H5</f>
        <v>7</v>
      </c>
      <c r="F29" s="8" t="str">
        <f>IF(ABS(D29-E29)&lt;0.00001,"PASS","MISMATCH")</f>
        <v>PASS</v>
      </c>
      <c r="G29" s="9" t="inlineStr">
        <is>
          <t>Selected-source descriptor only; numeric reproduction does not validate scientific classification.</t>
        </is>
      </c>
    </row>
    <row r="30">
      <c r="A30" s="5" t="inlineStr">
        <is>
          <t>S2</t>
        </is>
      </c>
      <c r="B30" s="5" t="inlineStr">
        <is>
          <t>2D early screening models</t>
        </is>
      </c>
      <c r="C30" s="5" t="inlineStr">
        <is>
          <t>Endpoint-dominant</t>
        </is>
      </c>
      <c r="D30" s="6" t="n">
        <v>0</v>
      </c>
      <c r="E30" s="7" t="n">
        <f>'Matrix_S02'!B2</f>
        <v>0</v>
      </c>
      <c r="F30" s="8" t="str">
        <f>IF(ABS(D30-E30)&lt;0.00001,"PASS","MISMATCH")</f>
        <v>PASS</v>
      </c>
      <c r="G30" s="9" t="inlineStr">
        <is>
          <t>Selected-source descriptor only; numeric reproduction does not validate scientific classification.</t>
        </is>
      </c>
    </row>
    <row r="31">
      <c r="A31" s="5" t="inlineStr">
        <is>
          <t>S2</t>
        </is>
      </c>
      <c r="B31" s="5" t="inlineStr">
        <is>
          <t>2D early screening models</t>
        </is>
      </c>
      <c r="C31" s="5" t="inlineStr">
        <is>
          <t>Two-point pre/post</t>
        </is>
      </c>
      <c r="D31" s="6" t="n">
        <v>1</v>
      </c>
      <c r="E31" s="7" t="n">
        <f>'Matrix_S02'!C2</f>
        <v>1</v>
      </c>
      <c r="F31" s="8" t="str">
        <f>IF(ABS(D31-E31)&lt;0.00001,"PASS","MISMATCH")</f>
        <v>PASS</v>
      </c>
      <c r="G31" s="9" t="inlineStr">
        <is>
          <t>Selected-source descriptor only; numeric reproduction does not validate scientific classification.</t>
        </is>
      </c>
    </row>
    <row r="32">
      <c r="A32" s="5" t="inlineStr">
        <is>
          <t>S2</t>
        </is>
      </c>
      <c r="B32" s="5" t="inlineStr">
        <is>
          <t>2D early screening models</t>
        </is>
      </c>
      <c r="C32" s="5" t="inlineStr">
        <is>
          <t>3+ sampling times</t>
        </is>
      </c>
      <c r="D32" s="6" t="n">
        <v>3</v>
      </c>
      <c r="E32" s="7" t="n">
        <f>'Matrix_S02'!D2</f>
        <v>3</v>
      </c>
      <c r="F32" s="8" t="str">
        <f>IF(ABS(D32-E32)&lt;0.00001,"PASS","MISMATCH")</f>
        <v>PASS</v>
      </c>
      <c r="G32" s="9" t="inlineStr">
        <is>
          <t>Selected-source descriptor only; numeric reproduction does not validate scientific classification.</t>
        </is>
      </c>
    </row>
    <row r="33">
      <c r="A33" s="5" t="inlineStr">
        <is>
          <t>S2</t>
        </is>
      </c>
      <c r="B33" s="5" t="inlineStr">
        <is>
          <t>2D early screening models</t>
        </is>
      </c>
      <c r="C33" s="5" t="inlineStr">
        <is>
          <t>Non-destructive same-sample serial tracking</t>
        </is>
      </c>
      <c r="D33" s="6" t="n">
        <v>1</v>
      </c>
      <c r="E33" s="7" t="n">
        <f>'Matrix_S02'!E2</f>
        <v>1</v>
      </c>
      <c r="F33" s="8" t="str">
        <f>IF(ABS(D33-E33)&lt;0.00001,"PASS","MISMATCH")</f>
        <v>PASS</v>
      </c>
      <c r="G33" s="9" t="inlineStr">
        <is>
          <t>Selected-source descriptor only; numeric reproduction does not validate scientific classification.</t>
        </is>
      </c>
    </row>
    <row r="34">
      <c r="A34" s="5" t="inlineStr">
        <is>
          <t>S2</t>
        </is>
      </c>
      <c r="B34" s="5" t="inlineStr">
        <is>
          <t>3D epidermal models</t>
        </is>
      </c>
      <c r="C34" s="5" t="inlineStr">
        <is>
          <t>Endpoint-dominant</t>
        </is>
      </c>
      <c r="D34" s="6" t="n">
        <v>5</v>
      </c>
      <c r="E34" s="7" t="n">
        <f>'Matrix_S02'!B3</f>
        <v>5</v>
      </c>
      <c r="F34" s="8" t="str">
        <f>IF(ABS(D34-E34)&lt;0.00001,"PASS","MISMATCH")</f>
        <v>PASS</v>
      </c>
      <c r="G34" s="9" t="inlineStr">
        <is>
          <t>Selected-source descriptor only; numeric reproduction does not validate scientific classification.</t>
        </is>
      </c>
    </row>
    <row r="35">
      <c r="A35" s="5" t="inlineStr">
        <is>
          <t>S2</t>
        </is>
      </c>
      <c r="B35" s="5" t="inlineStr">
        <is>
          <t>3D epidermal models</t>
        </is>
      </c>
      <c r="C35" s="5" t="inlineStr">
        <is>
          <t>Two-point pre/post</t>
        </is>
      </c>
      <c r="D35" s="6" t="n">
        <v>0</v>
      </c>
      <c r="E35" s="7" t="n">
        <f>'Matrix_S02'!C3</f>
        <v>0</v>
      </c>
      <c r="F35" s="8" t="str">
        <f>IF(ABS(D35-E35)&lt;0.00001,"PASS","MISMATCH")</f>
        <v>PASS</v>
      </c>
      <c r="G35" s="9" t="inlineStr">
        <is>
          <t>Selected-source descriptor only; numeric reproduction does not validate scientific classification.</t>
        </is>
      </c>
    </row>
    <row r="36">
      <c r="A36" s="5" t="inlineStr">
        <is>
          <t>S2</t>
        </is>
      </c>
      <c r="B36" s="5" t="inlineStr">
        <is>
          <t>3D epidermal models</t>
        </is>
      </c>
      <c r="C36" s="5" t="inlineStr">
        <is>
          <t>3+ sampling times</t>
        </is>
      </c>
      <c r="D36" s="6" t="n">
        <v>0</v>
      </c>
      <c r="E36" s="7" t="n">
        <f>'Matrix_S02'!D3</f>
        <v>0</v>
      </c>
      <c r="F36" s="8" t="str">
        <f>IF(ABS(D36-E36)&lt;0.00001,"PASS","MISMATCH")</f>
        <v>PASS</v>
      </c>
      <c r="G36" s="9" t="inlineStr">
        <is>
          <t>Selected-source descriptor only; numeric reproduction does not validate scientific classification.</t>
        </is>
      </c>
    </row>
    <row r="37">
      <c r="A37" s="5" t="inlineStr">
        <is>
          <t>S2</t>
        </is>
      </c>
      <c r="B37" s="5" t="inlineStr">
        <is>
          <t>3D epidermal models</t>
        </is>
      </c>
      <c r="C37" s="5" t="inlineStr">
        <is>
          <t>Non-destructive same-sample serial tracking</t>
        </is>
      </c>
      <c r="D37" s="6" t="n">
        <v>0</v>
      </c>
      <c r="E37" s="7" t="n">
        <f>'Matrix_S02'!E3</f>
        <v>0</v>
      </c>
      <c r="F37" s="8" t="str">
        <f>IF(ABS(D37-E37)&lt;0.00001,"PASS","MISMATCH")</f>
        <v>PASS</v>
      </c>
      <c r="G37" s="9" t="inlineStr">
        <is>
          <t>Selected-source descriptor only; numeric reproduction does not validate scientific classification.</t>
        </is>
      </c>
    </row>
    <row r="38">
      <c r="A38" s="5" t="inlineStr">
        <is>
          <t>S2</t>
        </is>
      </c>
      <c r="B38" s="5" t="inlineStr">
        <is>
          <t>3D wound models</t>
        </is>
      </c>
      <c r="C38" s="5" t="inlineStr">
        <is>
          <t>Endpoint-dominant</t>
        </is>
      </c>
      <c r="D38" s="6" t="n">
        <v>0</v>
      </c>
      <c r="E38" s="7" t="n">
        <f>'Matrix_S02'!B4</f>
        <v>0</v>
      </c>
      <c r="F38" s="8" t="str">
        <f>IF(ABS(D38-E38)&lt;0.00001,"PASS","MISMATCH")</f>
        <v>PASS</v>
      </c>
      <c r="G38" s="9" t="inlineStr">
        <is>
          <t>Selected-source descriptor only; numeric reproduction does not validate scientific classification.</t>
        </is>
      </c>
    </row>
    <row r="39">
      <c r="A39" s="5" t="inlineStr">
        <is>
          <t>S2</t>
        </is>
      </c>
      <c r="B39" s="5" t="inlineStr">
        <is>
          <t>3D wound models</t>
        </is>
      </c>
      <c r="C39" s="5" t="inlineStr">
        <is>
          <t>Two-point pre/post</t>
        </is>
      </c>
      <c r="D39" s="6" t="n">
        <v>0</v>
      </c>
      <c r="E39" s="7" t="n">
        <f>'Matrix_S02'!C4</f>
        <v>0</v>
      </c>
      <c r="F39" s="8" t="str">
        <f>IF(ABS(D39-E39)&lt;0.00001,"PASS","MISMATCH")</f>
        <v>PASS</v>
      </c>
      <c r="G39" s="9" t="inlineStr">
        <is>
          <t>Selected-source descriptor only; numeric reproduction does not validate scientific classification.</t>
        </is>
      </c>
    </row>
    <row r="40">
      <c r="A40" s="5" t="inlineStr">
        <is>
          <t>S2</t>
        </is>
      </c>
      <c r="B40" s="5" t="inlineStr">
        <is>
          <t>3D wound models</t>
        </is>
      </c>
      <c r="C40" s="5" t="inlineStr">
        <is>
          <t>3+ sampling times</t>
        </is>
      </c>
      <c r="D40" s="6" t="n">
        <v>4</v>
      </c>
      <c r="E40" s="7" t="n">
        <f>'Matrix_S02'!D4</f>
        <v>4</v>
      </c>
      <c r="F40" s="8" t="str">
        <f>IF(ABS(D40-E40)&lt;0.00001,"PASS","MISMATCH")</f>
        <v>PASS</v>
      </c>
      <c r="G40" s="9" t="inlineStr">
        <is>
          <t>Selected-source descriptor only; numeric reproduction does not validate scientific classification.</t>
        </is>
      </c>
    </row>
    <row r="41">
      <c r="A41" s="5" t="inlineStr">
        <is>
          <t>S2</t>
        </is>
      </c>
      <c r="B41" s="5" t="inlineStr">
        <is>
          <t>3D wound models</t>
        </is>
      </c>
      <c r="C41" s="5" t="inlineStr">
        <is>
          <t>Non-destructive same-sample serial tracking</t>
        </is>
      </c>
      <c r="D41" s="6" t="n">
        <v>4</v>
      </c>
      <c r="E41" s="7" t="n">
        <f>'Matrix_S02'!E4</f>
        <v>4</v>
      </c>
      <c r="F41" s="8" t="str">
        <f>IF(ABS(D41-E41)&lt;0.00001,"PASS","MISMATCH")</f>
        <v>PASS</v>
      </c>
      <c r="G41" s="9" t="inlineStr">
        <is>
          <t>Selected-source descriptor only; numeric reproduction does not validate scientific classification.</t>
        </is>
      </c>
    </row>
    <row r="42">
      <c r="A42" s="5" t="inlineStr">
        <is>
          <t>S2</t>
        </is>
      </c>
      <c r="B42" s="5" t="inlineStr">
        <is>
          <t>Bioprinted models</t>
        </is>
      </c>
      <c r="C42" s="5" t="inlineStr">
        <is>
          <t>Endpoint-dominant</t>
        </is>
      </c>
      <c r="D42" s="6" t="n">
        <v>0</v>
      </c>
      <c r="E42" s="7" t="n">
        <f>'Matrix_S02'!B5</f>
        <v>0</v>
      </c>
      <c r="F42" s="8" t="str">
        <f>IF(ABS(D42-E42)&lt;0.00001,"PASS","MISMATCH")</f>
        <v>PASS</v>
      </c>
      <c r="G42" s="9" t="inlineStr">
        <is>
          <t>Selected-source descriptor only; numeric reproduction does not validate scientific classification.</t>
        </is>
      </c>
    </row>
    <row r="43">
      <c r="A43" s="5" t="inlineStr">
        <is>
          <t>S2</t>
        </is>
      </c>
      <c r="B43" s="5" t="inlineStr">
        <is>
          <t>Bioprinted models</t>
        </is>
      </c>
      <c r="C43" s="5" t="inlineStr">
        <is>
          <t>Two-point pre/post</t>
        </is>
      </c>
      <c r="D43" s="6" t="n">
        <v>0</v>
      </c>
      <c r="E43" s="7" t="n">
        <f>'Matrix_S02'!C5</f>
        <v>0</v>
      </c>
      <c r="F43" s="8" t="str">
        <f>IF(ABS(D43-E43)&lt;0.00001,"PASS","MISMATCH")</f>
        <v>PASS</v>
      </c>
      <c r="G43" s="9" t="inlineStr">
        <is>
          <t>Selected-source descriptor only; numeric reproduction does not validate scientific classification.</t>
        </is>
      </c>
    </row>
    <row r="44">
      <c r="A44" s="5" t="inlineStr">
        <is>
          <t>S2</t>
        </is>
      </c>
      <c r="B44" s="5" t="inlineStr">
        <is>
          <t>Bioprinted models</t>
        </is>
      </c>
      <c r="C44" s="5" t="inlineStr">
        <is>
          <t>3+ sampling times</t>
        </is>
      </c>
      <c r="D44" s="6" t="n">
        <v>10</v>
      </c>
      <c r="E44" s="7" t="n">
        <f>'Matrix_S02'!D5</f>
        <v>10</v>
      </c>
      <c r="F44" s="8" t="str">
        <f>IF(ABS(D44-E44)&lt;0.00001,"PASS","MISMATCH")</f>
        <v>PASS</v>
      </c>
      <c r="G44" s="9" t="inlineStr">
        <is>
          <t>Selected-source descriptor only; numeric reproduction does not validate scientific classification.</t>
        </is>
      </c>
    </row>
    <row r="45">
      <c r="A45" s="5" t="inlineStr">
        <is>
          <t>S2</t>
        </is>
      </c>
      <c r="B45" s="5" t="inlineStr">
        <is>
          <t>Bioprinted models</t>
        </is>
      </c>
      <c r="C45" s="5" t="inlineStr">
        <is>
          <t>Non-destructive same-sample serial tracking</t>
        </is>
      </c>
      <c r="D45" s="6" t="n">
        <v>0</v>
      </c>
      <c r="E45" s="7" t="n">
        <f>'Matrix_S02'!E5</f>
        <v>0</v>
      </c>
      <c r="F45" s="8" t="str">
        <f>IF(ABS(D45-E45)&lt;0.00001,"PASS","MISMATCH")</f>
        <v>PASS</v>
      </c>
      <c r="G45" s="9" t="inlineStr">
        <is>
          <t>Selected-source descriptor only; numeric reproduction does not validate scientific classification.</t>
        </is>
      </c>
    </row>
    <row r="46">
      <c r="A46" s="5" t="inlineStr">
        <is>
          <t>S3</t>
        </is>
      </c>
      <c r="B46" s="5" t="inlineStr">
        <is>
          <t>Controlled microfluidic perturbation</t>
        </is>
      </c>
      <c r="C46" s="5" t="inlineStr">
        <is>
          <t>Flow or
perfusion
control</t>
        </is>
      </c>
      <c r="D46" s="6" t="n">
        <v>3</v>
      </c>
      <c r="E46" s="7" t="n">
        <f>'Matrix_S03'!B2</f>
        <v>3</v>
      </c>
      <c r="F46" s="8" t="str">
        <f>IF(ABS(D46-E46)&lt;0.00001,"PASS","MISMATCH")</f>
        <v>PASS</v>
      </c>
      <c r="G46" s="9" t="inlineStr">
        <is>
          <t>Selected-source descriptor only; numeric reproduction does not validate scientific classification.</t>
        </is>
      </c>
    </row>
    <row r="47">
      <c r="A47" s="5" t="inlineStr">
        <is>
          <t>S3</t>
        </is>
      </c>
      <c r="B47" s="5" t="inlineStr">
        <is>
          <t>Controlled microfluidic perturbation</t>
        </is>
      </c>
      <c r="C47" s="5" t="inlineStr">
        <is>
          <t>Oxygen or
angiogenic
cues</t>
        </is>
      </c>
      <c r="D47" s="6" t="n">
        <v>2</v>
      </c>
      <c r="E47" s="7" t="n">
        <f>'Matrix_S03'!C2</f>
        <v>2</v>
      </c>
      <c r="F47" s="8" t="str">
        <f>IF(ABS(D47-E47)&lt;0.00001,"PASS","MISMATCH")</f>
        <v>PASS</v>
      </c>
      <c r="G47" s="9" t="inlineStr">
        <is>
          <t>Selected-source descriptor only; numeric reproduction does not validate scientific classification.</t>
        </is>
      </c>
    </row>
    <row r="48">
      <c r="A48" s="5" t="inlineStr">
        <is>
          <t>S3</t>
        </is>
      </c>
      <c r="B48" s="5" t="inlineStr">
        <is>
          <t>Controlled microfluidic perturbation</t>
        </is>
      </c>
      <c r="C48" s="5" t="inlineStr">
        <is>
          <t>Barrier or
permeation</t>
        </is>
      </c>
      <c r="D48" s="6" t="n">
        <v>1</v>
      </c>
      <c r="E48" s="7" t="n">
        <f>'Matrix_S03'!D2</f>
        <v>1</v>
      </c>
      <c r="F48" s="8" t="str">
        <f>IF(ABS(D48-E48)&lt;0.00001,"PASS","MISMATCH")</f>
        <v>PASS</v>
      </c>
      <c r="G48" s="9" t="inlineStr">
        <is>
          <t>Selected-source descriptor only; numeric reproduction does not validate scientific classification.</t>
        </is>
      </c>
    </row>
    <row r="49">
      <c r="A49" s="5" t="inlineStr">
        <is>
          <t>S3</t>
        </is>
      </c>
      <c r="B49" s="5" t="inlineStr">
        <is>
          <t>Controlled microfluidic perturbation</t>
        </is>
      </c>
      <c r="C49" s="5" t="inlineStr">
        <is>
          <t>Inflammation
or immune
state</t>
        </is>
      </c>
      <c r="D49" s="6" t="n">
        <v>0</v>
      </c>
      <c r="E49" s="7" t="n">
        <f>'Matrix_S03'!E2</f>
        <v>0</v>
      </c>
      <c r="F49" s="8" t="str">
        <f>IF(ABS(D49-E49)&lt;0.00001,"PASS","MISMATCH")</f>
        <v>PASS</v>
      </c>
      <c r="G49" s="9" t="inlineStr">
        <is>
          <t>Selected-source descriptor only; numeric reproduction does not validate scientific classification.</t>
        </is>
      </c>
    </row>
    <row r="50">
      <c r="A50" s="5" t="inlineStr">
        <is>
          <t>S3</t>
        </is>
      </c>
      <c r="B50" s="5" t="inlineStr">
        <is>
          <t>Controlled microfluidic perturbation</t>
        </is>
      </c>
      <c r="C50" s="5" t="inlineStr">
        <is>
          <t>Infection or
microbial
state</t>
        </is>
      </c>
      <c r="D50" s="6" t="n">
        <v>0</v>
      </c>
      <c r="E50" s="7" t="n">
        <f>'Matrix_S03'!F2</f>
        <v>0</v>
      </c>
      <c r="F50" s="8" t="str">
        <f>IF(ABS(D50-E50)&lt;0.00001,"PASS","MISMATCH")</f>
        <v>PASS</v>
      </c>
      <c r="G50" s="9" t="inlineStr">
        <is>
          <t>Selected-source descriptor only; numeric reproduction does not validate scientific classification.</t>
        </is>
      </c>
    </row>
    <row r="51">
      <c r="A51" s="5" t="inlineStr">
        <is>
          <t>S3</t>
        </is>
      </c>
      <c r="B51" s="5" t="inlineStr">
        <is>
          <t>Controlled microfluidic perturbation</t>
        </is>
      </c>
      <c r="C51" s="5" t="inlineStr">
        <is>
          <t>Metabolic or
biochemical
sensing</t>
        </is>
      </c>
      <c r="D51" s="6" t="n">
        <v>0</v>
      </c>
      <c r="E51" s="7" t="n">
        <f>'Matrix_S03'!G2</f>
        <v>0</v>
      </c>
      <c r="F51" s="8" t="str">
        <f>IF(ABS(D51-E51)&lt;0.00001,"PASS","MISMATCH")</f>
        <v>PASS</v>
      </c>
      <c r="G51" s="9" t="inlineStr">
        <is>
          <t>Selected-source descriptor only; numeric reproduction does not validate scientific classification.</t>
        </is>
      </c>
    </row>
    <row r="52">
      <c r="A52" s="5" t="inlineStr">
        <is>
          <t>S3</t>
        </is>
      </c>
      <c r="B52" s="5" t="inlineStr">
        <is>
          <t>Controlled microfluidic perturbation</t>
        </is>
      </c>
      <c r="C52" s="5" t="inlineStr">
        <is>
          <t>Closed-loop or
active
therapy</t>
        </is>
      </c>
      <c r="D52" s="6" t="n">
        <v>0</v>
      </c>
      <c r="E52" s="7" t="n">
        <f>'Matrix_S03'!H2</f>
        <v>0</v>
      </c>
      <c r="F52" s="8" t="str">
        <f>IF(ABS(D52-E52)&lt;0.00001,"PASS","MISMATCH")</f>
        <v>PASS</v>
      </c>
      <c r="G52" s="9" t="inlineStr">
        <is>
          <t>Selected-source descriptor only; numeric reproduction does not validate scientific classification.</t>
        </is>
      </c>
    </row>
    <row r="53">
      <c r="A53" s="5" t="inlineStr">
        <is>
          <t>S3</t>
        </is>
      </c>
      <c r="B53" s="5" t="inlineStr">
        <is>
          <t>Barrier/permeation exposure</t>
        </is>
      </c>
      <c r="C53" s="5" t="inlineStr">
        <is>
          <t>Flow or
perfusion
control</t>
        </is>
      </c>
      <c r="D53" s="6" t="n">
        <v>6</v>
      </c>
      <c r="E53" s="7" t="n">
        <f>'Matrix_S03'!B3</f>
        <v>6</v>
      </c>
      <c r="F53" s="8" t="str">
        <f>IF(ABS(D53-E53)&lt;0.00001,"PASS","MISMATCH")</f>
        <v>PASS</v>
      </c>
      <c r="G53" s="9" t="inlineStr">
        <is>
          <t>Selected-source descriptor only; numeric reproduction does not validate scientific classification.</t>
        </is>
      </c>
    </row>
    <row r="54">
      <c r="A54" s="5" t="inlineStr">
        <is>
          <t>S3</t>
        </is>
      </c>
      <c r="B54" s="5" t="inlineStr">
        <is>
          <t>Barrier/permeation exposure</t>
        </is>
      </c>
      <c r="C54" s="5" t="inlineStr">
        <is>
          <t>Oxygen or
angiogenic
cues</t>
        </is>
      </c>
      <c r="D54" s="6" t="n">
        <v>0</v>
      </c>
      <c r="E54" s="7" t="n">
        <f>'Matrix_S03'!C3</f>
        <v>0</v>
      </c>
      <c r="F54" s="8" t="str">
        <f>IF(ABS(D54-E54)&lt;0.00001,"PASS","MISMATCH")</f>
        <v>PASS</v>
      </c>
      <c r="G54" s="9" t="inlineStr">
        <is>
          <t>Selected-source descriptor only; numeric reproduction does not validate scientific classification.</t>
        </is>
      </c>
    </row>
    <row r="55">
      <c r="A55" s="5" t="inlineStr">
        <is>
          <t>S3</t>
        </is>
      </c>
      <c r="B55" s="5" t="inlineStr">
        <is>
          <t>Barrier/permeation exposure</t>
        </is>
      </c>
      <c r="C55" s="5" t="inlineStr">
        <is>
          <t>Barrier or
permeation</t>
        </is>
      </c>
      <c r="D55" s="6" t="n">
        <v>6</v>
      </c>
      <c r="E55" s="7" t="n">
        <f>'Matrix_S03'!D3</f>
        <v>6</v>
      </c>
      <c r="F55" s="8" t="str">
        <f>IF(ABS(D55-E55)&lt;0.00001,"PASS","MISMATCH")</f>
        <v>PASS</v>
      </c>
      <c r="G55" s="9" t="inlineStr">
        <is>
          <t>Selected-source descriptor only; numeric reproduction does not validate scientific classification.</t>
        </is>
      </c>
    </row>
    <row r="56">
      <c r="A56" s="5" t="inlineStr">
        <is>
          <t>S3</t>
        </is>
      </c>
      <c r="B56" s="5" t="inlineStr">
        <is>
          <t>Barrier/permeation exposure</t>
        </is>
      </c>
      <c r="C56" s="5" t="inlineStr">
        <is>
          <t>Inflammation
or immune
state</t>
        </is>
      </c>
      <c r="D56" s="6" t="n">
        <v>0</v>
      </c>
      <c r="E56" s="7" t="n">
        <f>'Matrix_S03'!E3</f>
        <v>0</v>
      </c>
      <c r="F56" s="8" t="str">
        <f>IF(ABS(D56-E56)&lt;0.00001,"PASS","MISMATCH")</f>
        <v>PASS</v>
      </c>
      <c r="G56" s="9" t="inlineStr">
        <is>
          <t>Selected-source descriptor only; numeric reproduction does not validate scientific classification.</t>
        </is>
      </c>
    </row>
    <row r="57">
      <c r="A57" s="5" t="inlineStr">
        <is>
          <t>S3</t>
        </is>
      </c>
      <c r="B57" s="5" t="inlineStr">
        <is>
          <t>Barrier/permeation exposure</t>
        </is>
      </c>
      <c r="C57" s="5" t="inlineStr">
        <is>
          <t>Infection or
microbial
state</t>
        </is>
      </c>
      <c r="D57" s="6" t="n">
        <v>0</v>
      </c>
      <c r="E57" s="7" t="n">
        <f>'Matrix_S03'!F3</f>
        <v>0</v>
      </c>
      <c r="F57" s="8" t="str">
        <f>IF(ABS(D57-E57)&lt;0.00001,"PASS","MISMATCH")</f>
        <v>PASS</v>
      </c>
      <c r="G57" s="9" t="inlineStr">
        <is>
          <t>Selected-source descriptor only; numeric reproduction does not validate scientific classification.</t>
        </is>
      </c>
    </row>
    <row r="58">
      <c r="A58" s="5" t="inlineStr">
        <is>
          <t>S3</t>
        </is>
      </c>
      <c r="B58" s="5" t="inlineStr">
        <is>
          <t>Barrier/permeation exposure</t>
        </is>
      </c>
      <c r="C58" s="5" t="inlineStr">
        <is>
          <t>Metabolic or
biochemical
sensing</t>
        </is>
      </c>
      <c r="D58" s="6" t="n">
        <v>0</v>
      </c>
      <c r="E58" s="7" t="n">
        <f>'Matrix_S03'!G3</f>
        <v>0</v>
      </c>
      <c r="F58" s="8" t="str">
        <f>IF(ABS(D58-E58)&lt;0.00001,"PASS","MISMATCH")</f>
        <v>PASS</v>
      </c>
      <c r="G58" s="9" t="inlineStr">
        <is>
          <t>Selected-source descriptor only; numeric reproduction does not validate scientific classification.</t>
        </is>
      </c>
    </row>
    <row r="59">
      <c r="A59" s="5" t="inlineStr">
        <is>
          <t>S3</t>
        </is>
      </c>
      <c r="B59" s="5" t="inlineStr">
        <is>
          <t>Barrier/permeation exposure</t>
        </is>
      </c>
      <c r="C59" s="5" t="inlineStr">
        <is>
          <t>Closed-loop or
active
therapy</t>
        </is>
      </c>
      <c r="D59" s="6" t="n">
        <v>0</v>
      </c>
      <c r="E59" s="7" t="n">
        <f>'Matrix_S03'!H3</f>
        <v>0</v>
      </c>
      <c r="F59" s="8" t="str">
        <f>IF(ABS(D59-E59)&lt;0.00001,"PASS","MISMATCH")</f>
        <v>PASS</v>
      </c>
      <c r="G59" s="9" t="inlineStr">
        <is>
          <t>Selected-source descriptor only; numeric reproduction does not validate scientific classification.</t>
        </is>
      </c>
    </row>
    <row r="60">
      <c r="A60" s="5" t="inlineStr">
        <is>
          <t>S3</t>
        </is>
      </c>
      <c r="B60" s="5" t="inlineStr">
        <is>
          <t>Disease/immune programming</t>
        </is>
      </c>
      <c r="C60" s="5" t="inlineStr">
        <is>
          <t>Flow or
perfusion
control</t>
        </is>
      </c>
      <c r="D60" s="6" t="n">
        <v>5</v>
      </c>
      <c r="E60" s="7" t="n">
        <f>'Matrix_S03'!B4</f>
        <v>5</v>
      </c>
      <c r="F60" s="8" t="str">
        <f>IF(ABS(D60-E60)&lt;0.00001,"PASS","MISMATCH")</f>
        <v>PASS</v>
      </c>
      <c r="G60" s="9" t="inlineStr">
        <is>
          <t>Selected-source descriptor only; numeric reproduction does not validate scientific classification.</t>
        </is>
      </c>
    </row>
    <row r="61">
      <c r="A61" s="5" t="inlineStr">
        <is>
          <t>S3</t>
        </is>
      </c>
      <c r="B61" s="5" t="inlineStr">
        <is>
          <t>Disease/immune programming</t>
        </is>
      </c>
      <c r="C61" s="5" t="inlineStr">
        <is>
          <t>Oxygen or
angiogenic
cues</t>
        </is>
      </c>
      <c r="D61" s="6" t="n">
        <v>0</v>
      </c>
      <c r="E61" s="7" t="n">
        <f>'Matrix_S03'!C4</f>
        <v>0</v>
      </c>
      <c r="F61" s="8" t="str">
        <f>IF(ABS(D61-E61)&lt;0.00001,"PASS","MISMATCH")</f>
        <v>PASS</v>
      </c>
      <c r="G61" s="9" t="inlineStr">
        <is>
          <t>Selected-source descriptor only; numeric reproduction does not validate scientific classification.</t>
        </is>
      </c>
    </row>
    <row r="62">
      <c r="A62" s="5" t="inlineStr">
        <is>
          <t>S3</t>
        </is>
      </c>
      <c r="B62" s="5" t="inlineStr">
        <is>
          <t>Disease/immune programming</t>
        </is>
      </c>
      <c r="C62" s="5" t="inlineStr">
        <is>
          <t>Barrier or
permeation</t>
        </is>
      </c>
      <c r="D62" s="6" t="n">
        <v>3</v>
      </c>
      <c r="E62" s="7" t="n">
        <f>'Matrix_S03'!D4</f>
        <v>3</v>
      </c>
      <c r="F62" s="8" t="str">
        <f>IF(ABS(D62-E62)&lt;0.00001,"PASS","MISMATCH")</f>
        <v>PASS</v>
      </c>
      <c r="G62" s="9" t="inlineStr">
        <is>
          <t>Selected-source descriptor only; numeric reproduction does not validate scientific classification.</t>
        </is>
      </c>
    </row>
    <row r="63">
      <c r="A63" s="5" t="inlineStr">
        <is>
          <t>S3</t>
        </is>
      </c>
      <c r="B63" s="5" t="inlineStr">
        <is>
          <t>Disease/immune programming</t>
        </is>
      </c>
      <c r="C63" s="5" t="inlineStr">
        <is>
          <t>Inflammation
or immune
state</t>
        </is>
      </c>
      <c r="D63" s="6" t="n">
        <v>5</v>
      </c>
      <c r="E63" s="7" t="n">
        <f>'Matrix_S03'!E4</f>
        <v>5</v>
      </c>
      <c r="F63" s="8" t="str">
        <f>IF(ABS(D63-E63)&lt;0.00001,"PASS","MISMATCH")</f>
        <v>PASS</v>
      </c>
      <c r="G63" s="9" t="inlineStr">
        <is>
          <t>Selected-source descriptor only; numeric reproduction does not validate scientific classification.</t>
        </is>
      </c>
    </row>
    <row r="64">
      <c r="A64" s="5" t="inlineStr">
        <is>
          <t>S3</t>
        </is>
      </c>
      <c r="B64" s="5" t="inlineStr">
        <is>
          <t>Disease/immune programming</t>
        </is>
      </c>
      <c r="C64" s="5" t="inlineStr">
        <is>
          <t>Infection or
microbial
state</t>
        </is>
      </c>
      <c r="D64" s="6" t="n">
        <v>1</v>
      </c>
      <c r="E64" s="7" t="n">
        <f>'Matrix_S03'!F4</f>
        <v>1</v>
      </c>
      <c r="F64" s="8" t="str">
        <f>IF(ABS(D64-E64)&lt;0.00001,"PASS","MISMATCH")</f>
        <v>PASS</v>
      </c>
      <c r="G64" s="9" t="inlineStr">
        <is>
          <t>Selected-source descriptor only; numeric reproduction does not validate scientific classification.</t>
        </is>
      </c>
    </row>
    <row r="65">
      <c r="A65" s="5" t="inlineStr">
        <is>
          <t>S3</t>
        </is>
      </c>
      <c r="B65" s="5" t="inlineStr">
        <is>
          <t>Disease/immune programming</t>
        </is>
      </c>
      <c r="C65" s="5" t="inlineStr">
        <is>
          <t>Metabolic or
biochemical
sensing</t>
        </is>
      </c>
      <c r="D65" s="6" t="n">
        <v>0</v>
      </c>
      <c r="E65" s="7" t="n">
        <f>'Matrix_S03'!G4</f>
        <v>0</v>
      </c>
      <c r="F65" s="8" t="str">
        <f>IF(ABS(D65-E65)&lt;0.00001,"PASS","MISMATCH")</f>
        <v>PASS</v>
      </c>
      <c r="G65" s="9" t="inlineStr">
        <is>
          <t>Selected-source descriptor only; numeric reproduction does not validate scientific classification.</t>
        </is>
      </c>
    </row>
    <row r="66">
      <c r="A66" s="5" t="inlineStr">
        <is>
          <t>S3</t>
        </is>
      </c>
      <c r="B66" s="5" t="inlineStr">
        <is>
          <t>Disease/immune programming</t>
        </is>
      </c>
      <c r="C66" s="5" t="inlineStr">
        <is>
          <t>Closed-loop or
active
therapy</t>
        </is>
      </c>
      <c r="D66" s="6" t="n">
        <v>0</v>
      </c>
      <c r="E66" s="7" t="n">
        <f>'Matrix_S03'!H4</f>
        <v>0</v>
      </c>
      <c r="F66" s="8" t="str">
        <f>IF(ABS(D66-E66)&lt;0.00001,"PASS","MISMATCH")</f>
        <v>PASS</v>
      </c>
      <c r="G66" s="9" t="inlineStr">
        <is>
          <t>Selected-source descriptor only; numeric reproduction does not validate scientific classification.</t>
        </is>
      </c>
    </row>
    <row r="67">
      <c r="A67" s="5" t="inlineStr">
        <is>
          <t>S3</t>
        </is>
      </c>
      <c r="B67" s="5" t="inlineStr">
        <is>
          <t>Wound-state sensing</t>
        </is>
      </c>
      <c r="C67" s="5" t="inlineStr">
        <is>
          <t>Flow or
perfusion
control</t>
        </is>
      </c>
      <c r="D67" s="6" t="n">
        <v>0</v>
      </c>
      <c r="E67" s="7" t="n">
        <f>'Matrix_S03'!B5</f>
        <v>0</v>
      </c>
      <c r="F67" s="8" t="str">
        <f>IF(ABS(D67-E67)&lt;0.00001,"PASS","MISMATCH")</f>
        <v>PASS</v>
      </c>
      <c r="G67" s="9" t="inlineStr">
        <is>
          <t>Selected-source descriptor only; numeric reproduction does not validate scientific classification.</t>
        </is>
      </c>
    </row>
    <row r="68">
      <c r="A68" s="5" t="inlineStr">
        <is>
          <t>S3</t>
        </is>
      </c>
      <c r="B68" s="5" t="inlineStr">
        <is>
          <t>Wound-state sensing</t>
        </is>
      </c>
      <c r="C68" s="5" t="inlineStr">
        <is>
          <t>Oxygen or
angiogenic
cues</t>
        </is>
      </c>
      <c r="D68" s="6" t="n">
        <v>0</v>
      </c>
      <c r="E68" s="7" t="n">
        <f>'Matrix_S03'!C5</f>
        <v>0</v>
      </c>
      <c r="F68" s="8" t="str">
        <f>IF(ABS(D68-E68)&lt;0.00001,"PASS","MISMATCH")</f>
        <v>PASS</v>
      </c>
      <c r="G68" s="9" t="inlineStr">
        <is>
          <t>Selected-source descriptor only; numeric reproduction does not validate scientific classification.</t>
        </is>
      </c>
    </row>
    <row r="69">
      <c r="A69" s="5" t="inlineStr">
        <is>
          <t>S3</t>
        </is>
      </c>
      <c r="B69" s="5" t="inlineStr">
        <is>
          <t>Wound-state sensing</t>
        </is>
      </c>
      <c r="C69" s="5" t="inlineStr">
        <is>
          <t>Barrier or
permeation</t>
        </is>
      </c>
      <c r="D69" s="6" t="n">
        <v>0</v>
      </c>
      <c r="E69" s="7" t="n">
        <f>'Matrix_S03'!D5</f>
        <v>0</v>
      </c>
      <c r="F69" s="8" t="str">
        <f>IF(ABS(D69-E69)&lt;0.00001,"PASS","MISMATCH")</f>
        <v>PASS</v>
      </c>
      <c r="G69" s="9" t="inlineStr">
        <is>
          <t>Selected-source descriptor only; numeric reproduction does not validate scientific classification.</t>
        </is>
      </c>
    </row>
    <row r="70">
      <c r="A70" s="5" t="inlineStr">
        <is>
          <t>S3</t>
        </is>
      </c>
      <c r="B70" s="5" t="inlineStr">
        <is>
          <t>Wound-state sensing</t>
        </is>
      </c>
      <c r="C70" s="5" t="inlineStr">
        <is>
          <t>Inflammation
or immune
state</t>
        </is>
      </c>
      <c r="D70" s="6" t="n">
        <v>1</v>
      </c>
      <c r="E70" s="7" t="n">
        <f>'Matrix_S03'!E5</f>
        <v>1</v>
      </c>
      <c r="F70" s="8" t="str">
        <f>IF(ABS(D70-E70)&lt;0.00001,"PASS","MISMATCH")</f>
        <v>PASS</v>
      </c>
      <c r="G70" s="9" t="inlineStr">
        <is>
          <t>Selected-source descriptor only; numeric reproduction does not validate scientific classification.</t>
        </is>
      </c>
    </row>
    <row r="71">
      <c r="A71" s="5" t="inlineStr">
        <is>
          <t>S3</t>
        </is>
      </c>
      <c r="B71" s="5" t="inlineStr">
        <is>
          <t>Wound-state sensing</t>
        </is>
      </c>
      <c r="C71" s="5" t="inlineStr">
        <is>
          <t>Infection or
microbial
state</t>
        </is>
      </c>
      <c r="D71" s="6" t="n">
        <v>1</v>
      </c>
      <c r="E71" s="7" t="n">
        <f>'Matrix_S03'!F5</f>
        <v>1</v>
      </c>
      <c r="F71" s="8" t="str">
        <f>IF(ABS(D71-E71)&lt;0.00001,"PASS","MISMATCH")</f>
        <v>PASS</v>
      </c>
      <c r="G71" s="9" t="inlineStr">
        <is>
          <t>Selected-source descriptor only; numeric reproduction does not validate scientific classification.</t>
        </is>
      </c>
    </row>
    <row r="72">
      <c r="A72" s="5" t="inlineStr">
        <is>
          <t>S3</t>
        </is>
      </c>
      <c r="B72" s="5" t="inlineStr">
        <is>
          <t>Wound-state sensing</t>
        </is>
      </c>
      <c r="C72" s="5" t="inlineStr">
        <is>
          <t>Metabolic or
biochemical
sensing</t>
        </is>
      </c>
      <c r="D72" s="6" t="n">
        <v>3</v>
      </c>
      <c r="E72" s="7" t="n">
        <f>'Matrix_S03'!G5</f>
        <v>3</v>
      </c>
      <c r="F72" s="8" t="str">
        <f>IF(ABS(D72-E72)&lt;0.00001,"PASS","MISMATCH")</f>
        <v>PASS</v>
      </c>
      <c r="G72" s="9" t="inlineStr">
        <is>
          <t>Selected-source descriptor only; numeric reproduction does not validate scientific classification.</t>
        </is>
      </c>
    </row>
    <row r="73">
      <c r="A73" s="5" t="inlineStr">
        <is>
          <t>S3</t>
        </is>
      </c>
      <c r="B73" s="5" t="inlineStr">
        <is>
          <t>Wound-state sensing</t>
        </is>
      </c>
      <c r="C73" s="5" t="inlineStr">
        <is>
          <t>Closed-loop or
active
therapy</t>
        </is>
      </c>
      <c r="D73" s="6" t="n">
        <v>0</v>
      </c>
      <c r="E73" s="7" t="n">
        <f>'Matrix_S03'!H5</f>
        <v>0</v>
      </c>
      <c r="F73" s="8" t="str">
        <f>IF(ABS(D73-E73)&lt;0.00001,"PASS","MISMATCH")</f>
        <v>PASS</v>
      </c>
      <c r="G73" s="9" t="inlineStr">
        <is>
          <t>Selected-source descriptor only; numeric reproduction does not validate scientific classification.</t>
        </is>
      </c>
    </row>
    <row r="74">
      <c r="A74" s="5" t="inlineStr">
        <is>
          <t>S3</t>
        </is>
      </c>
      <c r="B74" s="5" t="inlineStr">
        <is>
          <t>Closed-loop therapy</t>
        </is>
      </c>
      <c r="C74" s="5" t="inlineStr">
        <is>
          <t>Flow or
perfusion
control</t>
        </is>
      </c>
      <c r="D74" s="6" t="n">
        <v>0</v>
      </c>
      <c r="E74" s="7" t="n">
        <f>'Matrix_S03'!B6</f>
        <v>0</v>
      </c>
      <c r="F74" s="8" t="str">
        <f>IF(ABS(D74-E74)&lt;0.00001,"PASS","MISMATCH")</f>
        <v>PASS</v>
      </c>
      <c r="G74" s="9" t="inlineStr">
        <is>
          <t>Selected-source descriptor only; numeric reproduction does not validate scientific classification.</t>
        </is>
      </c>
    </row>
    <row r="75">
      <c r="A75" s="5" t="inlineStr">
        <is>
          <t>S3</t>
        </is>
      </c>
      <c r="B75" s="5" t="inlineStr">
        <is>
          <t>Closed-loop therapy</t>
        </is>
      </c>
      <c r="C75" s="5" t="inlineStr">
        <is>
          <t>Oxygen or
angiogenic
cues</t>
        </is>
      </c>
      <c r="D75" s="6" t="n">
        <v>0</v>
      </c>
      <c r="E75" s="7" t="n">
        <f>'Matrix_S03'!C6</f>
        <v>0</v>
      </c>
      <c r="F75" s="8" t="str">
        <f>IF(ABS(D75-E75)&lt;0.00001,"PASS","MISMATCH")</f>
        <v>PASS</v>
      </c>
      <c r="G75" s="9" t="inlineStr">
        <is>
          <t>Selected-source descriptor only; numeric reproduction does not validate scientific classification.</t>
        </is>
      </c>
    </row>
    <row r="76">
      <c r="A76" s="5" t="inlineStr">
        <is>
          <t>S3</t>
        </is>
      </c>
      <c r="B76" s="5" t="inlineStr">
        <is>
          <t>Closed-loop therapy</t>
        </is>
      </c>
      <c r="C76" s="5" t="inlineStr">
        <is>
          <t>Barrier or
permeation</t>
        </is>
      </c>
      <c r="D76" s="6" t="n">
        <v>0</v>
      </c>
      <c r="E76" s="7" t="n">
        <f>'Matrix_S03'!D6</f>
        <v>0</v>
      </c>
      <c r="F76" s="8" t="str">
        <f>IF(ABS(D76-E76)&lt;0.00001,"PASS","MISMATCH")</f>
        <v>PASS</v>
      </c>
      <c r="G76" s="9" t="inlineStr">
        <is>
          <t>Selected-source descriptor only; numeric reproduction does not validate scientific classification.</t>
        </is>
      </c>
    </row>
    <row r="77">
      <c r="A77" s="5" t="inlineStr">
        <is>
          <t>S3</t>
        </is>
      </c>
      <c r="B77" s="5" t="inlineStr">
        <is>
          <t>Closed-loop therapy</t>
        </is>
      </c>
      <c r="C77" s="5" t="inlineStr">
        <is>
          <t>Inflammation
or immune
state</t>
        </is>
      </c>
      <c r="D77" s="6" t="n">
        <v>2</v>
      </c>
      <c r="E77" s="7" t="n">
        <f>'Matrix_S03'!E6</f>
        <v>2</v>
      </c>
      <c r="F77" s="8" t="str">
        <f>IF(ABS(D77-E77)&lt;0.00001,"PASS","MISMATCH")</f>
        <v>PASS</v>
      </c>
      <c r="G77" s="9" t="inlineStr">
        <is>
          <t>Selected-source descriptor only; numeric reproduction does not validate scientific classification.</t>
        </is>
      </c>
    </row>
    <row r="78">
      <c r="A78" s="5" t="inlineStr">
        <is>
          <t>S3</t>
        </is>
      </c>
      <c r="B78" s="5" t="inlineStr">
        <is>
          <t>Closed-loop therapy</t>
        </is>
      </c>
      <c r="C78" s="5" t="inlineStr">
        <is>
          <t>Infection or
microbial
state</t>
        </is>
      </c>
      <c r="D78" s="6" t="n">
        <v>1</v>
      </c>
      <c r="E78" s="7" t="n">
        <f>'Matrix_S03'!F6</f>
        <v>1</v>
      </c>
      <c r="F78" s="8" t="str">
        <f>IF(ABS(D78-E78)&lt;0.00001,"PASS","MISMATCH")</f>
        <v>PASS</v>
      </c>
      <c r="G78" s="9" t="inlineStr">
        <is>
          <t>Selected-source descriptor only; numeric reproduction does not validate scientific classification.</t>
        </is>
      </c>
    </row>
    <row r="79">
      <c r="A79" s="5" t="inlineStr">
        <is>
          <t>S3</t>
        </is>
      </c>
      <c r="B79" s="5" t="inlineStr">
        <is>
          <t>Closed-loop therapy</t>
        </is>
      </c>
      <c r="C79" s="5" t="inlineStr">
        <is>
          <t>Metabolic or
biochemical
sensing</t>
        </is>
      </c>
      <c r="D79" s="6" t="n">
        <v>2</v>
      </c>
      <c r="E79" s="7" t="n">
        <f>'Matrix_S03'!G6</f>
        <v>2</v>
      </c>
      <c r="F79" s="8" t="str">
        <f>IF(ABS(D79-E79)&lt;0.00001,"PASS","MISMATCH")</f>
        <v>PASS</v>
      </c>
      <c r="G79" s="9" t="inlineStr">
        <is>
          <t>Selected-source descriptor only; numeric reproduction does not validate scientific classification.</t>
        </is>
      </c>
    </row>
    <row r="80">
      <c r="A80" s="5" t="inlineStr">
        <is>
          <t>S3</t>
        </is>
      </c>
      <c r="B80" s="5" t="inlineStr">
        <is>
          <t>Closed-loop therapy</t>
        </is>
      </c>
      <c r="C80" s="5" t="inlineStr">
        <is>
          <t>Closed-loop or
active
therapy</t>
        </is>
      </c>
      <c r="D80" s="6" t="n">
        <v>2</v>
      </c>
      <c r="E80" s="7" t="n">
        <f>'Matrix_S03'!H6</f>
        <v>2</v>
      </c>
      <c r="F80" s="8" t="str">
        <f>IF(ABS(D80-E80)&lt;0.00001,"PASS","MISMATCH")</f>
        <v>PASS</v>
      </c>
      <c r="G80" s="9" t="inlineStr">
        <is>
          <t>Selected-source descriptor only; numeric reproduction does not validate scientific classification.</t>
        </is>
      </c>
    </row>
    <row r="81">
      <c r="A81" s="5" t="inlineStr">
        <is>
          <t>S4</t>
        </is>
      </c>
      <c r="B81" s="5" t="inlineStr">
        <is>
          <t>Controlled microfluidic
perturbation</t>
        </is>
      </c>
      <c r="C81" s="5" t="inlineStr">
        <is>
          <t>Imaging or
morphology</t>
        </is>
      </c>
      <c r="D81" s="6" t="n">
        <v>3</v>
      </c>
      <c r="E81" s="7" t="n">
        <f>'Matrix_S04'!B2</f>
        <v>3</v>
      </c>
      <c r="F81" s="8" t="str">
        <f>IF(ABS(D81-E81)&lt;0.00001,"PASS","MISMATCH")</f>
        <v>PASS</v>
      </c>
      <c r="G81" s="9" t="inlineStr">
        <is>
          <t>Selected-source descriptor only; numeric reproduction does not validate scientific classification.</t>
        </is>
      </c>
    </row>
    <row r="82">
      <c r="A82" s="5" t="inlineStr">
        <is>
          <t>S4</t>
        </is>
      </c>
      <c r="B82" s="5" t="inlineStr">
        <is>
          <t>Controlled microfluidic
perturbation</t>
        </is>
      </c>
      <c r="C82" s="5" t="inlineStr">
        <is>
          <t>Barrier or
permeation</t>
        </is>
      </c>
      <c r="D82" s="6" t="n">
        <v>0</v>
      </c>
      <c r="E82" s="7" t="n">
        <f>'Matrix_S04'!C2</f>
        <v>0</v>
      </c>
      <c r="F82" s="8" t="str">
        <f>IF(ABS(D82-E82)&lt;0.00001,"PASS","MISMATCH")</f>
        <v>PASS</v>
      </c>
      <c r="G82" s="9" t="inlineStr">
        <is>
          <t>Selected-source descriptor only; numeric reproduction does not validate scientific classification.</t>
        </is>
      </c>
    </row>
    <row r="83">
      <c r="A83" s="5" t="inlineStr">
        <is>
          <t>S4</t>
        </is>
      </c>
      <c r="B83" s="5" t="inlineStr">
        <is>
          <t>Controlled microfluidic
perturbation</t>
        </is>
      </c>
      <c r="C83" s="5" t="inlineStr">
        <is>
          <t>Inflammatory,
immune, or
molecular</t>
        </is>
      </c>
      <c r="D83" s="6" t="n">
        <v>1</v>
      </c>
      <c r="E83" s="7" t="n">
        <f>'Matrix_S04'!D2</f>
        <v>1</v>
      </c>
      <c r="F83" s="8" t="str">
        <f>IF(ABS(D83-E83)&lt;0.00001,"PASS","MISMATCH")</f>
        <v>PASS</v>
      </c>
      <c r="G83" s="9" t="inlineStr">
        <is>
          <t>Selected-source descriptor only; numeric reproduction does not validate scientific classification.</t>
        </is>
      </c>
    </row>
    <row r="84">
      <c r="A84" s="5" t="inlineStr">
        <is>
          <t>S4</t>
        </is>
      </c>
      <c r="B84" s="5" t="inlineStr">
        <is>
          <t>Controlled microfluidic
perturbation</t>
        </is>
      </c>
      <c r="C84" s="5" t="inlineStr">
        <is>
          <t>Metabolic or
biochemical
sensing</t>
        </is>
      </c>
      <c r="D84" s="6" t="n">
        <v>0</v>
      </c>
      <c r="E84" s="7" t="n">
        <f>'Matrix_S04'!E2</f>
        <v>0</v>
      </c>
      <c r="F84" s="8" t="str">
        <f>IF(ABS(D84-E84)&lt;0.00001,"PASS","MISMATCH")</f>
        <v>PASS</v>
      </c>
      <c r="G84" s="9" t="inlineStr">
        <is>
          <t>Selected-source descriptor only; numeric reproduction does not validate scientific classification.</t>
        </is>
      </c>
    </row>
    <row r="85">
      <c r="A85" s="5" t="inlineStr">
        <is>
          <t>S4</t>
        </is>
      </c>
      <c r="B85" s="5" t="inlineStr">
        <is>
          <t>Controlled microfluidic
perturbation</t>
        </is>
      </c>
      <c r="C85" s="5" t="inlineStr">
        <is>
          <t>Infection or
microbial</t>
        </is>
      </c>
      <c r="D85" s="6" t="n">
        <v>0</v>
      </c>
      <c r="E85" s="7" t="n">
        <f>'Matrix_S04'!F2</f>
        <v>0</v>
      </c>
      <c r="F85" s="8" t="str">
        <f>IF(ABS(D85-E85)&lt;0.00001,"PASS","MISMATCH")</f>
        <v>PASS</v>
      </c>
      <c r="G85" s="9" t="inlineStr">
        <is>
          <t>Selected-source descriptor only; numeric reproduction does not validate scientific classification.</t>
        </is>
      </c>
    </row>
    <row r="86">
      <c r="A86" s="5" t="inlineStr">
        <is>
          <t>S4</t>
        </is>
      </c>
      <c r="B86" s="5" t="inlineStr">
        <is>
          <t>Controlled microfluidic
perturbation</t>
        </is>
      </c>
      <c r="C86" s="5" t="inlineStr">
        <is>
          <t>Vascular or
angiogenic</t>
        </is>
      </c>
      <c r="D86" s="6" t="n">
        <v>2</v>
      </c>
      <c r="E86" s="7" t="n">
        <f>'Matrix_S04'!G2</f>
        <v>2</v>
      </c>
      <c r="F86" s="8" t="str">
        <f>IF(ABS(D86-E86)&lt;0.00001,"PASS","MISMATCH")</f>
        <v>PASS</v>
      </c>
      <c r="G86" s="9" t="inlineStr">
        <is>
          <t>Selected-source descriptor only; numeric reproduction does not validate scientific classification.</t>
        </is>
      </c>
    </row>
    <row r="87">
      <c r="A87" s="5" t="inlineStr">
        <is>
          <t>S4</t>
        </is>
      </c>
      <c r="B87" s="5" t="inlineStr">
        <is>
          <t>Controlled microfluidic
perturbation</t>
        </is>
      </c>
      <c r="C87" s="5" t="inlineStr">
        <is>
          <t>Drug transport or
therapy response</t>
        </is>
      </c>
      <c r="D87" s="6" t="n">
        <v>0</v>
      </c>
      <c r="E87" s="7" t="n">
        <f>'Matrix_S04'!H2</f>
        <v>0</v>
      </c>
      <c r="F87" s="8" t="str">
        <f>IF(ABS(D87-E87)&lt;0.00001,"PASS","MISMATCH")</f>
        <v>PASS</v>
      </c>
      <c r="G87" s="9" t="inlineStr">
        <is>
          <t>Selected-source descriptor only; numeric reproduction does not validate scientific classification.</t>
        </is>
      </c>
    </row>
    <row r="88">
      <c r="A88" s="5" t="inlineStr">
        <is>
          <t>S4</t>
        </is>
      </c>
      <c r="B88" s="5" t="inlineStr">
        <is>
          <t>Barrier/permeation
exposure</t>
        </is>
      </c>
      <c r="C88" s="5" t="inlineStr">
        <is>
          <t>Imaging or
morphology</t>
        </is>
      </c>
      <c r="D88" s="6" t="n">
        <v>2</v>
      </c>
      <c r="E88" s="7" t="n">
        <f>'Matrix_S04'!B3</f>
        <v>2</v>
      </c>
      <c r="F88" s="8" t="str">
        <f>IF(ABS(D88-E88)&lt;0.00001,"PASS","MISMATCH")</f>
        <v>PASS</v>
      </c>
      <c r="G88" s="9" t="inlineStr">
        <is>
          <t>Selected-source descriptor only; numeric reproduction does not validate scientific classification.</t>
        </is>
      </c>
    </row>
    <row r="89">
      <c r="A89" s="5" t="inlineStr">
        <is>
          <t>S4</t>
        </is>
      </c>
      <c r="B89" s="5" t="inlineStr">
        <is>
          <t>Barrier/permeation
exposure</t>
        </is>
      </c>
      <c r="C89" s="5" t="inlineStr">
        <is>
          <t>Barrier or
permeation</t>
        </is>
      </c>
      <c r="D89" s="6" t="n">
        <v>4</v>
      </c>
      <c r="E89" s="7" t="n">
        <f>'Matrix_S04'!C3</f>
        <v>4</v>
      </c>
      <c r="F89" s="8" t="str">
        <f>IF(ABS(D89-E89)&lt;0.00001,"PASS","MISMATCH")</f>
        <v>PASS</v>
      </c>
      <c r="G89" s="9" t="inlineStr">
        <is>
          <t>Selected-source descriptor only; numeric reproduction does not validate scientific classification.</t>
        </is>
      </c>
    </row>
    <row r="90">
      <c r="A90" s="5" t="inlineStr">
        <is>
          <t>S4</t>
        </is>
      </c>
      <c r="B90" s="5" t="inlineStr">
        <is>
          <t>Barrier/permeation
exposure</t>
        </is>
      </c>
      <c r="C90" s="5" t="inlineStr">
        <is>
          <t>Inflammatory,
immune, or
molecular</t>
        </is>
      </c>
      <c r="D90" s="6" t="n">
        <v>2</v>
      </c>
      <c r="E90" s="7" t="n">
        <f>'Matrix_S04'!D3</f>
        <v>2</v>
      </c>
      <c r="F90" s="8" t="str">
        <f>IF(ABS(D90-E90)&lt;0.00001,"PASS","MISMATCH")</f>
        <v>PASS</v>
      </c>
      <c r="G90" s="9" t="inlineStr">
        <is>
          <t>Selected-source descriptor only; numeric reproduction does not validate scientific classification.</t>
        </is>
      </c>
    </row>
    <row r="91">
      <c r="A91" s="5" t="inlineStr">
        <is>
          <t>S4</t>
        </is>
      </c>
      <c r="B91" s="5" t="inlineStr">
        <is>
          <t>Barrier/permeation
exposure</t>
        </is>
      </c>
      <c r="C91" s="5" t="inlineStr">
        <is>
          <t>Metabolic or
biochemical
sensing</t>
        </is>
      </c>
      <c r="D91" s="6" t="n">
        <v>2</v>
      </c>
      <c r="E91" s="7" t="n">
        <f>'Matrix_S04'!E3</f>
        <v>2</v>
      </c>
      <c r="F91" s="8" t="str">
        <f>IF(ABS(D91-E91)&lt;0.00001,"PASS","MISMATCH")</f>
        <v>PASS</v>
      </c>
      <c r="G91" s="9" t="inlineStr">
        <is>
          <t>Selected-source descriptor only; numeric reproduction does not validate scientific classification.</t>
        </is>
      </c>
    </row>
    <row r="92">
      <c r="A92" s="5" t="inlineStr">
        <is>
          <t>S4</t>
        </is>
      </c>
      <c r="B92" s="5" t="inlineStr">
        <is>
          <t>Barrier/permeation
exposure</t>
        </is>
      </c>
      <c r="C92" s="5" t="inlineStr">
        <is>
          <t>Infection or
microbial</t>
        </is>
      </c>
      <c r="D92" s="6" t="n">
        <v>0</v>
      </c>
      <c r="E92" s="7" t="n">
        <f>'Matrix_S04'!F3</f>
        <v>0</v>
      </c>
      <c r="F92" s="8" t="str">
        <f>IF(ABS(D92-E92)&lt;0.00001,"PASS","MISMATCH")</f>
        <v>PASS</v>
      </c>
      <c r="G92" s="9" t="inlineStr">
        <is>
          <t>Selected-source descriptor only; numeric reproduction does not validate scientific classification.</t>
        </is>
      </c>
    </row>
    <row r="93">
      <c r="A93" s="5" t="inlineStr">
        <is>
          <t>S4</t>
        </is>
      </c>
      <c r="B93" s="5" t="inlineStr">
        <is>
          <t>Barrier/permeation
exposure</t>
        </is>
      </c>
      <c r="C93" s="5" t="inlineStr">
        <is>
          <t>Vascular or
angiogenic</t>
        </is>
      </c>
      <c r="D93" s="6" t="n">
        <v>0</v>
      </c>
      <c r="E93" s="7" t="n">
        <f>'Matrix_S04'!G3</f>
        <v>0</v>
      </c>
      <c r="F93" s="8" t="str">
        <f>IF(ABS(D93-E93)&lt;0.00001,"PASS","MISMATCH")</f>
        <v>PASS</v>
      </c>
      <c r="G93" s="9" t="inlineStr">
        <is>
          <t>Selected-source descriptor only; numeric reproduction does not validate scientific classification.</t>
        </is>
      </c>
    </row>
    <row r="94">
      <c r="A94" s="5" t="inlineStr">
        <is>
          <t>S4</t>
        </is>
      </c>
      <c r="B94" s="5" t="inlineStr">
        <is>
          <t>Barrier/permeation
exposure</t>
        </is>
      </c>
      <c r="C94" s="5" t="inlineStr">
        <is>
          <t>Drug transport or
therapy response</t>
        </is>
      </c>
      <c r="D94" s="6" t="n">
        <v>5</v>
      </c>
      <c r="E94" s="7" t="n">
        <f>'Matrix_S04'!H3</f>
        <v>5</v>
      </c>
      <c r="F94" s="8" t="str">
        <f>IF(ABS(D94-E94)&lt;0.00001,"PASS","MISMATCH")</f>
        <v>PASS</v>
      </c>
      <c r="G94" s="9" t="inlineStr">
        <is>
          <t>Selected-source descriptor only; numeric reproduction does not validate scientific classification.</t>
        </is>
      </c>
    </row>
    <row r="95">
      <c r="A95" s="5" t="inlineStr">
        <is>
          <t>S4</t>
        </is>
      </c>
      <c r="B95" s="5" t="inlineStr">
        <is>
          <t>Disease/immune
programming</t>
        </is>
      </c>
      <c r="C95" s="5" t="inlineStr">
        <is>
          <t>Imaging or
morphology</t>
        </is>
      </c>
      <c r="D95" s="6" t="n">
        <v>1</v>
      </c>
      <c r="E95" s="7" t="n">
        <f>'Matrix_S04'!B4</f>
        <v>1</v>
      </c>
      <c r="F95" s="8" t="str">
        <f>IF(ABS(D95-E95)&lt;0.00001,"PASS","MISMATCH")</f>
        <v>PASS</v>
      </c>
      <c r="G95" s="9" t="inlineStr">
        <is>
          <t>Selected-source descriptor only; numeric reproduction does not validate scientific classification.</t>
        </is>
      </c>
    </row>
    <row r="96">
      <c r="A96" s="5" t="inlineStr">
        <is>
          <t>S4</t>
        </is>
      </c>
      <c r="B96" s="5" t="inlineStr">
        <is>
          <t>Disease/immune
programming</t>
        </is>
      </c>
      <c r="C96" s="5" t="inlineStr">
        <is>
          <t>Barrier or
permeation</t>
        </is>
      </c>
      <c r="D96" s="6" t="n">
        <v>2</v>
      </c>
      <c r="E96" s="7" t="n">
        <f>'Matrix_S04'!C4</f>
        <v>2</v>
      </c>
      <c r="F96" s="8" t="str">
        <f>IF(ABS(D96-E96)&lt;0.00001,"PASS","MISMATCH")</f>
        <v>PASS</v>
      </c>
      <c r="G96" s="9" t="inlineStr">
        <is>
          <t>Selected-source descriptor only; numeric reproduction does not validate scientific classification.</t>
        </is>
      </c>
    </row>
    <row r="97">
      <c r="A97" s="5" t="inlineStr">
        <is>
          <t>S4</t>
        </is>
      </c>
      <c r="B97" s="5" t="inlineStr">
        <is>
          <t>Disease/immune
programming</t>
        </is>
      </c>
      <c r="C97" s="5" t="inlineStr">
        <is>
          <t>Inflammatory,
immune, or
molecular</t>
        </is>
      </c>
      <c r="D97" s="6" t="n">
        <v>5</v>
      </c>
      <c r="E97" s="7" t="n">
        <f>'Matrix_S04'!D4</f>
        <v>5</v>
      </c>
      <c r="F97" s="8" t="str">
        <f>IF(ABS(D97-E97)&lt;0.00001,"PASS","MISMATCH")</f>
        <v>PASS</v>
      </c>
      <c r="G97" s="9" t="inlineStr">
        <is>
          <t>Selected-source descriptor only; numeric reproduction does not validate scientific classification.</t>
        </is>
      </c>
    </row>
    <row r="98">
      <c r="A98" s="5" t="inlineStr">
        <is>
          <t>S4</t>
        </is>
      </c>
      <c r="B98" s="5" t="inlineStr">
        <is>
          <t>Disease/immune
programming</t>
        </is>
      </c>
      <c r="C98" s="5" t="inlineStr">
        <is>
          <t>Metabolic or
biochemical
sensing</t>
        </is>
      </c>
      <c r="D98" s="6" t="n">
        <v>0</v>
      </c>
      <c r="E98" s="7" t="n">
        <f>'Matrix_S04'!E4</f>
        <v>0</v>
      </c>
      <c r="F98" s="8" t="str">
        <f>IF(ABS(D98-E98)&lt;0.00001,"PASS","MISMATCH")</f>
        <v>PASS</v>
      </c>
      <c r="G98" s="9" t="inlineStr">
        <is>
          <t>Selected-source descriptor only; numeric reproduction does not validate scientific classification.</t>
        </is>
      </c>
    </row>
    <row r="99">
      <c r="A99" s="5" t="inlineStr">
        <is>
          <t>S4</t>
        </is>
      </c>
      <c r="B99" s="5" t="inlineStr">
        <is>
          <t>Disease/immune
programming</t>
        </is>
      </c>
      <c r="C99" s="5" t="inlineStr">
        <is>
          <t>Infection or
microbial</t>
        </is>
      </c>
      <c r="D99" s="6" t="n">
        <v>1</v>
      </c>
      <c r="E99" s="7" t="n">
        <f>'Matrix_S04'!F4</f>
        <v>1</v>
      </c>
      <c r="F99" s="8" t="str">
        <f>IF(ABS(D99-E99)&lt;0.00001,"PASS","MISMATCH")</f>
        <v>PASS</v>
      </c>
      <c r="G99" s="9" t="inlineStr">
        <is>
          <t>Selected-source descriptor only; numeric reproduction does not validate scientific classification.</t>
        </is>
      </c>
    </row>
    <row r="100">
      <c r="A100" s="5" t="inlineStr">
        <is>
          <t>S4</t>
        </is>
      </c>
      <c r="B100" s="5" t="inlineStr">
        <is>
          <t>Disease/immune
programming</t>
        </is>
      </c>
      <c r="C100" s="5" t="inlineStr">
        <is>
          <t>Vascular or
angiogenic</t>
        </is>
      </c>
      <c r="D100" s="6" t="n">
        <v>0</v>
      </c>
      <c r="E100" s="7" t="n">
        <f>'Matrix_S04'!G4</f>
        <v>0</v>
      </c>
      <c r="F100" s="8" t="str">
        <f>IF(ABS(D100-E100)&lt;0.00001,"PASS","MISMATCH")</f>
        <v>PASS</v>
      </c>
      <c r="G100" s="9" t="inlineStr">
        <is>
          <t>Selected-source descriptor only; numeric reproduction does not validate scientific classification.</t>
        </is>
      </c>
    </row>
    <row r="101">
      <c r="A101" s="5" t="inlineStr">
        <is>
          <t>S4</t>
        </is>
      </c>
      <c r="B101" s="5" t="inlineStr">
        <is>
          <t>Disease/immune
programming</t>
        </is>
      </c>
      <c r="C101" s="5" t="inlineStr">
        <is>
          <t>Drug transport or
therapy response</t>
        </is>
      </c>
      <c r="D101" s="6" t="n">
        <v>3</v>
      </c>
      <c r="E101" s="7" t="n">
        <f>'Matrix_S04'!H4</f>
        <v>3</v>
      </c>
      <c r="F101" s="8" t="str">
        <f>IF(ABS(D101-E101)&lt;0.00001,"PASS","MISMATCH")</f>
        <v>PASS</v>
      </c>
      <c r="G101" s="9" t="inlineStr">
        <is>
          <t>Selected-source descriptor only; numeric reproduction does not validate scientific classification.</t>
        </is>
      </c>
    </row>
    <row r="102">
      <c r="A102" s="5" t="inlineStr">
        <is>
          <t>S4</t>
        </is>
      </c>
      <c r="B102" s="5" t="inlineStr">
        <is>
          <t>Wound-state
sensing</t>
        </is>
      </c>
      <c r="C102" s="5" t="inlineStr">
        <is>
          <t>Imaging or
morphology</t>
        </is>
      </c>
      <c r="D102" s="6" t="n">
        <v>0</v>
      </c>
      <c r="E102" s="7" t="n">
        <f>'Matrix_S04'!B5</f>
        <v>0</v>
      </c>
      <c r="F102" s="8" t="str">
        <f>IF(ABS(D102-E102)&lt;0.00001,"PASS","MISMATCH")</f>
        <v>PASS</v>
      </c>
      <c r="G102" s="9" t="inlineStr">
        <is>
          <t>Selected-source descriptor only; numeric reproduction does not validate scientific classification.</t>
        </is>
      </c>
    </row>
    <row r="103">
      <c r="A103" s="5" t="inlineStr">
        <is>
          <t>S4</t>
        </is>
      </c>
      <c r="B103" s="5" t="inlineStr">
        <is>
          <t>Wound-state
sensing</t>
        </is>
      </c>
      <c r="C103" s="5" t="inlineStr">
        <is>
          <t>Barrier or
permeation</t>
        </is>
      </c>
      <c r="D103" s="6" t="n">
        <v>0</v>
      </c>
      <c r="E103" s="7" t="n">
        <f>'Matrix_S04'!C5</f>
        <v>0</v>
      </c>
      <c r="F103" s="8" t="str">
        <f>IF(ABS(D103-E103)&lt;0.00001,"PASS","MISMATCH")</f>
        <v>PASS</v>
      </c>
      <c r="G103" s="9" t="inlineStr">
        <is>
          <t>Selected-source descriptor only; numeric reproduction does not validate scientific classification.</t>
        </is>
      </c>
    </row>
    <row r="104">
      <c r="A104" s="5" t="inlineStr">
        <is>
          <t>S4</t>
        </is>
      </c>
      <c r="B104" s="5" t="inlineStr">
        <is>
          <t>Wound-state
sensing</t>
        </is>
      </c>
      <c r="C104" s="5" t="inlineStr">
        <is>
          <t>Inflammatory,
immune, or
molecular</t>
        </is>
      </c>
      <c r="D104" s="6" t="n">
        <v>1</v>
      </c>
      <c r="E104" s="7" t="n">
        <f>'Matrix_S04'!D5</f>
        <v>1</v>
      </c>
      <c r="F104" s="8" t="str">
        <f>IF(ABS(D104-E104)&lt;0.00001,"PASS","MISMATCH")</f>
        <v>PASS</v>
      </c>
      <c r="G104" s="9" t="inlineStr">
        <is>
          <t>Selected-source descriptor only; numeric reproduction does not validate scientific classification.</t>
        </is>
      </c>
    </row>
    <row r="105">
      <c r="A105" s="5" t="inlineStr">
        <is>
          <t>S4</t>
        </is>
      </c>
      <c r="B105" s="5" t="inlineStr">
        <is>
          <t>Wound-state
sensing</t>
        </is>
      </c>
      <c r="C105" s="5" t="inlineStr">
        <is>
          <t>Metabolic or
biochemical
sensing</t>
        </is>
      </c>
      <c r="D105" s="6" t="n">
        <v>3</v>
      </c>
      <c r="E105" s="7" t="n">
        <f>'Matrix_S04'!E5</f>
        <v>3</v>
      </c>
      <c r="F105" s="8" t="str">
        <f>IF(ABS(D105-E105)&lt;0.00001,"PASS","MISMATCH")</f>
        <v>PASS</v>
      </c>
      <c r="G105" s="9" t="inlineStr">
        <is>
          <t>Selected-source descriptor only; numeric reproduction does not validate scientific classification.</t>
        </is>
      </c>
    </row>
    <row r="106">
      <c r="A106" s="5" t="inlineStr">
        <is>
          <t>S4</t>
        </is>
      </c>
      <c r="B106" s="5" t="inlineStr">
        <is>
          <t>Wound-state
sensing</t>
        </is>
      </c>
      <c r="C106" s="5" t="inlineStr">
        <is>
          <t>Infection or
microbial</t>
        </is>
      </c>
      <c r="D106" s="6" t="n">
        <v>1</v>
      </c>
      <c r="E106" s="7" t="n">
        <f>'Matrix_S04'!F5</f>
        <v>1</v>
      </c>
      <c r="F106" s="8" t="str">
        <f>IF(ABS(D106-E106)&lt;0.00001,"PASS","MISMATCH")</f>
        <v>PASS</v>
      </c>
      <c r="G106" s="9" t="inlineStr">
        <is>
          <t>Selected-source descriptor only; numeric reproduction does not validate scientific classification.</t>
        </is>
      </c>
    </row>
    <row r="107">
      <c r="A107" s="5" t="inlineStr">
        <is>
          <t>S4</t>
        </is>
      </c>
      <c r="B107" s="5" t="inlineStr">
        <is>
          <t>Wound-state
sensing</t>
        </is>
      </c>
      <c r="C107" s="5" t="inlineStr">
        <is>
          <t>Vascular or
angiogenic</t>
        </is>
      </c>
      <c r="D107" s="6" t="n">
        <v>0</v>
      </c>
      <c r="E107" s="7" t="n">
        <f>'Matrix_S04'!G5</f>
        <v>0</v>
      </c>
      <c r="F107" s="8" t="str">
        <f>IF(ABS(D107-E107)&lt;0.00001,"PASS","MISMATCH")</f>
        <v>PASS</v>
      </c>
      <c r="G107" s="9" t="inlineStr">
        <is>
          <t>Selected-source descriptor only; numeric reproduction does not validate scientific classification.</t>
        </is>
      </c>
    </row>
    <row r="108">
      <c r="A108" s="5" t="inlineStr">
        <is>
          <t>S4</t>
        </is>
      </c>
      <c r="B108" s="5" t="inlineStr">
        <is>
          <t>Wound-state
sensing</t>
        </is>
      </c>
      <c r="C108" s="5" t="inlineStr">
        <is>
          <t>Drug transport or
therapy response</t>
        </is>
      </c>
      <c r="D108" s="6" t="n">
        <v>1</v>
      </c>
      <c r="E108" s="7" t="n">
        <f>'Matrix_S04'!H5</f>
        <v>1</v>
      </c>
      <c r="F108" s="8" t="str">
        <f>IF(ABS(D108-E108)&lt;0.00001,"PASS","MISMATCH")</f>
        <v>PASS</v>
      </c>
      <c r="G108" s="9" t="inlineStr">
        <is>
          <t>Selected-source descriptor only; numeric reproduction does not validate scientific classification.</t>
        </is>
      </c>
    </row>
    <row r="109">
      <c r="A109" s="5" t="inlineStr">
        <is>
          <t>S4</t>
        </is>
      </c>
      <c r="B109" s="5" t="inlineStr">
        <is>
          <t>Closed-loop
therapy</t>
        </is>
      </c>
      <c r="C109" s="5" t="inlineStr">
        <is>
          <t>Imaging or
morphology</t>
        </is>
      </c>
      <c r="D109" s="6" t="n">
        <v>0</v>
      </c>
      <c r="E109" s="7" t="n">
        <f>'Matrix_S04'!B6</f>
        <v>0</v>
      </c>
      <c r="F109" s="8" t="str">
        <f>IF(ABS(D109-E109)&lt;0.00001,"PASS","MISMATCH")</f>
        <v>PASS</v>
      </c>
      <c r="G109" s="9" t="inlineStr">
        <is>
          <t>Selected-source descriptor only; numeric reproduction does not validate scientific classification.</t>
        </is>
      </c>
    </row>
    <row r="110">
      <c r="A110" s="5" t="inlineStr">
        <is>
          <t>S4</t>
        </is>
      </c>
      <c r="B110" s="5" t="inlineStr">
        <is>
          <t>Closed-loop
therapy</t>
        </is>
      </c>
      <c r="C110" s="5" t="inlineStr">
        <is>
          <t>Barrier or
permeation</t>
        </is>
      </c>
      <c r="D110" s="6" t="n">
        <v>0</v>
      </c>
      <c r="E110" s="7" t="n">
        <f>'Matrix_S04'!C6</f>
        <v>0</v>
      </c>
      <c r="F110" s="8" t="str">
        <f>IF(ABS(D110-E110)&lt;0.00001,"PASS","MISMATCH")</f>
        <v>PASS</v>
      </c>
      <c r="G110" s="9" t="inlineStr">
        <is>
          <t>Selected-source descriptor only; numeric reproduction does not validate scientific classification.</t>
        </is>
      </c>
    </row>
    <row r="111">
      <c r="A111" s="5" t="inlineStr">
        <is>
          <t>S4</t>
        </is>
      </c>
      <c r="B111" s="5" t="inlineStr">
        <is>
          <t>Closed-loop
therapy</t>
        </is>
      </c>
      <c r="C111" s="5" t="inlineStr">
        <is>
          <t>Inflammatory,
immune, or
molecular</t>
        </is>
      </c>
      <c r="D111" s="6" t="n">
        <v>0</v>
      </c>
      <c r="E111" s="7" t="n">
        <f>'Matrix_S04'!D6</f>
        <v>0</v>
      </c>
      <c r="F111" s="8" t="str">
        <f>IF(ABS(D111-E111)&lt;0.00001,"PASS","MISMATCH")</f>
        <v>PASS</v>
      </c>
      <c r="G111" s="9" t="inlineStr">
        <is>
          <t>Selected-source descriptor only; numeric reproduction does not validate scientific classification.</t>
        </is>
      </c>
    </row>
    <row r="112">
      <c r="A112" s="5" t="inlineStr">
        <is>
          <t>S4</t>
        </is>
      </c>
      <c r="B112" s="5" t="inlineStr">
        <is>
          <t>Closed-loop
therapy</t>
        </is>
      </c>
      <c r="C112" s="5" t="inlineStr">
        <is>
          <t>Metabolic or
biochemical
sensing</t>
        </is>
      </c>
      <c r="D112" s="6" t="n">
        <v>2</v>
      </c>
      <c r="E112" s="7" t="n">
        <f>'Matrix_S04'!E6</f>
        <v>2</v>
      </c>
      <c r="F112" s="8" t="str">
        <f>IF(ABS(D112-E112)&lt;0.00001,"PASS","MISMATCH")</f>
        <v>PASS</v>
      </c>
      <c r="G112" s="9" t="inlineStr">
        <is>
          <t>Selected-source descriptor only; numeric reproduction does not validate scientific classification.</t>
        </is>
      </c>
    </row>
    <row r="113">
      <c r="A113" s="5" t="inlineStr">
        <is>
          <t>S4</t>
        </is>
      </c>
      <c r="B113" s="5" t="inlineStr">
        <is>
          <t>Closed-loop
therapy</t>
        </is>
      </c>
      <c r="C113" s="5" t="inlineStr">
        <is>
          <t>Infection or
microbial</t>
        </is>
      </c>
      <c r="D113" s="6" t="n">
        <v>1</v>
      </c>
      <c r="E113" s="7" t="n">
        <f>'Matrix_S04'!F6</f>
        <v>1</v>
      </c>
      <c r="F113" s="8" t="str">
        <f>IF(ABS(D113-E113)&lt;0.00001,"PASS","MISMATCH")</f>
        <v>PASS</v>
      </c>
      <c r="G113" s="9" t="inlineStr">
        <is>
          <t>Selected-source descriptor only; numeric reproduction does not validate scientific classification.</t>
        </is>
      </c>
    </row>
    <row r="114">
      <c r="A114" s="5" t="inlineStr">
        <is>
          <t>S4</t>
        </is>
      </c>
      <c r="B114" s="5" t="inlineStr">
        <is>
          <t>Closed-loop
therapy</t>
        </is>
      </c>
      <c r="C114" s="5" t="inlineStr">
        <is>
          <t>Vascular or
angiogenic</t>
        </is>
      </c>
      <c r="D114" s="6" t="n">
        <v>0</v>
      </c>
      <c r="E114" s="7" t="n">
        <f>'Matrix_S04'!G6</f>
        <v>0</v>
      </c>
      <c r="F114" s="8" t="str">
        <f>IF(ABS(D114-E114)&lt;0.00001,"PASS","MISMATCH")</f>
        <v>PASS</v>
      </c>
      <c r="G114" s="9" t="inlineStr">
        <is>
          <t>Selected-source descriptor only; numeric reproduction does not validate scientific classification.</t>
        </is>
      </c>
    </row>
    <row r="115">
      <c r="A115" s="5" t="inlineStr">
        <is>
          <t>S4</t>
        </is>
      </c>
      <c r="B115" s="5" t="inlineStr">
        <is>
          <t>Closed-loop
therapy</t>
        </is>
      </c>
      <c r="C115" s="5" t="inlineStr">
        <is>
          <t>Drug transport or
therapy response</t>
        </is>
      </c>
      <c r="D115" s="6" t="n">
        <v>2</v>
      </c>
      <c r="E115" s="7" t="n">
        <f>'Matrix_S04'!H6</f>
        <v>2</v>
      </c>
      <c r="F115" s="8" t="str">
        <f>IF(ABS(D115-E115)&lt;0.00001,"PASS","MISMATCH")</f>
        <v>PASS</v>
      </c>
      <c r="G115" s="9" t="inlineStr">
        <is>
          <t>Selected-source descriptor only; numeric reproduction does not validate scientific classification.</t>
        </is>
      </c>
    </row>
    <row r="116">
      <c r="A116" s="5" t="inlineStr">
        <is>
          <t>S5</t>
        </is>
      </c>
      <c r="B116" s="5" t="inlineStr">
        <is>
          <t>Limited clinical or
large-animal validation</t>
        </is>
      </c>
      <c r="C116" s="5" t="inlineStr">
        <is>
          <t>Study count</t>
        </is>
      </c>
      <c r="D116" s="6" t="n">
        <v>20</v>
      </c>
      <c r="E116" s="7" t="n">
        <f>'Matrix_S05'!B2</f>
        <v>20</v>
      </c>
      <c r="F116" s="8" t="str">
        <f>IF(ABS(D116-E116)&lt;0.00001,"PASS","MISMATCH")</f>
        <v>PASS</v>
      </c>
      <c r="G116" s="9" t="inlineStr">
        <is>
          <t>Selected-source descriptor only; numeric reproduction does not validate scientific classification.</t>
        </is>
      </c>
    </row>
    <row r="117">
      <c r="A117" s="5" t="inlineStr">
        <is>
          <t>S5</t>
        </is>
      </c>
      <c r="B117" s="5" t="inlineStr">
        <is>
          <t>No chronic or
diabetic wound context</t>
        </is>
      </c>
      <c r="C117" s="5" t="inlineStr">
        <is>
          <t>Study count</t>
        </is>
      </c>
      <c r="D117" s="6" t="n">
        <v>16</v>
      </c>
      <c r="E117" s="7" t="n">
        <f>'Matrix_S05'!B3</f>
        <v>16</v>
      </c>
      <c r="F117" s="8" t="str">
        <f>IF(ABS(D117-E117)&lt;0.00001,"PASS","MISMATCH")</f>
        <v>PASS</v>
      </c>
      <c r="G117" s="9" t="inlineStr">
        <is>
          <t>Selected-source descriptor only; numeric reproduction does not validate scientific classification.</t>
        </is>
      </c>
    </row>
    <row r="118">
      <c r="A118" s="5" t="inlineStr">
        <is>
          <t>S5</t>
        </is>
      </c>
      <c r="B118" s="5" t="inlineStr">
        <is>
          <t>No direct wound
injury or closure</t>
        </is>
      </c>
      <c r="C118" s="5" t="inlineStr">
        <is>
          <t>Study count</t>
        </is>
      </c>
      <c r="D118" s="6" t="n">
        <v>15</v>
      </c>
      <c r="E118" s="7" t="n">
        <f>'Matrix_S05'!B4</f>
        <v>15</v>
      </c>
      <c r="F118" s="8" t="str">
        <f>IF(ABS(D118-E118)&lt;0.00001,"PASS","MISMATCH")</f>
        <v>PASS</v>
      </c>
      <c r="G118" s="9" t="inlineStr">
        <is>
          <t>Selected-source descriptor only; numeric reproduction does not validate scientific classification.</t>
        </is>
      </c>
    </row>
    <row r="119">
      <c r="A119" s="5" t="inlineStr">
        <is>
          <t>S5</t>
        </is>
      </c>
      <c r="B119" s="5" t="inlineStr">
        <is>
          <t>No wound-repair
therapeutic testing</t>
        </is>
      </c>
      <c r="C119" s="5" t="inlineStr">
        <is>
          <t>Study count</t>
        </is>
      </c>
      <c r="D119" s="6" t="n">
        <v>14</v>
      </c>
      <c r="E119" s="7" t="n">
        <f>'Matrix_S05'!B5</f>
        <v>14</v>
      </c>
      <c r="F119" s="8" t="str">
        <f>IF(ABS(D119-E119)&lt;0.00001,"PASS","MISMATCH")</f>
        <v>PASS</v>
      </c>
      <c r="G119" s="9" t="inlineStr">
        <is>
          <t>Selected-source descriptor only; numeric reproduction does not validate scientific classification.</t>
        </is>
      </c>
    </row>
    <row r="120">
      <c r="A120" s="5" t="inlineStr">
        <is>
          <t>S5</t>
        </is>
      </c>
      <c r="B120" s="5" t="inlineStr">
        <is>
          <t>No infection or
biofilm module</t>
        </is>
      </c>
      <c r="C120" s="5" t="inlineStr">
        <is>
          <t>Study count</t>
        </is>
      </c>
      <c r="D120" s="6" t="n">
        <v>13</v>
      </c>
      <c r="E120" s="7" t="n">
        <f>'Matrix_S05'!B6</f>
        <v>13</v>
      </c>
      <c r="F120" s="8" t="str">
        <f>IF(ABS(D120-E120)&lt;0.00001,"PASS","MISMATCH")</f>
        <v>PASS</v>
      </c>
      <c r="G120" s="9" t="inlineStr">
        <is>
          <t>Selected-source descriptor only; numeric reproduction does not validate scientific classification.</t>
        </is>
      </c>
    </row>
    <row r="121">
      <c r="A121" s="5" t="inlineStr">
        <is>
          <t>S5</t>
        </is>
      </c>
      <c r="B121" s="5" t="inlineStr">
        <is>
          <t>Limited immune-cell
complexity</t>
        </is>
      </c>
      <c r="C121" s="5" t="inlineStr">
        <is>
          <t>Study count</t>
        </is>
      </c>
      <c r="D121" s="6" t="n">
        <v>13</v>
      </c>
      <c r="E121" s="7" t="n">
        <f>'Matrix_S05'!B7</f>
        <v>13</v>
      </c>
      <c r="F121" s="8" t="str">
        <f>IF(ABS(D121-E121)&lt;0.00001,"PASS","MISMATCH")</f>
        <v>PASS</v>
      </c>
      <c r="G121" s="9" t="inlineStr">
        <is>
          <t>Selected-source descriptor only; numeric reproduction does not validate scientific classification.</t>
        </is>
      </c>
    </row>
    <row r="122">
      <c r="A122" s="5" t="inlineStr">
        <is>
          <t>S5</t>
        </is>
      </c>
      <c r="B122" s="5" t="inlineStr">
        <is>
          <t>Limited repair-quality
endpoints</t>
        </is>
      </c>
      <c r="C122" s="5" t="inlineStr">
        <is>
          <t>Study count</t>
        </is>
      </c>
      <c r="D122" s="6" t="n">
        <v>13</v>
      </c>
      <c r="E122" s="7" t="n">
        <f>'Matrix_S05'!B8</f>
        <v>13</v>
      </c>
      <c r="F122" s="8" t="str">
        <f>IF(ABS(D122-E122)&lt;0.00001,"PASS","MISMATCH")</f>
        <v>PASS</v>
      </c>
      <c r="G122" s="9" t="inlineStr">
        <is>
          <t>Selected-source descriptor only; numeric reproduction does not validate scientific classification.</t>
        </is>
      </c>
    </row>
    <row r="123">
      <c r="A123" s="5" t="inlineStr">
        <is>
          <t>S5</t>
        </is>
      </c>
      <c r="B123" s="5" t="inlineStr">
        <is>
          <t>Limited full-thickness
cutaneous fidelity</t>
        </is>
      </c>
      <c r="C123" s="5" t="inlineStr">
        <is>
          <t>Study count</t>
        </is>
      </c>
      <c r="D123" s="6" t="n">
        <v>7</v>
      </c>
      <c r="E123" s="7" t="n">
        <f>'Matrix_S05'!B9</f>
        <v>7</v>
      </c>
      <c r="F123" s="8" t="str">
        <f>IF(ABS(D123-E123)&lt;0.00001,"PASS","MISMATCH")</f>
        <v>PASS</v>
      </c>
      <c r="G123" s="9" t="inlineStr">
        <is>
          <t>Selected-source descriptor only; numeric reproduction does not validate scientific classification.</t>
        </is>
      </c>
    </row>
    <row r="124">
      <c r="A124" s="5" t="inlineStr">
        <is>
          <t>S5</t>
        </is>
      </c>
      <c r="B124" s="5" t="inlineStr">
        <is>
          <t>Scale-up or device
translation barrier</t>
        </is>
      </c>
      <c r="C124" s="5" t="inlineStr">
        <is>
          <t>Study count</t>
        </is>
      </c>
      <c r="D124" s="6" t="n">
        <v>5</v>
      </c>
      <c r="E124" s="7" t="n">
        <f>'Matrix_S05'!B10</f>
        <v>5</v>
      </c>
      <c r="F124" s="8" t="str">
        <f>IF(ABS(D124-E124)&lt;0.00001,"PASS","MISMATCH")</f>
        <v>PASS</v>
      </c>
      <c r="G124" s="9" t="inlineStr">
        <is>
          <t>Selected-source descriptor only; numeric reproduction does not validate scientific classification.</t>
        </is>
      </c>
    </row>
    <row r="125">
      <c r="A125" s="5" t="inlineStr">
        <is>
          <t>S5</t>
        </is>
      </c>
      <c r="B125" s="5" t="inlineStr">
        <is>
          <t>Single-analyte or
narrow sensor panel</t>
        </is>
      </c>
      <c r="C125" s="5" t="inlineStr">
        <is>
          <t>Study count</t>
        </is>
      </c>
      <c r="D125" s="6" t="n">
        <v>1</v>
      </c>
      <c r="E125" s="7" t="n">
        <f>'Matrix_S05'!B11</f>
        <v>1</v>
      </c>
      <c r="F125" s="8" t="str">
        <f>IF(ABS(D125-E125)&lt;0.00001,"PASS","MISMATCH")</f>
        <v>PASS</v>
      </c>
      <c r="G125" s="9" t="inlineStr">
        <is>
          <t>Selected-source descriptor only; numeric reproduction does not validate scientific classification.</t>
        </is>
      </c>
    </row>
    <row r="126">
      <c r="A126" s="5" t="inlineStr">
        <is>
          <t>S6</t>
        </is>
      </c>
      <c r="B126" s="5" t="inlineStr">
        <is>
          <t>pH-responsive</t>
        </is>
      </c>
      <c r="C126" s="5" t="inlineStr">
        <is>
          <t>Release kinetics measured</t>
        </is>
      </c>
      <c r="D126" s="6" t="n">
        <v>5</v>
      </c>
      <c r="E126" s="7" t="n">
        <f>'Matrix_S06'!B2</f>
        <v>5</v>
      </c>
      <c r="F126" s="8" t="str">
        <f>IF(ABS(D126-E126)&lt;0.00001,"PASS","MISMATCH")</f>
        <v>PASS</v>
      </c>
      <c r="G126" s="9" t="inlineStr">
        <is>
          <t>Selected-source descriptor only; numeric reproduction does not validate scientific classification.</t>
        </is>
      </c>
    </row>
    <row r="127">
      <c r="A127" s="5" t="inlineStr">
        <is>
          <t>S6</t>
        </is>
      </c>
      <c r="B127" s="5" t="inlineStr">
        <is>
          <t>pH-responsive</t>
        </is>
      </c>
      <c r="C127" s="5" t="inlineStr">
        <is>
          <t>Antimicrobial or biofilm control</t>
        </is>
      </c>
      <c r="D127" s="6" t="n">
        <v>5</v>
      </c>
      <c r="E127" s="7" t="n">
        <f>'Matrix_S06'!C2</f>
        <v>5</v>
      </c>
      <c r="F127" s="8" t="str">
        <f>IF(ABS(D127-E127)&lt;0.00001,"PASS","MISMATCH")</f>
        <v>PASS</v>
      </c>
      <c r="G127" s="9" t="inlineStr">
        <is>
          <t>Selected-source descriptor only; numeric reproduction does not validate scientific classification.</t>
        </is>
      </c>
    </row>
    <row r="128">
      <c r="A128" s="5" t="inlineStr">
        <is>
          <t>S6</t>
        </is>
      </c>
      <c r="B128" s="5" t="inlineStr">
        <is>
          <t>pH-responsive</t>
        </is>
      </c>
      <c r="C128" s="5" t="inlineStr">
        <is>
          <t>Inflammation or macrophage modulation</t>
        </is>
      </c>
      <c r="D128" s="6" t="n">
        <v>5</v>
      </c>
      <c r="E128" s="7" t="n">
        <f>'Matrix_S06'!D2</f>
        <v>5</v>
      </c>
      <c r="F128" s="8" t="str">
        <f>IF(ABS(D128-E128)&lt;0.00001,"PASS","MISMATCH")</f>
        <v>PASS</v>
      </c>
      <c r="G128" s="9" t="inlineStr">
        <is>
          <t>Selected-source descriptor only; numeric reproduction does not validate scientific classification.</t>
        </is>
      </c>
    </row>
    <row r="129">
      <c r="A129" s="5" t="inlineStr">
        <is>
          <t>S6</t>
        </is>
      </c>
      <c r="B129" s="5" t="inlineStr">
        <is>
          <t>pH-responsive</t>
        </is>
      </c>
      <c r="C129" s="5" t="inlineStr">
        <is>
          <t>Angiogenesis</t>
        </is>
      </c>
      <c r="D129" s="6" t="n">
        <v>4</v>
      </c>
      <c r="E129" s="7" t="n">
        <f>'Matrix_S06'!E2</f>
        <v>4</v>
      </c>
      <c r="F129" s="8" t="str">
        <f>IF(ABS(D129-E129)&lt;0.00001,"PASS","MISMATCH")</f>
        <v>PASS</v>
      </c>
      <c r="G129" s="9" t="inlineStr">
        <is>
          <t>Selected-source descriptor only; numeric reproduction does not validate scientific classification.</t>
        </is>
      </c>
    </row>
    <row r="130">
      <c r="A130" s="5" t="inlineStr">
        <is>
          <t>S6</t>
        </is>
      </c>
      <c r="B130" s="5" t="inlineStr">
        <is>
          <t>pH-responsive</t>
        </is>
      </c>
      <c r="C130" s="5" t="inlineStr">
        <is>
          <t>Collagen or matrix remodeling</t>
        </is>
      </c>
      <c r="D130" s="6" t="n">
        <v>5</v>
      </c>
      <c r="E130" s="7" t="n">
        <f>'Matrix_S06'!F2</f>
        <v>5</v>
      </c>
      <c r="F130" s="8" t="str">
        <f>IF(ABS(D130-E130)&lt;0.00001,"PASS","MISMATCH")</f>
        <v>PASS</v>
      </c>
      <c r="G130" s="9" t="inlineStr">
        <is>
          <t>Selected-source descriptor only; numeric reproduction does not validate scientific classification.</t>
        </is>
      </c>
    </row>
    <row r="131">
      <c r="A131" s="5" t="inlineStr">
        <is>
          <t>S6</t>
        </is>
      </c>
      <c r="B131" s="5" t="inlineStr">
        <is>
          <t>pH-responsive</t>
        </is>
      </c>
      <c r="C131" s="5" t="inlineStr">
        <is>
          <t>Re-epithelialization</t>
        </is>
      </c>
      <c r="D131" s="6" t="n">
        <v>5</v>
      </c>
      <c r="E131" s="7" t="n">
        <f>'Matrix_S06'!G2</f>
        <v>5</v>
      </c>
      <c r="F131" s="8" t="str">
        <f>IF(ABS(D131-E131)&lt;0.00001,"PASS","MISMATCH")</f>
        <v>PASS</v>
      </c>
      <c r="G131" s="9" t="inlineStr">
        <is>
          <t>Selected-source descriptor only; numeric reproduction does not validate scientific classification.</t>
        </is>
      </c>
    </row>
    <row r="132">
      <c r="A132" s="5" t="inlineStr">
        <is>
          <t>S6</t>
        </is>
      </c>
      <c r="B132" s="5" t="inlineStr">
        <is>
          <t>pH-responsive</t>
        </is>
      </c>
      <c r="C132" s="5" t="inlineStr">
        <is>
          <t>Wound closure</t>
        </is>
      </c>
      <c r="D132" s="6" t="n">
        <v>5</v>
      </c>
      <c r="E132" s="7" t="n">
        <f>'Matrix_S06'!H2</f>
        <v>5</v>
      </c>
      <c r="F132" s="8" t="str">
        <f>IF(ABS(D132-E132)&lt;0.00001,"PASS","MISMATCH")</f>
        <v>PASS</v>
      </c>
      <c r="G132" s="9" t="inlineStr">
        <is>
          <t>Selected-source descriptor only; numeric reproduction does not validate scientific classification.</t>
        </is>
      </c>
    </row>
    <row r="133">
      <c r="A133" s="5" t="inlineStr">
        <is>
          <t>S6</t>
        </is>
      </c>
      <c r="B133" s="5" t="inlineStr">
        <is>
          <t>pH-responsive</t>
        </is>
      </c>
      <c r="C133" s="5" t="inlineStr">
        <is>
          <t>Safety or cytocompatibility</t>
        </is>
      </c>
      <c r="D133" s="6" t="n">
        <v>5</v>
      </c>
      <c r="E133" s="7" t="n">
        <f>'Matrix_S06'!I2</f>
        <v>5</v>
      </c>
      <c r="F133" s="8" t="str">
        <f>IF(ABS(D133-E133)&lt;0.00001,"PASS","MISMATCH")</f>
        <v>PASS</v>
      </c>
      <c r="G133" s="9" t="inlineStr">
        <is>
          <t>Selected-source descriptor only; numeric reproduction does not validate scientific classification.</t>
        </is>
      </c>
    </row>
    <row r="134">
      <c r="A134" s="5" t="inlineStr">
        <is>
          <t>S6</t>
        </is>
      </c>
      <c r="B134" s="5" t="inlineStr">
        <is>
          <t>ROS/redox-responsive</t>
        </is>
      </c>
      <c r="C134" s="5" t="inlineStr">
        <is>
          <t>Release kinetics measured</t>
        </is>
      </c>
      <c r="D134" s="6" t="n">
        <v>7</v>
      </c>
      <c r="E134" s="7" t="n">
        <f>'Matrix_S06'!B3</f>
        <v>7</v>
      </c>
      <c r="F134" s="8" t="str">
        <f>IF(ABS(D134-E134)&lt;0.00001,"PASS","MISMATCH")</f>
        <v>PASS</v>
      </c>
      <c r="G134" s="9" t="inlineStr">
        <is>
          <t>Selected-source descriptor only; numeric reproduction does not validate scientific classification.</t>
        </is>
      </c>
    </row>
    <row r="135">
      <c r="A135" s="5" t="inlineStr">
        <is>
          <t>S6</t>
        </is>
      </c>
      <c r="B135" s="5" t="inlineStr">
        <is>
          <t>ROS/redox-responsive</t>
        </is>
      </c>
      <c r="C135" s="5" t="inlineStr">
        <is>
          <t>Antimicrobial or biofilm control</t>
        </is>
      </c>
      <c r="D135" s="6" t="n">
        <v>6</v>
      </c>
      <c r="E135" s="7" t="n">
        <f>'Matrix_S06'!C3</f>
        <v>6</v>
      </c>
      <c r="F135" s="8" t="str">
        <f>IF(ABS(D135-E135)&lt;0.00001,"PASS","MISMATCH")</f>
        <v>PASS</v>
      </c>
      <c r="G135" s="9" t="inlineStr">
        <is>
          <t>Selected-source descriptor only; numeric reproduction does not validate scientific classification.</t>
        </is>
      </c>
    </row>
    <row r="136">
      <c r="A136" s="5" t="inlineStr">
        <is>
          <t>S6</t>
        </is>
      </c>
      <c r="B136" s="5" t="inlineStr">
        <is>
          <t>ROS/redox-responsive</t>
        </is>
      </c>
      <c r="C136" s="5" t="inlineStr">
        <is>
          <t>Inflammation or macrophage modulation</t>
        </is>
      </c>
      <c r="D136" s="6" t="n">
        <v>7</v>
      </c>
      <c r="E136" s="7" t="n">
        <f>'Matrix_S06'!D3</f>
        <v>7</v>
      </c>
      <c r="F136" s="8" t="str">
        <f>IF(ABS(D136-E136)&lt;0.00001,"PASS","MISMATCH")</f>
        <v>PASS</v>
      </c>
      <c r="G136" s="9" t="inlineStr">
        <is>
          <t>Selected-source descriptor only; numeric reproduction does not validate scientific classification.</t>
        </is>
      </c>
    </row>
    <row r="137">
      <c r="A137" s="5" t="inlineStr">
        <is>
          <t>S6</t>
        </is>
      </c>
      <c r="B137" s="5" t="inlineStr">
        <is>
          <t>ROS/redox-responsive</t>
        </is>
      </c>
      <c r="C137" s="5" t="inlineStr">
        <is>
          <t>Angiogenesis</t>
        </is>
      </c>
      <c r="D137" s="6" t="n">
        <v>6</v>
      </c>
      <c r="E137" s="7" t="n">
        <f>'Matrix_S06'!E3</f>
        <v>6</v>
      </c>
      <c r="F137" s="8" t="str">
        <f>IF(ABS(D137-E137)&lt;0.00001,"PASS","MISMATCH")</f>
        <v>PASS</v>
      </c>
      <c r="G137" s="9" t="inlineStr">
        <is>
          <t>Selected-source descriptor only; numeric reproduction does not validate scientific classification.</t>
        </is>
      </c>
    </row>
    <row r="138">
      <c r="A138" s="5" t="inlineStr">
        <is>
          <t>S6</t>
        </is>
      </c>
      <c r="B138" s="5" t="inlineStr">
        <is>
          <t>ROS/redox-responsive</t>
        </is>
      </c>
      <c r="C138" s="5" t="inlineStr">
        <is>
          <t>Collagen or matrix remodeling</t>
        </is>
      </c>
      <c r="D138" s="6" t="n">
        <v>7</v>
      </c>
      <c r="E138" s="7" t="n">
        <f>'Matrix_S06'!F3</f>
        <v>7</v>
      </c>
      <c r="F138" s="8" t="str">
        <f>IF(ABS(D138-E138)&lt;0.00001,"PASS","MISMATCH")</f>
        <v>PASS</v>
      </c>
      <c r="G138" s="9" t="inlineStr">
        <is>
          <t>Selected-source descriptor only; numeric reproduction does not validate scientific classification.</t>
        </is>
      </c>
    </row>
    <row r="139">
      <c r="A139" s="5" t="inlineStr">
        <is>
          <t>S6</t>
        </is>
      </c>
      <c r="B139" s="5" t="inlineStr">
        <is>
          <t>ROS/redox-responsive</t>
        </is>
      </c>
      <c r="C139" s="5" t="inlineStr">
        <is>
          <t>Re-epithelialization</t>
        </is>
      </c>
      <c r="D139" s="6" t="n">
        <v>5</v>
      </c>
      <c r="E139" s="7" t="n">
        <f>'Matrix_S06'!G3</f>
        <v>5</v>
      </c>
      <c r="F139" s="8" t="str">
        <f>IF(ABS(D139-E139)&lt;0.00001,"PASS","MISMATCH")</f>
        <v>PASS</v>
      </c>
      <c r="G139" s="9" t="inlineStr">
        <is>
          <t>Selected-source descriptor only; numeric reproduction does not validate scientific classification.</t>
        </is>
      </c>
    </row>
    <row r="140">
      <c r="A140" s="5" t="inlineStr">
        <is>
          <t>S6</t>
        </is>
      </c>
      <c r="B140" s="5" t="inlineStr">
        <is>
          <t>ROS/redox-responsive</t>
        </is>
      </c>
      <c r="C140" s="5" t="inlineStr">
        <is>
          <t>Wound closure</t>
        </is>
      </c>
      <c r="D140" s="6" t="n">
        <v>7</v>
      </c>
      <c r="E140" s="7" t="n">
        <f>'Matrix_S06'!H3</f>
        <v>7</v>
      </c>
      <c r="F140" s="8" t="str">
        <f>IF(ABS(D140-E140)&lt;0.00001,"PASS","MISMATCH")</f>
        <v>PASS</v>
      </c>
      <c r="G140" s="9" t="inlineStr">
        <is>
          <t>Selected-source descriptor only; numeric reproduction does not validate scientific classification.</t>
        </is>
      </c>
    </row>
    <row r="141">
      <c r="A141" s="5" t="inlineStr">
        <is>
          <t>S6</t>
        </is>
      </c>
      <c r="B141" s="5" t="inlineStr">
        <is>
          <t>ROS/redox-responsive</t>
        </is>
      </c>
      <c r="C141" s="5" t="inlineStr">
        <is>
          <t>Safety or cytocompatibility</t>
        </is>
      </c>
      <c r="D141" s="6" t="n">
        <v>6</v>
      </c>
      <c r="E141" s="7" t="n">
        <f>'Matrix_S06'!I3</f>
        <v>6</v>
      </c>
      <c r="F141" s="8" t="str">
        <f>IF(ABS(D141-E141)&lt;0.00001,"PASS","MISMATCH")</f>
        <v>PASS</v>
      </c>
      <c r="G141" s="9" t="inlineStr">
        <is>
          <t>Selected-source descriptor only; numeric reproduction does not validate scientific classification.</t>
        </is>
      </c>
    </row>
    <row r="142">
      <c r="A142" s="5" t="inlineStr">
        <is>
          <t>S6</t>
        </is>
      </c>
      <c r="B142" s="5" t="inlineStr">
        <is>
          <t>Glucose-responsive</t>
        </is>
      </c>
      <c r="C142" s="5" t="inlineStr">
        <is>
          <t>Release kinetics measured</t>
        </is>
      </c>
      <c r="D142" s="6" t="n">
        <v>1</v>
      </c>
      <c r="E142" s="7" t="n">
        <f>'Matrix_S06'!B4</f>
        <v>1</v>
      </c>
      <c r="F142" s="8" t="str">
        <f>IF(ABS(D142-E142)&lt;0.00001,"PASS","MISMATCH")</f>
        <v>PASS</v>
      </c>
      <c r="G142" s="9" t="inlineStr">
        <is>
          <t>Selected-source descriptor only; numeric reproduction does not validate scientific classification.</t>
        </is>
      </c>
    </row>
    <row r="143">
      <c r="A143" s="5" t="inlineStr">
        <is>
          <t>S6</t>
        </is>
      </c>
      <c r="B143" s="5" t="inlineStr">
        <is>
          <t>Glucose-responsive</t>
        </is>
      </c>
      <c r="C143" s="5" t="inlineStr">
        <is>
          <t>Antimicrobial or biofilm control</t>
        </is>
      </c>
      <c r="D143" s="6" t="n">
        <v>0</v>
      </c>
      <c r="E143" s="7" t="n">
        <f>'Matrix_S06'!C4</f>
        <v>0</v>
      </c>
      <c r="F143" s="8" t="str">
        <f>IF(ABS(D143-E143)&lt;0.00001,"PASS","MISMATCH")</f>
        <v>PASS</v>
      </c>
      <c r="G143" s="9" t="inlineStr">
        <is>
          <t>Selected-source descriptor only; numeric reproduction does not validate scientific classification.</t>
        </is>
      </c>
    </row>
    <row r="144">
      <c r="A144" s="5" t="inlineStr">
        <is>
          <t>S6</t>
        </is>
      </c>
      <c r="B144" s="5" t="inlineStr">
        <is>
          <t>Glucose-responsive</t>
        </is>
      </c>
      <c r="C144" s="5" t="inlineStr">
        <is>
          <t>Inflammation or macrophage modulation</t>
        </is>
      </c>
      <c r="D144" s="6" t="n">
        <v>1</v>
      </c>
      <c r="E144" s="7" t="n">
        <f>'Matrix_S06'!D4</f>
        <v>1</v>
      </c>
      <c r="F144" s="8" t="str">
        <f>IF(ABS(D144-E144)&lt;0.00001,"PASS","MISMATCH")</f>
        <v>PASS</v>
      </c>
      <c r="G144" s="9" t="inlineStr">
        <is>
          <t>Selected-source descriptor only; numeric reproduction does not validate scientific classification.</t>
        </is>
      </c>
    </row>
    <row r="145">
      <c r="A145" s="5" t="inlineStr">
        <is>
          <t>S6</t>
        </is>
      </c>
      <c r="B145" s="5" t="inlineStr">
        <is>
          <t>Glucose-responsive</t>
        </is>
      </c>
      <c r="C145" s="5" t="inlineStr">
        <is>
          <t>Angiogenesis</t>
        </is>
      </c>
      <c r="D145" s="6" t="n">
        <v>1</v>
      </c>
      <c r="E145" s="7" t="n">
        <f>'Matrix_S06'!E4</f>
        <v>1</v>
      </c>
      <c r="F145" s="8" t="str">
        <f>IF(ABS(D145-E145)&lt;0.00001,"PASS","MISMATCH")</f>
        <v>PASS</v>
      </c>
      <c r="G145" s="9" t="inlineStr">
        <is>
          <t>Selected-source descriptor only; numeric reproduction does not validate scientific classification.</t>
        </is>
      </c>
    </row>
    <row r="146">
      <c r="A146" s="5" t="inlineStr">
        <is>
          <t>S6</t>
        </is>
      </c>
      <c r="B146" s="5" t="inlineStr">
        <is>
          <t>Glucose-responsive</t>
        </is>
      </c>
      <c r="C146" s="5" t="inlineStr">
        <is>
          <t>Collagen or matrix remodeling</t>
        </is>
      </c>
      <c r="D146" s="6" t="n">
        <v>1</v>
      </c>
      <c r="E146" s="7" t="n">
        <f>'Matrix_S06'!F4</f>
        <v>1</v>
      </c>
      <c r="F146" s="8" t="str">
        <f>IF(ABS(D146-E146)&lt;0.00001,"PASS","MISMATCH")</f>
        <v>PASS</v>
      </c>
      <c r="G146" s="9" t="inlineStr">
        <is>
          <t>Selected-source descriptor only; numeric reproduction does not validate scientific classification.</t>
        </is>
      </c>
    </row>
    <row r="147">
      <c r="A147" s="5" t="inlineStr">
        <is>
          <t>S6</t>
        </is>
      </c>
      <c r="B147" s="5" t="inlineStr">
        <is>
          <t>Glucose-responsive</t>
        </is>
      </c>
      <c r="C147" s="5" t="inlineStr">
        <is>
          <t>Re-epithelialization</t>
        </is>
      </c>
      <c r="D147" s="6" t="n">
        <v>1</v>
      </c>
      <c r="E147" s="7" t="n">
        <f>'Matrix_S06'!G4</f>
        <v>1</v>
      </c>
      <c r="F147" s="8" t="str">
        <f>IF(ABS(D147-E147)&lt;0.00001,"PASS","MISMATCH")</f>
        <v>PASS</v>
      </c>
      <c r="G147" s="9" t="inlineStr">
        <is>
          <t>Selected-source descriptor only; numeric reproduction does not validate scientific classification.</t>
        </is>
      </c>
    </row>
    <row r="148">
      <c r="A148" s="5" t="inlineStr">
        <is>
          <t>S6</t>
        </is>
      </c>
      <c r="B148" s="5" t="inlineStr">
        <is>
          <t>Glucose-responsive</t>
        </is>
      </c>
      <c r="C148" s="5" t="inlineStr">
        <is>
          <t>Wound closure</t>
        </is>
      </c>
      <c r="D148" s="6" t="n">
        <v>1</v>
      </c>
      <c r="E148" s="7" t="n">
        <f>'Matrix_S06'!H4</f>
        <v>1</v>
      </c>
      <c r="F148" s="8" t="str">
        <f>IF(ABS(D148-E148)&lt;0.00001,"PASS","MISMATCH")</f>
        <v>PASS</v>
      </c>
      <c r="G148" s="9" t="inlineStr">
        <is>
          <t>Selected-source descriptor only; numeric reproduction does not validate scientific classification.</t>
        </is>
      </c>
    </row>
    <row r="149">
      <c r="A149" s="5" t="inlineStr">
        <is>
          <t>S6</t>
        </is>
      </c>
      <c r="B149" s="5" t="inlineStr">
        <is>
          <t>Glucose-responsive</t>
        </is>
      </c>
      <c r="C149" s="5" t="inlineStr">
        <is>
          <t>Safety or cytocompatibility</t>
        </is>
      </c>
      <c r="D149" s="6" t="n">
        <v>1</v>
      </c>
      <c r="E149" s="7" t="n">
        <f>'Matrix_S06'!I4</f>
        <v>1</v>
      </c>
      <c r="F149" s="8" t="str">
        <f>IF(ABS(D149-E149)&lt;0.00001,"PASS","MISMATCH")</f>
        <v>PASS</v>
      </c>
      <c r="G149" s="9" t="inlineStr">
        <is>
          <t>Selected-source descriptor only; numeric reproduction does not validate scientific classification.</t>
        </is>
      </c>
    </row>
    <row r="150">
      <c r="A150" s="5" t="inlineStr">
        <is>
          <t>S6</t>
        </is>
      </c>
      <c r="B150" s="5" t="inlineStr">
        <is>
          <t>Enzyme-responsive</t>
        </is>
      </c>
      <c r="C150" s="5" t="inlineStr">
        <is>
          <t>Release kinetics measured</t>
        </is>
      </c>
      <c r="D150" s="6" t="n">
        <v>3</v>
      </c>
      <c r="E150" s="7" t="n">
        <f>'Matrix_S06'!B5</f>
        <v>3</v>
      </c>
      <c r="F150" s="8" t="str">
        <f>IF(ABS(D150-E150)&lt;0.00001,"PASS","MISMATCH")</f>
        <v>PASS</v>
      </c>
      <c r="G150" s="9" t="inlineStr">
        <is>
          <t>Selected-source descriptor only; numeric reproduction does not validate scientific classification.</t>
        </is>
      </c>
    </row>
    <row r="151">
      <c r="A151" s="5" t="inlineStr">
        <is>
          <t>S6</t>
        </is>
      </c>
      <c r="B151" s="5" t="inlineStr">
        <is>
          <t>Enzyme-responsive</t>
        </is>
      </c>
      <c r="C151" s="5" t="inlineStr">
        <is>
          <t>Antimicrobial or biofilm control</t>
        </is>
      </c>
      <c r="D151" s="6" t="n">
        <v>3</v>
      </c>
      <c r="E151" s="7" t="n">
        <f>'Matrix_S06'!C5</f>
        <v>3</v>
      </c>
      <c r="F151" s="8" t="str">
        <f>IF(ABS(D151-E151)&lt;0.00001,"PASS","MISMATCH")</f>
        <v>PASS</v>
      </c>
      <c r="G151" s="9" t="inlineStr">
        <is>
          <t>Selected-source descriptor only; numeric reproduction does not validate scientific classification.</t>
        </is>
      </c>
    </row>
    <row r="152">
      <c r="A152" s="5" t="inlineStr">
        <is>
          <t>S6</t>
        </is>
      </c>
      <c r="B152" s="5" t="inlineStr">
        <is>
          <t>Enzyme-responsive</t>
        </is>
      </c>
      <c r="C152" s="5" t="inlineStr">
        <is>
          <t>Inflammation or macrophage modulation</t>
        </is>
      </c>
      <c r="D152" s="6" t="n">
        <v>2</v>
      </c>
      <c r="E152" s="7" t="n">
        <f>'Matrix_S06'!D5</f>
        <v>2</v>
      </c>
      <c r="F152" s="8" t="str">
        <f>IF(ABS(D152-E152)&lt;0.00001,"PASS","MISMATCH")</f>
        <v>PASS</v>
      </c>
      <c r="G152" s="9" t="inlineStr">
        <is>
          <t>Selected-source descriptor only; numeric reproduction does not validate scientific classification.</t>
        </is>
      </c>
    </row>
    <row r="153">
      <c r="A153" s="5" t="inlineStr">
        <is>
          <t>S6</t>
        </is>
      </c>
      <c r="B153" s="5" t="inlineStr">
        <is>
          <t>Enzyme-responsive</t>
        </is>
      </c>
      <c r="C153" s="5" t="inlineStr">
        <is>
          <t>Angiogenesis</t>
        </is>
      </c>
      <c r="D153" s="6" t="n">
        <v>1</v>
      </c>
      <c r="E153" s="7" t="n">
        <f>'Matrix_S06'!E5</f>
        <v>1</v>
      </c>
      <c r="F153" s="8" t="str">
        <f>IF(ABS(D153-E153)&lt;0.00001,"PASS","MISMATCH")</f>
        <v>PASS</v>
      </c>
      <c r="G153" s="9" t="inlineStr">
        <is>
          <t>Selected-source descriptor only; numeric reproduction does not validate scientific classification.</t>
        </is>
      </c>
    </row>
    <row r="154">
      <c r="A154" s="5" t="inlineStr">
        <is>
          <t>S6</t>
        </is>
      </c>
      <c r="B154" s="5" t="inlineStr">
        <is>
          <t>Enzyme-responsive</t>
        </is>
      </c>
      <c r="C154" s="5" t="inlineStr">
        <is>
          <t>Collagen or matrix remodeling</t>
        </is>
      </c>
      <c r="D154" s="6" t="n">
        <v>3</v>
      </c>
      <c r="E154" s="7" t="n">
        <f>'Matrix_S06'!F5</f>
        <v>3</v>
      </c>
      <c r="F154" s="8" t="str">
        <f>IF(ABS(D154-E154)&lt;0.00001,"PASS","MISMATCH")</f>
        <v>PASS</v>
      </c>
      <c r="G154" s="9" t="inlineStr">
        <is>
          <t>Selected-source descriptor only; numeric reproduction does not validate scientific classification.</t>
        </is>
      </c>
    </row>
    <row r="155">
      <c r="A155" s="5" t="inlineStr">
        <is>
          <t>S6</t>
        </is>
      </c>
      <c r="B155" s="5" t="inlineStr">
        <is>
          <t>Enzyme-responsive</t>
        </is>
      </c>
      <c r="C155" s="5" t="inlineStr">
        <is>
          <t>Re-epithelialization</t>
        </is>
      </c>
      <c r="D155" s="6" t="n">
        <v>3</v>
      </c>
      <c r="E155" s="7" t="n">
        <f>'Matrix_S06'!G5</f>
        <v>3</v>
      </c>
      <c r="F155" s="8" t="str">
        <f>IF(ABS(D155-E155)&lt;0.00001,"PASS","MISMATCH")</f>
        <v>PASS</v>
      </c>
      <c r="G155" s="9" t="inlineStr">
        <is>
          <t>Selected-source descriptor only; numeric reproduction does not validate scientific classification.</t>
        </is>
      </c>
    </row>
    <row r="156">
      <c r="A156" s="5" t="inlineStr">
        <is>
          <t>S6</t>
        </is>
      </c>
      <c r="B156" s="5" t="inlineStr">
        <is>
          <t>Enzyme-responsive</t>
        </is>
      </c>
      <c r="C156" s="5" t="inlineStr">
        <is>
          <t>Wound closure</t>
        </is>
      </c>
      <c r="D156" s="6" t="n">
        <v>2</v>
      </c>
      <c r="E156" s="7" t="n">
        <f>'Matrix_S06'!H5</f>
        <v>2</v>
      </c>
      <c r="F156" s="8" t="str">
        <f>IF(ABS(D156-E156)&lt;0.00001,"PASS","MISMATCH")</f>
        <v>PASS</v>
      </c>
      <c r="G156" s="9" t="inlineStr">
        <is>
          <t>Selected-source descriptor only; numeric reproduction does not validate scientific classification.</t>
        </is>
      </c>
    </row>
    <row r="157">
      <c r="A157" s="5" t="inlineStr">
        <is>
          <t>S6</t>
        </is>
      </c>
      <c r="B157" s="5" t="inlineStr">
        <is>
          <t>Enzyme-responsive</t>
        </is>
      </c>
      <c r="C157" s="5" t="inlineStr">
        <is>
          <t>Safety or cytocompatibility</t>
        </is>
      </c>
      <c r="D157" s="6" t="n">
        <v>3</v>
      </c>
      <c r="E157" s="7" t="n">
        <f>'Matrix_S06'!I5</f>
        <v>3</v>
      </c>
      <c r="F157" s="8" t="str">
        <f>IF(ABS(D157-E157)&lt;0.00001,"PASS","MISMATCH")</f>
        <v>PASS</v>
      </c>
      <c r="G157" s="9" t="inlineStr">
        <is>
          <t>Selected-source descriptor only; numeric reproduction does not validate scientific classification.</t>
        </is>
      </c>
    </row>
    <row r="158">
      <c r="A158" s="5" t="inlineStr">
        <is>
          <t>S6</t>
        </is>
      </c>
      <c r="B158" s="5" t="inlineStr">
        <is>
          <t>Thermo/NIR or externally actuated</t>
        </is>
      </c>
      <c r="C158" s="5" t="inlineStr">
        <is>
          <t>Release kinetics measured</t>
        </is>
      </c>
      <c r="D158" s="6" t="n">
        <v>7</v>
      </c>
      <c r="E158" s="7" t="n">
        <f>'Matrix_S06'!B6</f>
        <v>7</v>
      </c>
      <c r="F158" s="8" t="str">
        <f>IF(ABS(D158-E158)&lt;0.00001,"PASS","MISMATCH")</f>
        <v>PASS</v>
      </c>
      <c r="G158" s="9" t="inlineStr">
        <is>
          <t>Selected-source descriptor only; numeric reproduction does not validate scientific classification.</t>
        </is>
      </c>
    </row>
    <row r="159">
      <c r="A159" s="5" t="inlineStr">
        <is>
          <t>S6</t>
        </is>
      </c>
      <c r="B159" s="5" t="inlineStr">
        <is>
          <t>Thermo/NIR or externally actuated</t>
        </is>
      </c>
      <c r="C159" s="5" t="inlineStr">
        <is>
          <t>Antimicrobial or biofilm control</t>
        </is>
      </c>
      <c r="D159" s="6" t="n">
        <v>7</v>
      </c>
      <c r="E159" s="7" t="n">
        <f>'Matrix_S06'!C6</f>
        <v>7</v>
      </c>
      <c r="F159" s="8" t="str">
        <f>IF(ABS(D159-E159)&lt;0.00001,"PASS","MISMATCH")</f>
        <v>PASS</v>
      </c>
      <c r="G159" s="9" t="inlineStr">
        <is>
          <t>Selected-source descriptor only; numeric reproduction does not validate scientific classification.</t>
        </is>
      </c>
    </row>
    <row r="160">
      <c r="A160" s="5" t="inlineStr">
        <is>
          <t>S6</t>
        </is>
      </c>
      <c r="B160" s="5" t="inlineStr">
        <is>
          <t>Thermo/NIR or externally actuated</t>
        </is>
      </c>
      <c r="C160" s="5" t="inlineStr">
        <is>
          <t>Inflammation or macrophage modulation</t>
        </is>
      </c>
      <c r="D160" s="6" t="n">
        <v>6</v>
      </c>
      <c r="E160" s="7" t="n">
        <f>'Matrix_S06'!D6</f>
        <v>6</v>
      </c>
      <c r="F160" s="8" t="str">
        <f>IF(ABS(D160-E160)&lt;0.00001,"PASS","MISMATCH")</f>
        <v>PASS</v>
      </c>
      <c r="G160" s="9" t="inlineStr">
        <is>
          <t>Selected-source descriptor only; numeric reproduction does not validate scientific classification.</t>
        </is>
      </c>
    </row>
    <row r="161">
      <c r="A161" s="5" t="inlineStr">
        <is>
          <t>S6</t>
        </is>
      </c>
      <c r="B161" s="5" t="inlineStr">
        <is>
          <t>Thermo/NIR or externally actuated</t>
        </is>
      </c>
      <c r="C161" s="5" t="inlineStr">
        <is>
          <t>Angiogenesis</t>
        </is>
      </c>
      <c r="D161" s="6" t="n">
        <v>3</v>
      </c>
      <c r="E161" s="7" t="n">
        <f>'Matrix_S06'!E6</f>
        <v>3</v>
      </c>
      <c r="F161" s="8" t="str">
        <f>IF(ABS(D161-E161)&lt;0.00001,"PASS","MISMATCH")</f>
        <v>PASS</v>
      </c>
      <c r="G161" s="9" t="inlineStr">
        <is>
          <t>Selected-source descriptor only; numeric reproduction does not validate scientific classification.</t>
        </is>
      </c>
    </row>
    <row r="162">
      <c r="A162" s="5" t="inlineStr">
        <is>
          <t>S6</t>
        </is>
      </c>
      <c r="B162" s="5" t="inlineStr">
        <is>
          <t>Thermo/NIR or externally actuated</t>
        </is>
      </c>
      <c r="C162" s="5" t="inlineStr">
        <is>
          <t>Collagen or matrix remodeling</t>
        </is>
      </c>
      <c r="D162" s="6" t="n">
        <v>6</v>
      </c>
      <c r="E162" s="7" t="n">
        <f>'Matrix_S06'!F6</f>
        <v>6</v>
      </c>
      <c r="F162" s="8" t="str">
        <f>IF(ABS(D162-E162)&lt;0.00001,"PASS","MISMATCH")</f>
        <v>PASS</v>
      </c>
      <c r="G162" s="9" t="inlineStr">
        <is>
          <t>Selected-source descriptor only; numeric reproduction does not validate scientific classification.</t>
        </is>
      </c>
    </row>
    <row r="163">
      <c r="A163" s="5" t="inlineStr">
        <is>
          <t>S6</t>
        </is>
      </c>
      <c r="B163" s="5" t="inlineStr">
        <is>
          <t>Thermo/NIR or externally actuated</t>
        </is>
      </c>
      <c r="C163" s="5" t="inlineStr">
        <is>
          <t>Re-epithelialization</t>
        </is>
      </c>
      <c r="D163" s="6" t="n">
        <v>5</v>
      </c>
      <c r="E163" s="7" t="n">
        <f>'Matrix_S06'!G6</f>
        <v>5</v>
      </c>
      <c r="F163" s="8" t="str">
        <f>IF(ABS(D163-E163)&lt;0.00001,"PASS","MISMATCH")</f>
        <v>PASS</v>
      </c>
      <c r="G163" s="9" t="inlineStr">
        <is>
          <t>Selected-source descriptor only; numeric reproduction does not validate scientific classification.</t>
        </is>
      </c>
    </row>
    <row r="164">
      <c r="A164" s="5" t="inlineStr">
        <is>
          <t>S6</t>
        </is>
      </c>
      <c r="B164" s="5" t="inlineStr">
        <is>
          <t>Thermo/NIR or externally actuated</t>
        </is>
      </c>
      <c r="C164" s="5" t="inlineStr">
        <is>
          <t>Wound closure</t>
        </is>
      </c>
      <c r="D164" s="6" t="n">
        <v>7</v>
      </c>
      <c r="E164" s="7" t="n">
        <f>'Matrix_S06'!H6</f>
        <v>7</v>
      </c>
      <c r="F164" s="8" t="str">
        <f>IF(ABS(D164-E164)&lt;0.00001,"PASS","MISMATCH")</f>
        <v>PASS</v>
      </c>
      <c r="G164" s="9" t="inlineStr">
        <is>
          <t>Selected-source descriptor only; numeric reproduction does not validate scientific classification.</t>
        </is>
      </c>
    </row>
    <row r="165">
      <c r="A165" s="5" t="inlineStr">
        <is>
          <t>S6</t>
        </is>
      </c>
      <c r="B165" s="5" t="inlineStr">
        <is>
          <t>Thermo/NIR or externally actuated</t>
        </is>
      </c>
      <c r="C165" s="5" t="inlineStr">
        <is>
          <t>Safety or cytocompatibility</t>
        </is>
      </c>
      <c r="D165" s="6" t="n">
        <v>7</v>
      </c>
      <c r="E165" s="7" t="n">
        <f>'Matrix_S06'!I6</f>
        <v>7</v>
      </c>
      <c r="F165" s="8" t="str">
        <f>IF(ABS(D165-E165)&lt;0.00001,"PASS","MISMATCH")</f>
        <v>PASS</v>
      </c>
      <c r="G165" s="9" t="inlineStr">
        <is>
          <t>Selected-source descriptor only; numeric reproduction does not validate scientific classification.</t>
        </is>
      </c>
    </row>
    <row r="166">
      <c r="A166" s="5" t="inlineStr">
        <is>
          <t>S6</t>
        </is>
      </c>
      <c r="B166" s="5" t="inlineStr">
        <is>
          <t>Immune-programming</t>
        </is>
      </c>
      <c r="C166" s="5" t="inlineStr">
        <is>
          <t>Release kinetics measured</t>
        </is>
      </c>
      <c r="D166" s="6" t="n">
        <v>11</v>
      </c>
      <c r="E166" s="7" t="n">
        <f>'Matrix_S06'!B7</f>
        <v>11</v>
      </c>
      <c r="F166" s="8" t="str">
        <f>IF(ABS(D166-E166)&lt;0.00001,"PASS","MISMATCH")</f>
        <v>PASS</v>
      </c>
      <c r="G166" s="9" t="inlineStr">
        <is>
          <t>Selected-source descriptor only; numeric reproduction does not validate scientific classification.</t>
        </is>
      </c>
    </row>
    <row r="167">
      <c r="A167" s="5" t="inlineStr">
        <is>
          <t>S6</t>
        </is>
      </c>
      <c r="B167" s="5" t="inlineStr">
        <is>
          <t>Immune-programming</t>
        </is>
      </c>
      <c r="C167" s="5" t="inlineStr">
        <is>
          <t>Antimicrobial or biofilm control</t>
        </is>
      </c>
      <c r="D167" s="6" t="n">
        <v>10</v>
      </c>
      <c r="E167" s="7" t="n">
        <f>'Matrix_S06'!C7</f>
        <v>10</v>
      </c>
      <c r="F167" s="8" t="str">
        <f>IF(ABS(D167-E167)&lt;0.00001,"PASS","MISMATCH")</f>
        <v>PASS</v>
      </c>
      <c r="G167" s="9" t="inlineStr">
        <is>
          <t>Selected-source descriptor only; numeric reproduction does not validate scientific classification.</t>
        </is>
      </c>
    </row>
    <row r="168">
      <c r="A168" s="5" t="inlineStr">
        <is>
          <t>S6</t>
        </is>
      </c>
      <c r="B168" s="5" t="inlineStr">
        <is>
          <t>Immune-programming</t>
        </is>
      </c>
      <c r="C168" s="5" t="inlineStr">
        <is>
          <t>Inflammation or macrophage modulation</t>
        </is>
      </c>
      <c r="D168" s="6" t="n">
        <v>11</v>
      </c>
      <c r="E168" s="7" t="n">
        <f>'Matrix_S06'!D7</f>
        <v>11</v>
      </c>
      <c r="F168" s="8" t="str">
        <f>IF(ABS(D168-E168)&lt;0.00001,"PASS","MISMATCH")</f>
        <v>PASS</v>
      </c>
      <c r="G168" s="9" t="inlineStr">
        <is>
          <t>Selected-source descriptor only; numeric reproduction does not validate scientific classification.</t>
        </is>
      </c>
    </row>
    <row r="169">
      <c r="A169" s="5" t="inlineStr">
        <is>
          <t>S6</t>
        </is>
      </c>
      <c r="B169" s="5" t="inlineStr">
        <is>
          <t>Immune-programming</t>
        </is>
      </c>
      <c r="C169" s="5" t="inlineStr">
        <is>
          <t>Angiogenesis</t>
        </is>
      </c>
      <c r="D169" s="6" t="n">
        <v>10</v>
      </c>
      <c r="E169" s="7" t="n">
        <f>'Matrix_S06'!E7</f>
        <v>10</v>
      </c>
      <c r="F169" s="8" t="str">
        <f>IF(ABS(D169-E169)&lt;0.00001,"PASS","MISMATCH")</f>
        <v>PASS</v>
      </c>
      <c r="G169" s="9" t="inlineStr">
        <is>
          <t>Selected-source descriptor only; numeric reproduction does not validate scientific classification.</t>
        </is>
      </c>
    </row>
    <row r="170">
      <c r="A170" s="5" t="inlineStr">
        <is>
          <t>S6</t>
        </is>
      </c>
      <c r="B170" s="5" t="inlineStr">
        <is>
          <t>Immune-programming</t>
        </is>
      </c>
      <c r="C170" s="5" t="inlineStr">
        <is>
          <t>Collagen or matrix remodeling</t>
        </is>
      </c>
      <c r="D170" s="6" t="n">
        <v>10</v>
      </c>
      <c r="E170" s="7" t="n">
        <f>'Matrix_S06'!F7</f>
        <v>10</v>
      </c>
      <c r="F170" s="8" t="str">
        <f>IF(ABS(D170-E170)&lt;0.00001,"PASS","MISMATCH")</f>
        <v>PASS</v>
      </c>
      <c r="G170" s="9" t="inlineStr">
        <is>
          <t>Selected-source descriptor only; numeric reproduction does not validate scientific classification.</t>
        </is>
      </c>
    </row>
    <row r="171">
      <c r="A171" s="5" t="inlineStr">
        <is>
          <t>S6</t>
        </is>
      </c>
      <c r="B171" s="5" t="inlineStr">
        <is>
          <t>Immune-programming</t>
        </is>
      </c>
      <c r="C171" s="5" t="inlineStr">
        <is>
          <t>Re-epithelialization</t>
        </is>
      </c>
      <c r="D171" s="6" t="n">
        <v>8</v>
      </c>
      <c r="E171" s="7" t="n">
        <f>'Matrix_S06'!G7</f>
        <v>8</v>
      </c>
      <c r="F171" s="8" t="str">
        <f>IF(ABS(D171-E171)&lt;0.00001,"PASS","MISMATCH")</f>
        <v>PASS</v>
      </c>
      <c r="G171" s="9" t="inlineStr">
        <is>
          <t>Selected-source descriptor only; numeric reproduction does not validate scientific classification.</t>
        </is>
      </c>
    </row>
    <row r="172">
      <c r="A172" s="5" t="inlineStr">
        <is>
          <t>S6</t>
        </is>
      </c>
      <c r="B172" s="5" t="inlineStr">
        <is>
          <t>Immune-programming</t>
        </is>
      </c>
      <c r="C172" s="5" t="inlineStr">
        <is>
          <t>Wound closure</t>
        </is>
      </c>
      <c r="D172" s="6" t="n">
        <v>11</v>
      </c>
      <c r="E172" s="7" t="n">
        <f>'Matrix_S06'!H7</f>
        <v>11</v>
      </c>
      <c r="F172" s="8" t="str">
        <f>IF(ABS(D172-E172)&lt;0.00001,"PASS","MISMATCH")</f>
        <v>PASS</v>
      </c>
      <c r="G172" s="9" t="inlineStr">
        <is>
          <t>Selected-source descriptor only; numeric reproduction does not validate scientific classification.</t>
        </is>
      </c>
    </row>
    <row r="173">
      <c r="A173" s="5" t="inlineStr">
        <is>
          <t>S6</t>
        </is>
      </c>
      <c r="B173" s="5" t="inlineStr">
        <is>
          <t>Immune-programming</t>
        </is>
      </c>
      <c r="C173" s="5" t="inlineStr">
        <is>
          <t>Safety or cytocompatibility</t>
        </is>
      </c>
      <c r="D173" s="6" t="n">
        <v>11</v>
      </c>
      <c r="E173" s="7" t="n">
        <f>'Matrix_S06'!I7</f>
        <v>11</v>
      </c>
      <c r="F173" s="8" t="str">
        <f>IF(ABS(D173-E173)&lt;0.00001,"PASS","MISMATCH")</f>
        <v>PASS</v>
      </c>
      <c r="G173" s="9" t="inlineStr">
        <is>
          <t>Selected-source descriptor only; numeric reproduction does not validate scientific classification.</t>
        </is>
      </c>
    </row>
    <row r="174">
      <c r="A174" s="5" t="inlineStr">
        <is>
          <t>S6</t>
        </is>
      </c>
      <c r="B174" s="5" t="inlineStr">
        <is>
          <t>Sustained or staged delivery</t>
        </is>
      </c>
      <c r="C174" s="5" t="inlineStr">
        <is>
          <t>Release kinetics measured</t>
        </is>
      </c>
      <c r="D174" s="6" t="n">
        <v>15</v>
      </c>
      <c r="E174" s="7" t="n">
        <f>'Matrix_S06'!B8</f>
        <v>15</v>
      </c>
      <c r="F174" s="8" t="str">
        <f>IF(ABS(D174-E174)&lt;0.00001,"PASS","MISMATCH")</f>
        <v>PASS</v>
      </c>
      <c r="G174" s="9" t="inlineStr">
        <is>
          <t>Selected-source descriptor only; numeric reproduction does not validate scientific classification.</t>
        </is>
      </c>
    </row>
    <row r="175">
      <c r="A175" s="5" t="inlineStr">
        <is>
          <t>S6</t>
        </is>
      </c>
      <c r="B175" s="5" t="inlineStr">
        <is>
          <t>Sustained or staged delivery</t>
        </is>
      </c>
      <c r="C175" s="5" t="inlineStr">
        <is>
          <t>Antimicrobial or biofilm control</t>
        </is>
      </c>
      <c r="D175" s="6" t="n">
        <v>13</v>
      </c>
      <c r="E175" s="7" t="n">
        <f>'Matrix_S06'!C8</f>
        <v>13</v>
      </c>
      <c r="F175" s="8" t="str">
        <f>IF(ABS(D175-E175)&lt;0.00001,"PASS","MISMATCH")</f>
        <v>PASS</v>
      </c>
      <c r="G175" s="9" t="inlineStr">
        <is>
          <t>Selected-source descriptor only; numeric reproduction does not validate scientific classification.</t>
        </is>
      </c>
    </row>
    <row r="176">
      <c r="A176" s="5" t="inlineStr">
        <is>
          <t>S6</t>
        </is>
      </c>
      <c r="B176" s="5" t="inlineStr">
        <is>
          <t>Sustained or staged delivery</t>
        </is>
      </c>
      <c r="C176" s="5" t="inlineStr">
        <is>
          <t>Inflammation or macrophage modulation</t>
        </is>
      </c>
      <c r="D176" s="6" t="n">
        <v>10</v>
      </c>
      <c r="E176" s="7" t="n">
        <f>'Matrix_S06'!D8</f>
        <v>10</v>
      </c>
      <c r="F176" s="8" t="str">
        <f>IF(ABS(D176-E176)&lt;0.00001,"PASS","MISMATCH")</f>
        <v>PASS</v>
      </c>
      <c r="G176" s="9" t="inlineStr">
        <is>
          <t>Selected-source descriptor only; numeric reproduction does not validate scientific classification.</t>
        </is>
      </c>
    </row>
    <row r="177">
      <c r="A177" s="5" t="inlineStr">
        <is>
          <t>S6</t>
        </is>
      </c>
      <c r="B177" s="5" t="inlineStr">
        <is>
          <t>Sustained or staged delivery</t>
        </is>
      </c>
      <c r="C177" s="5" t="inlineStr">
        <is>
          <t>Angiogenesis</t>
        </is>
      </c>
      <c r="D177" s="6" t="n">
        <v>12</v>
      </c>
      <c r="E177" s="7" t="n">
        <f>'Matrix_S06'!E8</f>
        <v>12</v>
      </c>
      <c r="F177" s="8" t="str">
        <f>IF(ABS(D177-E177)&lt;0.00001,"PASS","MISMATCH")</f>
        <v>PASS</v>
      </c>
      <c r="G177" s="9" t="inlineStr">
        <is>
          <t>Selected-source descriptor only; numeric reproduction does not validate scientific classification.</t>
        </is>
      </c>
    </row>
    <row r="178">
      <c r="A178" s="5" t="inlineStr">
        <is>
          <t>S6</t>
        </is>
      </c>
      <c r="B178" s="5" t="inlineStr">
        <is>
          <t>Sustained or staged delivery</t>
        </is>
      </c>
      <c r="C178" s="5" t="inlineStr">
        <is>
          <t>Collagen or matrix remodeling</t>
        </is>
      </c>
      <c r="D178" s="6" t="n">
        <v>15</v>
      </c>
      <c r="E178" s="7" t="n">
        <f>'Matrix_S06'!F8</f>
        <v>15</v>
      </c>
      <c r="F178" s="8" t="str">
        <f>IF(ABS(D178-E178)&lt;0.00001,"PASS","MISMATCH")</f>
        <v>PASS</v>
      </c>
      <c r="G178" s="9" t="inlineStr">
        <is>
          <t>Selected-source descriptor only; numeric reproduction does not validate scientific classification.</t>
        </is>
      </c>
    </row>
    <row r="179">
      <c r="A179" s="5" t="inlineStr">
        <is>
          <t>S6</t>
        </is>
      </c>
      <c r="B179" s="5" t="inlineStr">
        <is>
          <t>Sustained or staged delivery</t>
        </is>
      </c>
      <c r="C179" s="5" t="inlineStr">
        <is>
          <t>Re-epithelialization</t>
        </is>
      </c>
      <c r="D179" s="6" t="n">
        <v>11</v>
      </c>
      <c r="E179" s="7" t="n">
        <f>'Matrix_S06'!G8</f>
        <v>11</v>
      </c>
      <c r="F179" s="8" t="str">
        <f>IF(ABS(D179-E179)&lt;0.00001,"PASS","MISMATCH")</f>
        <v>PASS</v>
      </c>
      <c r="G179" s="9" t="inlineStr">
        <is>
          <t>Selected-source descriptor only; numeric reproduction does not validate scientific classification.</t>
        </is>
      </c>
    </row>
    <row r="180">
      <c r="A180" s="5" t="inlineStr">
        <is>
          <t>S6</t>
        </is>
      </c>
      <c r="B180" s="5" t="inlineStr">
        <is>
          <t>Sustained or staged delivery</t>
        </is>
      </c>
      <c r="C180" s="5" t="inlineStr">
        <is>
          <t>Wound closure</t>
        </is>
      </c>
      <c r="D180" s="6" t="n">
        <v>15</v>
      </c>
      <c r="E180" s="7" t="n">
        <f>'Matrix_S06'!H8</f>
        <v>15</v>
      </c>
      <c r="F180" s="8" t="str">
        <f>IF(ABS(D180-E180)&lt;0.00001,"PASS","MISMATCH")</f>
        <v>PASS</v>
      </c>
      <c r="G180" s="9" t="inlineStr">
        <is>
          <t>Selected-source descriptor only; numeric reproduction does not validate scientific classification.</t>
        </is>
      </c>
    </row>
    <row r="181">
      <c r="A181" s="5" t="inlineStr">
        <is>
          <t>S6</t>
        </is>
      </c>
      <c r="B181" s="5" t="inlineStr">
        <is>
          <t>Sustained or staged delivery</t>
        </is>
      </c>
      <c r="C181" s="5" t="inlineStr">
        <is>
          <t>Safety or cytocompatibility</t>
        </is>
      </c>
      <c r="D181" s="6" t="n">
        <v>14</v>
      </c>
      <c r="E181" s="7" t="n">
        <f>'Matrix_S06'!I8</f>
        <v>14</v>
      </c>
      <c r="F181" s="8" t="str">
        <f>IF(ABS(D181-E181)&lt;0.00001,"PASS","MISMATCH")</f>
        <v>PASS</v>
      </c>
      <c r="G181" s="9" t="inlineStr">
        <is>
          <t>Selected-source descriptor only; numeric reproduction does not validate scientific classification.</t>
        </is>
      </c>
    </row>
    <row r="182">
      <c r="A182" s="5" t="inlineStr">
        <is>
          <t>S7</t>
        </is>
      </c>
      <c r="B182" s="5" t="inlineStr">
        <is>
          <t>Mixed-stimulus adaptive hydrogels</t>
        </is>
      </c>
      <c r="C182" s="5" t="inlineStr">
        <is>
          <t>Material properties</t>
        </is>
      </c>
      <c r="D182" s="6" t="n">
        <v>7</v>
      </c>
      <c r="E182" s="7" t="n">
        <f>'Matrix_S07'!B2</f>
        <v>7</v>
      </c>
      <c r="F182" s="8" t="str">
        <f>IF(ABS(D182-E182)&lt;0.00001,"PASS","MISMATCH")</f>
        <v>PASS</v>
      </c>
      <c r="G182" s="9" t="inlineStr">
        <is>
          <t>Selected-source descriptor only; numeric reproduction does not validate scientific classification.</t>
        </is>
      </c>
    </row>
    <row r="183">
      <c r="A183" s="5" t="inlineStr">
        <is>
          <t>S7</t>
        </is>
      </c>
      <c r="B183" s="5" t="inlineStr">
        <is>
          <t>Mixed-stimulus adaptive hydrogels</t>
        </is>
      </c>
      <c r="C183" s="5" t="inlineStr">
        <is>
          <t>Release or activation kinetics</t>
        </is>
      </c>
      <c r="D183" s="6" t="n">
        <v>7</v>
      </c>
      <c r="E183" s="7" t="n">
        <f>'Matrix_S07'!C2</f>
        <v>7</v>
      </c>
      <c r="F183" s="8" t="str">
        <f>IF(ABS(D183-E183)&lt;0.00001,"PASS","MISMATCH")</f>
        <v>PASS</v>
      </c>
      <c r="G183" s="9" t="inlineStr">
        <is>
          <t>Selected-source descriptor only; numeric reproduction does not validate scientific classification.</t>
        </is>
      </c>
    </row>
    <row r="184">
      <c r="A184" s="5" t="inlineStr">
        <is>
          <t>S7</t>
        </is>
      </c>
      <c r="B184" s="5" t="inlineStr">
        <is>
          <t>Mixed-stimulus adaptive hydrogels</t>
        </is>
      </c>
      <c r="C184" s="5" t="inlineStr">
        <is>
          <t>Antimicrobial or biofilm</t>
        </is>
      </c>
      <c r="D184" s="6" t="n">
        <v>6</v>
      </c>
      <c r="E184" s="7" t="n">
        <f>'Matrix_S07'!D2</f>
        <v>6</v>
      </c>
      <c r="F184" s="8" t="str">
        <f>IF(ABS(D184-E184)&lt;0.00001,"PASS","MISMATCH")</f>
        <v>PASS</v>
      </c>
      <c r="G184" s="9" t="inlineStr">
        <is>
          <t>Selected-source descriptor only; numeric reproduction does not validate scientific classification.</t>
        </is>
      </c>
    </row>
    <row r="185">
      <c r="A185" s="5" t="inlineStr">
        <is>
          <t>S7</t>
        </is>
      </c>
      <c r="B185" s="5" t="inlineStr">
        <is>
          <t>Mixed-stimulus adaptive hydrogels</t>
        </is>
      </c>
      <c r="C185" s="5" t="inlineStr">
        <is>
          <t>ROS, oxidative, or metabolic</t>
        </is>
      </c>
      <c r="D185" s="6" t="n">
        <v>7</v>
      </c>
      <c r="E185" s="7" t="n">
        <f>'Matrix_S07'!E2</f>
        <v>7</v>
      </c>
      <c r="F185" s="8" t="str">
        <f>IF(ABS(D185-E185)&lt;0.00001,"PASS","MISMATCH")</f>
        <v>PASS</v>
      </c>
      <c r="G185" s="9" t="inlineStr">
        <is>
          <t>Selected-source descriptor only; numeric reproduction does not validate scientific classification.</t>
        </is>
      </c>
    </row>
    <row r="186">
      <c r="A186" s="5" t="inlineStr">
        <is>
          <t>S7</t>
        </is>
      </c>
      <c r="B186" s="5" t="inlineStr">
        <is>
          <t>Mixed-stimulus adaptive hydrogels</t>
        </is>
      </c>
      <c r="C186" s="5" t="inlineStr">
        <is>
          <t>Immune, cytokine, or macrophage</t>
        </is>
      </c>
      <c r="D186" s="6" t="n">
        <v>7</v>
      </c>
      <c r="E186" s="7" t="n">
        <f>'Matrix_S07'!F2</f>
        <v>7</v>
      </c>
      <c r="F186" s="8" t="str">
        <f>IF(ABS(D186-E186)&lt;0.00001,"PASS","MISMATCH")</f>
        <v>PASS</v>
      </c>
      <c r="G186" s="9" t="inlineStr">
        <is>
          <t>Selected-source descriptor only; numeric reproduction does not validate scientific classification.</t>
        </is>
      </c>
    </row>
    <row r="187">
      <c r="A187" s="5" t="inlineStr">
        <is>
          <t>S7</t>
        </is>
      </c>
      <c r="B187" s="5" t="inlineStr">
        <is>
          <t>Mixed-stimulus adaptive hydrogels</t>
        </is>
      </c>
      <c r="C187" s="5" t="inlineStr">
        <is>
          <t>Angiogenic or vascular</t>
        </is>
      </c>
      <c r="D187" s="6" t="n">
        <v>6</v>
      </c>
      <c r="E187" s="7" t="n">
        <f>'Matrix_S07'!G2</f>
        <v>6</v>
      </c>
      <c r="F187" s="8" t="str">
        <f>IF(ABS(D187-E187)&lt;0.00001,"PASS","MISMATCH")</f>
        <v>PASS</v>
      </c>
      <c r="G187" s="9" t="inlineStr">
        <is>
          <t>Selected-source descriptor only; numeric reproduction does not validate scientific classification.</t>
        </is>
      </c>
    </row>
    <row r="188">
      <c r="A188" s="5" t="inlineStr">
        <is>
          <t>S7</t>
        </is>
      </c>
      <c r="B188" s="5" t="inlineStr">
        <is>
          <t>Mixed-stimulus adaptive hydrogels</t>
        </is>
      </c>
      <c r="C188" s="5" t="inlineStr">
        <is>
          <t>Histology, collagen, or matrix repair</t>
        </is>
      </c>
      <c r="D188" s="6" t="n">
        <v>7</v>
      </c>
      <c r="E188" s="7" t="n">
        <f>'Matrix_S07'!H2</f>
        <v>7</v>
      </c>
      <c r="F188" s="8" t="str">
        <f>IF(ABS(D188-E188)&lt;0.00001,"PASS","MISMATCH")</f>
        <v>PASS</v>
      </c>
      <c r="G188" s="9" t="inlineStr">
        <is>
          <t>Selected-source descriptor only; numeric reproduction does not validate scientific classification.</t>
        </is>
      </c>
    </row>
    <row r="189">
      <c r="A189" s="5" t="inlineStr">
        <is>
          <t>S7</t>
        </is>
      </c>
      <c r="B189" s="5" t="inlineStr">
        <is>
          <t>Mixed-stimulus adaptive hydrogels</t>
        </is>
      </c>
      <c r="C189" s="5" t="inlineStr">
        <is>
          <t>Wound-area trajectory</t>
        </is>
      </c>
      <c r="D189" s="6" t="n">
        <v>7</v>
      </c>
      <c r="E189" s="7" t="n">
        <f>'Matrix_S07'!I2</f>
        <v>7</v>
      </c>
      <c r="F189" s="8" t="str">
        <f>IF(ABS(D189-E189)&lt;0.00001,"PASS","MISMATCH")</f>
        <v>PASS</v>
      </c>
      <c r="G189" s="9" t="inlineStr">
        <is>
          <t>Selected-source descriptor only; numeric reproduction does not validate scientific classification.</t>
        </is>
      </c>
    </row>
    <row r="190">
      <c r="A190" s="5" t="inlineStr">
        <is>
          <t>S7</t>
        </is>
      </c>
      <c r="B190" s="5" t="inlineStr">
        <is>
          <t>Mixed-stimulus adaptive hydrogels</t>
        </is>
      </c>
      <c r="C190" s="5" t="inlineStr">
        <is>
          <t>Safety or cytocompatibility</t>
        </is>
      </c>
      <c r="D190" s="6" t="n">
        <v>6</v>
      </c>
      <c r="E190" s="7" t="n">
        <f>'Matrix_S07'!J2</f>
        <v>6</v>
      </c>
      <c r="F190" s="8" t="str">
        <f>IF(ABS(D190-E190)&lt;0.00001,"PASS","MISMATCH")</f>
        <v>PASS</v>
      </c>
      <c r="G190" s="9" t="inlineStr">
        <is>
          <t>Selected-source descriptor only; numeric reproduction does not validate scientific classification.</t>
        </is>
      </c>
    </row>
    <row r="191">
      <c r="A191" s="5" t="inlineStr">
        <is>
          <t>S7</t>
        </is>
      </c>
      <c r="B191" s="5" t="inlineStr">
        <is>
          <t>Enzyme-activated infection/remodeling depots</t>
        </is>
      </c>
      <c r="C191" s="5" t="inlineStr">
        <is>
          <t>Material properties</t>
        </is>
      </c>
      <c r="D191" s="6" t="n">
        <v>3</v>
      </c>
      <c r="E191" s="7" t="n">
        <f>'Matrix_S07'!B3</f>
        <v>3</v>
      </c>
      <c r="F191" s="8" t="str">
        <f>IF(ABS(D191-E191)&lt;0.00001,"PASS","MISMATCH")</f>
        <v>PASS</v>
      </c>
      <c r="G191" s="9" t="inlineStr">
        <is>
          <t>Selected-source descriptor only; numeric reproduction does not validate scientific classification.</t>
        </is>
      </c>
    </row>
    <row r="192">
      <c r="A192" s="5" t="inlineStr">
        <is>
          <t>S7</t>
        </is>
      </c>
      <c r="B192" s="5" t="inlineStr">
        <is>
          <t>Enzyme-activated infection/remodeling depots</t>
        </is>
      </c>
      <c r="C192" s="5" t="inlineStr">
        <is>
          <t>Release or activation kinetics</t>
        </is>
      </c>
      <c r="D192" s="6" t="n">
        <v>3</v>
      </c>
      <c r="E192" s="7" t="n">
        <f>'Matrix_S07'!C3</f>
        <v>3</v>
      </c>
      <c r="F192" s="8" t="str">
        <f>IF(ABS(D192-E192)&lt;0.00001,"PASS","MISMATCH")</f>
        <v>PASS</v>
      </c>
      <c r="G192" s="9" t="inlineStr">
        <is>
          <t>Selected-source descriptor only; numeric reproduction does not validate scientific classification.</t>
        </is>
      </c>
    </row>
    <row r="193">
      <c r="A193" s="5" t="inlineStr">
        <is>
          <t>S7</t>
        </is>
      </c>
      <c r="B193" s="5" t="inlineStr">
        <is>
          <t>Enzyme-activated infection/remodeling depots</t>
        </is>
      </c>
      <c r="C193" s="5" t="inlineStr">
        <is>
          <t>Antimicrobial or biofilm</t>
        </is>
      </c>
      <c r="D193" s="6" t="n">
        <v>3</v>
      </c>
      <c r="E193" s="7" t="n">
        <f>'Matrix_S07'!D3</f>
        <v>3</v>
      </c>
      <c r="F193" s="8" t="str">
        <f>IF(ABS(D193-E193)&lt;0.00001,"PASS","MISMATCH")</f>
        <v>PASS</v>
      </c>
      <c r="G193" s="9" t="inlineStr">
        <is>
          <t>Selected-source descriptor only; numeric reproduction does not validate scientific classification.</t>
        </is>
      </c>
    </row>
    <row r="194">
      <c r="A194" s="5" t="inlineStr">
        <is>
          <t>S7</t>
        </is>
      </c>
      <c r="B194" s="5" t="inlineStr">
        <is>
          <t>Enzyme-activated infection/remodeling depots</t>
        </is>
      </c>
      <c r="C194" s="5" t="inlineStr">
        <is>
          <t>ROS, oxidative, or metabolic</t>
        </is>
      </c>
      <c r="D194" s="6" t="n">
        <v>3</v>
      </c>
      <c r="E194" s="7" t="n">
        <f>'Matrix_S07'!E3</f>
        <v>3</v>
      </c>
      <c r="F194" s="8" t="str">
        <f>IF(ABS(D194-E194)&lt;0.00001,"PASS","MISMATCH")</f>
        <v>PASS</v>
      </c>
      <c r="G194" s="9" t="inlineStr">
        <is>
          <t>Selected-source descriptor only; numeric reproduction does not validate scientific classification.</t>
        </is>
      </c>
    </row>
    <row r="195">
      <c r="A195" s="5" t="inlineStr">
        <is>
          <t>S7</t>
        </is>
      </c>
      <c r="B195" s="5" t="inlineStr">
        <is>
          <t>Enzyme-activated infection/remodeling depots</t>
        </is>
      </c>
      <c r="C195" s="5" t="inlineStr">
        <is>
          <t>Immune, cytokine, or macrophage</t>
        </is>
      </c>
      <c r="D195" s="6" t="n">
        <v>2</v>
      </c>
      <c r="E195" s="7" t="n">
        <f>'Matrix_S07'!F3</f>
        <v>2</v>
      </c>
      <c r="F195" s="8" t="str">
        <f>IF(ABS(D195-E195)&lt;0.00001,"PASS","MISMATCH")</f>
        <v>PASS</v>
      </c>
      <c r="G195" s="9" t="inlineStr">
        <is>
          <t>Selected-source descriptor only; numeric reproduction does not validate scientific classification.</t>
        </is>
      </c>
    </row>
    <row r="196">
      <c r="A196" s="5" t="inlineStr">
        <is>
          <t>S7</t>
        </is>
      </c>
      <c r="B196" s="5" t="inlineStr">
        <is>
          <t>Enzyme-activated infection/remodeling depots</t>
        </is>
      </c>
      <c r="C196" s="5" t="inlineStr">
        <is>
          <t>Angiogenic or vascular</t>
        </is>
      </c>
      <c r="D196" s="6" t="n">
        <v>1</v>
      </c>
      <c r="E196" s="7" t="n">
        <f>'Matrix_S07'!G3</f>
        <v>1</v>
      </c>
      <c r="F196" s="8" t="str">
        <f>IF(ABS(D196-E196)&lt;0.00001,"PASS","MISMATCH")</f>
        <v>PASS</v>
      </c>
      <c r="G196" s="9" t="inlineStr">
        <is>
          <t>Selected-source descriptor only; numeric reproduction does not validate scientific classification.</t>
        </is>
      </c>
    </row>
    <row r="197">
      <c r="A197" s="5" t="inlineStr">
        <is>
          <t>S7</t>
        </is>
      </c>
      <c r="B197" s="5" t="inlineStr">
        <is>
          <t>Enzyme-activated infection/remodeling depots</t>
        </is>
      </c>
      <c r="C197" s="5" t="inlineStr">
        <is>
          <t>Histology, collagen, or matrix repair</t>
        </is>
      </c>
      <c r="D197" s="6" t="n">
        <v>3</v>
      </c>
      <c r="E197" s="7" t="n">
        <f>'Matrix_S07'!H3</f>
        <v>3</v>
      </c>
      <c r="F197" s="8" t="str">
        <f>IF(ABS(D197-E197)&lt;0.00001,"PASS","MISMATCH")</f>
        <v>PASS</v>
      </c>
      <c r="G197" s="9" t="inlineStr">
        <is>
          <t>Selected-source descriptor only; numeric reproduction does not validate scientific classification.</t>
        </is>
      </c>
    </row>
    <row r="198">
      <c r="A198" s="5" t="inlineStr">
        <is>
          <t>S7</t>
        </is>
      </c>
      <c r="B198" s="5" t="inlineStr">
        <is>
          <t>Enzyme-activated infection/remodeling depots</t>
        </is>
      </c>
      <c r="C198" s="5" t="inlineStr">
        <is>
          <t>Wound-area trajectory</t>
        </is>
      </c>
      <c r="D198" s="6" t="n">
        <v>3</v>
      </c>
      <c r="E198" s="7" t="n">
        <f>'Matrix_S07'!I3</f>
        <v>3</v>
      </c>
      <c r="F198" s="8" t="str">
        <f>IF(ABS(D198-E198)&lt;0.00001,"PASS","MISMATCH")</f>
        <v>PASS</v>
      </c>
      <c r="G198" s="9" t="inlineStr">
        <is>
          <t>Selected-source descriptor only; numeric reproduction does not validate scientific classification.</t>
        </is>
      </c>
    </row>
    <row r="199">
      <c r="A199" s="5" t="inlineStr">
        <is>
          <t>S7</t>
        </is>
      </c>
      <c r="B199" s="5" t="inlineStr">
        <is>
          <t>Enzyme-activated infection/remodeling depots</t>
        </is>
      </c>
      <c r="C199" s="5" t="inlineStr">
        <is>
          <t>Safety or cytocompatibility</t>
        </is>
      </c>
      <c r="D199" s="6" t="n">
        <v>3</v>
      </c>
      <c r="E199" s="7" t="n">
        <f>'Matrix_S07'!J3</f>
        <v>3</v>
      </c>
      <c r="F199" s="8" t="str">
        <f>IF(ABS(D199-E199)&lt;0.00001,"PASS","MISMATCH")</f>
        <v>PASS</v>
      </c>
      <c r="G199" s="9" t="inlineStr">
        <is>
          <t>Selected-source descriptor only; numeric reproduction does not validate scientific classification.</t>
        </is>
      </c>
    </row>
    <row r="200">
      <c r="A200" s="5" t="inlineStr">
        <is>
          <t>S7</t>
        </is>
      </c>
      <c r="B200" s="5" t="inlineStr">
        <is>
          <t>Acidic pH-switching release matrices</t>
        </is>
      </c>
      <c r="C200" s="5" t="inlineStr">
        <is>
          <t>Material properties</t>
        </is>
      </c>
      <c r="D200" s="6" t="n">
        <v>4</v>
      </c>
      <c r="E200" s="7" t="n">
        <f>'Matrix_S07'!B4</f>
        <v>4</v>
      </c>
      <c r="F200" s="8" t="str">
        <f>IF(ABS(D200-E200)&lt;0.00001,"PASS","MISMATCH")</f>
        <v>PASS</v>
      </c>
      <c r="G200" s="9" t="inlineStr">
        <is>
          <t>Selected-source descriptor only; numeric reproduction does not validate scientific classification.</t>
        </is>
      </c>
    </row>
    <row r="201">
      <c r="A201" s="5" t="inlineStr">
        <is>
          <t>S7</t>
        </is>
      </c>
      <c r="B201" s="5" t="inlineStr">
        <is>
          <t>Acidic pH-switching release matrices</t>
        </is>
      </c>
      <c r="C201" s="5" t="inlineStr">
        <is>
          <t>Release or activation kinetics</t>
        </is>
      </c>
      <c r="D201" s="6" t="n">
        <v>4</v>
      </c>
      <c r="E201" s="7" t="n">
        <f>'Matrix_S07'!C4</f>
        <v>4</v>
      </c>
      <c r="F201" s="8" t="str">
        <f>IF(ABS(D201-E201)&lt;0.00001,"PASS","MISMATCH")</f>
        <v>PASS</v>
      </c>
      <c r="G201" s="9" t="inlineStr">
        <is>
          <t>Selected-source descriptor only; numeric reproduction does not validate scientific classification.</t>
        </is>
      </c>
    </row>
    <row r="202">
      <c r="A202" s="5" t="inlineStr">
        <is>
          <t>S7</t>
        </is>
      </c>
      <c r="B202" s="5" t="inlineStr">
        <is>
          <t>Acidic pH-switching release matrices</t>
        </is>
      </c>
      <c r="C202" s="5" t="inlineStr">
        <is>
          <t>Antimicrobial or biofilm</t>
        </is>
      </c>
      <c r="D202" s="6" t="n">
        <v>4</v>
      </c>
      <c r="E202" s="7" t="n">
        <f>'Matrix_S07'!D4</f>
        <v>4</v>
      </c>
      <c r="F202" s="8" t="str">
        <f>IF(ABS(D202-E202)&lt;0.00001,"PASS","MISMATCH")</f>
        <v>PASS</v>
      </c>
      <c r="G202" s="9" t="inlineStr">
        <is>
          <t>Selected-source descriptor only; numeric reproduction does not validate scientific classification.</t>
        </is>
      </c>
    </row>
    <row r="203">
      <c r="A203" s="5" t="inlineStr">
        <is>
          <t>S7</t>
        </is>
      </c>
      <c r="B203" s="5" t="inlineStr">
        <is>
          <t>Acidic pH-switching release matrices</t>
        </is>
      </c>
      <c r="C203" s="5" t="inlineStr">
        <is>
          <t>ROS, oxidative, or metabolic</t>
        </is>
      </c>
      <c r="D203" s="6" t="n">
        <v>3</v>
      </c>
      <c r="E203" s="7" t="n">
        <f>'Matrix_S07'!E4</f>
        <v>3</v>
      </c>
      <c r="F203" s="8" t="str">
        <f>IF(ABS(D203-E203)&lt;0.00001,"PASS","MISMATCH")</f>
        <v>PASS</v>
      </c>
      <c r="G203" s="9" t="inlineStr">
        <is>
          <t>Selected-source descriptor only; numeric reproduction does not validate scientific classification.</t>
        </is>
      </c>
    </row>
    <row r="204">
      <c r="A204" s="5" t="inlineStr">
        <is>
          <t>S7</t>
        </is>
      </c>
      <c r="B204" s="5" t="inlineStr">
        <is>
          <t>Acidic pH-switching release matrices</t>
        </is>
      </c>
      <c r="C204" s="5" t="inlineStr">
        <is>
          <t>Immune, cytokine, or macrophage</t>
        </is>
      </c>
      <c r="D204" s="6" t="n">
        <v>4</v>
      </c>
      <c r="E204" s="7" t="n">
        <f>'Matrix_S07'!F4</f>
        <v>4</v>
      </c>
      <c r="F204" s="8" t="str">
        <f>IF(ABS(D204-E204)&lt;0.00001,"PASS","MISMATCH")</f>
        <v>PASS</v>
      </c>
      <c r="G204" s="9" t="inlineStr">
        <is>
          <t>Selected-source descriptor only; numeric reproduction does not validate scientific classification.</t>
        </is>
      </c>
    </row>
    <row r="205">
      <c r="A205" s="5" t="inlineStr">
        <is>
          <t>S7</t>
        </is>
      </c>
      <c r="B205" s="5" t="inlineStr">
        <is>
          <t>Acidic pH-switching release matrices</t>
        </is>
      </c>
      <c r="C205" s="5" t="inlineStr">
        <is>
          <t>Angiogenic or vascular</t>
        </is>
      </c>
      <c r="D205" s="6" t="n">
        <v>3</v>
      </c>
      <c r="E205" s="7" t="n">
        <f>'Matrix_S07'!G4</f>
        <v>3</v>
      </c>
      <c r="F205" s="8" t="str">
        <f>IF(ABS(D205-E205)&lt;0.00001,"PASS","MISMATCH")</f>
        <v>PASS</v>
      </c>
      <c r="G205" s="9" t="inlineStr">
        <is>
          <t>Selected-source descriptor only; numeric reproduction does not validate scientific classification.</t>
        </is>
      </c>
    </row>
    <row r="206">
      <c r="A206" s="5" t="inlineStr">
        <is>
          <t>S7</t>
        </is>
      </c>
      <c r="B206" s="5" t="inlineStr">
        <is>
          <t>Acidic pH-switching release matrices</t>
        </is>
      </c>
      <c r="C206" s="5" t="inlineStr">
        <is>
          <t>Histology, collagen, or matrix repair</t>
        </is>
      </c>
      <c r="D206" s="6" t="n">
        <v>4</v>
      </c>
      <c r="E206" s="7" t="n">
        <f>'Matrix_S07'!H4</f>
        <v>4</v>
      </c>
      <c r="F206" s="8" t="str">
        <f>IF(ABS(D206-E206)&lt;0.00001,"PASS","MISMATCH")</f>
        <v>PASS</v>
      </c>
      <c r="G206" s="9" t="inlineStr">
        <is>
          <t>Selected-source descriptor only; numeric reproduction does not validate scientific classification.</t>
        </is>
      </c>
    </row>
    <row r="207">
      <c r="A207" s="5" t="inlineStr">
        <is>
          <t>S7</t>
        </is>
      </c>
      <c r="B207" s="5" t="inlineStr">
        <is>
          <t>Acidic pH-switching release matrices</t>
        </is>
      </c>
      <c r="C207" s="5" t="inlineStr">
        <is>
          <t>Wound-area trajectory</t>
        </is>
      </c>
      <c r="D207" s="6" t="n">
        <v>4</v>
      </c>
      <c r="E207" s="7" t="n">
        <f>'Matrix_S07'!I4</f>
        <v>4</v>
      </c>
      <c r="F207" s="8" t="str">
        <f>IF(ABS(D207-E207)&lt;0.00001,"PASS","MISMATCH")</f>
        <v>PASS</v>
      </c>
      <c r="G207" s="9" t="inlineStr">
        <is>
          <t>Selected-source descriptor only; numeric reproduction does not validate scientific classification.</t>
        </is>
      </c>
    </row>
    <row r="208">
      <c r="A208" s="5" t="inlineStr">
        <is>
          <t>S7</t>
        </is>
      </c>
      <c r="B208" s="5" t="inlineStr">
        <is>
          <t>Acidic pH-switching release matrices</t>
        </is>
      </c>
      <c r="C208" s="5" t="inlineStr">
        <is>
          <t>Safety or cytocompatibility</t>
        </is>
      </c>
      <c r="D208" s="6" t="n">
        <v>4</v>
      </c>
      <c r="E208" s="7" t="n">
        <f>'Matrix_S07'!J4</f>
        <v>4</v>
      </c>
      <c r="F208" s="8" t="str">
        <f>IF(ABS(D208-E208)&lt;0.00001,"PASS","MISMATCH")</f>
        <v>PASS</v>
      </c>
      <c r="G208" s="9" t="inlineStr">
        <is>
          <t>Selected-source descriptor only; numeric reproduction does not validate scientific classification.</t>
        </is>
      </c>
    </row>
    <row r="209">
      <c r="A209" s="5" t="inlineStr">
        <is>
          <t>S7</t>
        </is>
      </c>
      <c r="B209" s="5" t="inlineStr">
        <is>
          <t>Thermogelling or externally actuated systems</t>
        </is>
      </c>
      <c r="C209" s="5" t="inlineStr">
        <is>
          <t>Material properties</t>
        </is>
      </c>
      <c r="D209" s="6" t="n">
        <v>3</v>
      </c>
      <c r="E209" s="7" t="n">
        <f>'Matrix_S07'!B5</f>
        <v>3</v>
      </c>
      <c r="F209" s="8" t="str">
        <f>IF(ABS(D209-E209)&lt;0.00001,"PASS","MISMATCH")</f>
        <v>PASS</v>
      </c>
      <c r="G209" s="9" t="inlineStr">
        <is>
          <t>Selected-source descriptor only; numeric reproduction does not validate scientific classification.</t>
        </is>
      </c>
    </row>
    <row r="210">
      <c r="A210" s="5" t="inlineStr">
        <is>
          <t>S7</t>
        </is>
      </c>
      <c r="B210" s="5" t="inlineStr">
        <is>
          <t>Thermogelling or externally actuated systems</t>
        </is>
      </c>
      <c r="C210" s="5" t="inlineStr">
        <is>
          <t>Release or activation kinetics</t>
        </is>
      </c>
      <c r="D210" s="6" t="n">
        <v>3</v>
      </c>
      <c r="E210" s="7" t="n">
        <f>'Matrix_S07'!C5</f>
        <v>3</v>
      </c>
      <c r="F210" s="8" t="str">
        <f>IF(ABS(D210-E210)&lt;0.00001,"PASS","MISMATCH")</f>
        <v>PASS</v>
      </c>
      <c r="G210" s="9" t="inlineStr">
        <is>
          <t>Selected-source descriptor only; numeric reproduction does not validate scientific classification.</t>
        </is>
      </c>
    </row>
    <row r="211">
      <c r="A211" s="5" t="inlineStr">
        <is>
          <t>S7</t>
        </is>
      </c>
      <c r="B211" s="5" t="inlineStr">
        <is>
          <t>Thermogelling or externally actuated systems</t>
        </is>
      </c>
      <c r="C211" s="5" t="inlineStr">
        <is>
          <t>Antimicrobial or biofilm</t>
        </is>
      </c>
      <c r="D211" s="6" t="n">
        <v>3</v>
      </c>
      <c r="E211" s="7" t="n">
        <f>'Matrix_S07'!D5</f>
        <v>3</v>
      </c>
      <c r="F211" s="8" t="str">
        <f>IF(ABS(D211-E211)&lt;0.00001,"PASS","MISMATCH")</f>
        <v>PASS</v>
      </c>
      <c r="G211" s="9" t="inlineStr">
        <is>
          <t>Selected-source descriptor only; numeric reproduction does not validate scientific classification.</t>
        </is>
      </c>
    </row>
    <row r="212">
      <c r="A212" s="5" t="inlineStr">
        <is>
          <t>S7</t>
        </is>
      </c>
      <c r="B212" s="5" t="inlineStr">
        <is>
          <t>Thermogelling or externally actuated systems</t>
        </is>
      </c>
      <c r="C212" s="5" t="inlineStr">
        <is>
          <t>ROS, oxidative, or metabolic</t>
        </is>
      </c>
      <c r="D212" s="6" t="n">
        <v>1</v>
      </c>
      <c r="E212" s="7" t="n">
        <f>'Matrix_S07'!E5</f>
        <v>1</v>
      </c>
      <c r="F212" s="8" t="str">
        <f>IF(ABS(D212-E212)&lt;0.00001,"PASS","MISMATCH")</f>
        <v>PASS</v>
      </c>
      <c r="G212" s="9" t="inlineStr">
        <is>
          <t>Selected-source descriptor only; numeric reproduction does not validate scientific classification.</t>
        </is>
      </c>
    </row>
    <row r="213">
      <c r="A213" s="5" t="inlineStr">
        <is>
          <t>S7</t>
        </is>
      </c>
      <c r="B213" s="5" t="inlineStr">
        <is>
          <t>Thermogelling or externally actuated systems</t>
        </is>
      </c>
      <c r="C213" s="5" t="inlineStr">
        <is>
          <t>Immune, cytokine, or macrophage</t>
        </is>
      </c>
      <c r="D213" s="6" t="n">
        <v>3</v>
      </c>
      <c r="E213" s="7" t="n">
        <f>'Matrix_S07'!F5</f>
        <v>3</v>
      </c>
      <c r="F213" s="8" t="str">
        <f>IF(ABS(D213-E213)&lt;0.00001,"PASS","MISMATCH")</f>
        <v>PASS</v>
      </c>
      <c r="G213" s="9" t="inlineStr">
        <is>
          <t>Selected-source descriptor only; numeric reproduction does not validate scientific classification.</t>
        </is>
      </c>
    </row>
    <row r="214">
      <c r="A214" s="5" t="inlineStr">
        <is>
          <t>S7</t>
        </is>
      </c>
      <c r="B214" s="5" t="inlineStr">
        <is>
          <t>Thermogelling or externally actuated systems</t>
        </is>
      </c>
      <c r="C214" s="5" t="inlineStr">
        <is>
          <t>Angiogenic or vascular</t>
        </is>
      </c>
      <c r="D214" s="6" t="n">
        <v>1</v>
      </c>
      <c r="E214" s="7" t="n">
        <f>'Matrix_S07'!G5</f>
        <v>1</v>
      </c>
      <c r="F214" s="8" t="str">
        <f>IF(ABS(D214-E214)&lt;0.00001,"PASS","MISMATCH")</f>
        <v>PASS</v>
      </c>
      <c r="G214" s="9" t="inlineStr">
        <is>
          <t>Selected-source descriptor only; numeric reproduction does not validate scientific classification.</t>
        </is>
      </c>
    </row>
    <row r="215">
      <c r="A215" s="5" t="inlineStr">
        <is>
          <t>S7</t>
        </is>
      </c>
      <c r="B215" s="5" t="inlineStr">
        <is>
          <t>Thermogelling or externally actuated systems</t>
        </is>
      </c>
      <c r="C215" s="5" t="inlineStr">
        <is>
          <t>Histology, collagen, or matrix repair</t>
        </is>
      </c>
      <c r="D215" s="6" t="n">
        <v>3</v>
      </c>
      <c r="E215" s="7" t="n">
        <f>'Matrix_S07'!H5</f>
        <v>3</v>
      </c>
      <c r="F215" s="8" t="str">
        <f>IF(ABS(D215-E215)&lt;0.00001,"PASS","MISMATCH")</f>
        <v>PASS</v>
      </c>
      <c r="G215" s="9" t="inlineStr">
        <is>
          <t>Selected-source descriptor only; numeric reproduction does not validate scientific classification.</t>
        </is>
      </c>
    </row>
    <row r="216">
      <c r="A216" s="5" t="inlineStr">
        <is>
          <t>S7</t>
        </is>
      </c>
      <c r="B216" s="5" t="inlineStr">
        <is>
          <t>Thermogelling or externally actuated systems</t>
        </is>
      </c>
      <c r="C216" s="5" t="inlineStr">
        <is>
          <t>Wound-area trajectory</t>
        </is>
      </c>
      <c r="D216" s="6" t="n">
        <v>3</v>
      </c>
      <c r="E216" s="7" t="n">
        <f>'Matrix_S07'!I5</f>
        <v>3</v>
      </c>
      <c r="F216" s="8" t="str">
        <f>IF(ABS(D216-E216)&lt;0.00001,"PASS","MISMATCH")</f>
        <v>PASS</v>
      </c>
      <c r="G216" s="9" t="inlineStr">
        <is>
          <t>Selected-source descriptor only; numeric reproduction does not validate scientific classification.</t>
        </is>
      </c>
    </row>
    <row r="217">
      <c r="A217" s="5" t="inlineStr">
        <is>
          <t>S7</t>
        </is>
      </c>
      <c r="B217" s="5" t="inlineStr">
        <is>
          <t>Thermogelling or externally actuated systems</t>
        </is>
      </c>
      <c r="C217" s="5" t="inlineStr">
        <is>
          <t>Safety or cytocompatibility</t>
        </is>
      </c>
      <c r="D217" s="6" t="n">
        <v>3</v>
      </c>
      <c r="E217" s="7" t="n">
        <f>'Matrix_S07'!J5</f>
        <v>3</v>
      </c>
      <c r="F217" s="8" t="str">
        <f>IF(ABS(D217-E217)&lt;0.00001,"PASS","MISMATCH")</f>
        <v>PASS</v>
      </c>
      <c r="G217" s="9" t="inlineStr">
        <is>
          <t>Selected-source descriptor only; numeric reproduction does not validate scientific classification.</t>
        </is>
      </c>
    </row>
    <row r="218">
      <c r="A218" s="5" t="inlineStr">
        <is>
          <t>S7</t>
        </is>
      </c>
      <c r="B218" s="5" t="inlineStr">
        <is>
          <t>Macrophage/cytokine-balancing matrices</t>
        </is>
      </c>
      <c r="C218" s="5" t="inlineStr">
        <is>
          <t>Material properties</t>
        </is>
      </c>
      <c r="D218" s="6" t="n">
        <v>5</v>
      </c>
      <c r="E218" s="7" t="n">
        <f>'Matrix_S07'!B6</f>
        <v>5</v>
      </c>
      <c r="F218" s="8" t="str">
        <f>IF(ABS(D218-E218)&lt;0.00001,"PASS","MISMATCH")</f>
        <v>PASS</v>
      </c>
      <c r="G218" s="9" t="inlineStr">
        <is>
          <t>Selected-source descriptor only; numeric reproduction does not validate scientific classification.</t>
        </is>
      </c>
    </row>
    <row r="219">
      <c r="A219" s="5" t="inlineStr">
        <is>
          <t>S7</t>
        </is>
      </c>
      <c r="B219" s="5" t="inlineStr">
        <is>
          <t>Macrophage/cytokine-balancing matrices</t>
        </is>
      </c>
      <c r="C219" s="5" t="inlineStr">
        <is>
          <t>Release or activation kinetics</t>
        </is>
      </c>
      <c r="D219" s="6" t="n">
        <v>6</v>
      </c>
      <c r="E219" s="7" t="n">
        <f>'Matrix_S07'!C6</f>
        <v>6</v>
      </c>
      <c r="F219" s="8" t="str">
        <f>IF(ABS(D219-E219)&lt;0.00001,"PASS","MISMATCH")</f>
        <v>PASS</v>
      </c>
      <c r="G219" s="9" t="inlineStr">
        <is>
          <t>Selected-source descriptor only; numeric reproduction does not validate scientific classification.</t>
        </is>
      </c>
    </row>
    <row r="220">
      <c r="A220" s="5" t="inlineStr">
        <is>
          <t>S7</t>
        </is>
      </c>
      <c r="B220" s="5" t="inlineStr">
        <is>
          <t>Macrophage/cytokine-balancing matrices</t>
        </is>
      </c>
      <c r="C220" s="5" t="inlineStr">
        <is>
          <t>Antimicrobial or biofilm</t>
        </is>
      </c>
      <c r="D220" s="6" t="n">
        <v>6</v>
      </c>
      <c r="E220" s="7" t="n">
        <f>'Matrix_S07'!D6</f>
        <v>6</v>
      </c>
      <c r="F220" s="8" t="str">
        <f>IF(ABS(D220-E220)&lt;0.00001,"PASS","MISMATCH")</f>
        <v>PASS</v>
      </c>
      <c r="G220" s="9" t="inlineStr">
        <is>
          <t>Selected-source descriptor only; numeric reproduction does not validate scientific classification.</t>
        </is>
      </c>
    </row>
    <row r="221">
      <c r="A221" s="5" t="inlineStr">
        <is>
          <t>S7</t>
        </is>
      </c>
      <c r="B221" s="5" t="inlineStr">
        <is>
          <t>Macrophage/cytokine-balancing matrices</t>
        </is>
      </c>
      <c r="C221" s="5" t="inlineStr">
        <is>
          <t>ROS, oxidative, or metabolic</t>
        </is>
      </c>
      <c r="D221" s="6" t="n">
        <v>5</v>
      </c>
      <c r="E221" s="7" t="n">
        <f>'Matrix_S07'!E6</f>
        <v>5</v>
      </c>
      <c r="F221" s="8" t="str">
        <f>IF(ABS(D221-E221)&lt;0.00001,"PASS","MISMATCH")</f>
        <v>PASS</v>
      </c>
      <c r="G221" s="9" t="inlineStr">
        <is>
          <t>Selected-source descriptor only; numeric reproduction does not validate scientific classification.</t>
        </is>
      </c>
    </row>
    <row r="222">
      <c r="A222" s="5" t="inlineStr">
        <is>
          <t>S7</t>
        </is>
      </c>
      <c r="B222" s="5" t="inlineStr">
        <is>
          <t>Macrophage/cytokine-balancing matrices</t>
        </is>
      </c>
      <c r="C222" s="5" t="inlineStr">
        <is>
          <t>Immune, cytokine, or macrophage</t>
        </is>
      </c>
      <c r="D222" s="6" t="n">
        <v>6</v>
      </c>
      <c r="E222" s="7" t="n">
        <f>'Matrix_S07'!F6</f>
        <v>6</v>
      </c>
      <c r="F222" s="8" t="str">
        <f>IF(ABS(D222-E222)&lt;0.00001,"PASS","MISMATCH")</f>
        <v>PASS</v>
      </c>
      <c r="G222" s="9" t="inlineStr">
        <is>
          <t>Selected-source descriptor only; numeric reproduction does not validate scientific classification.</t>
        </is>
      </c>
    </row>
    <row r="223">
      <c r="A223" s="5" t="inlineStr">
        <is>
          <t>S7</t>
        </is>
      </c>
      <c r="B223" s="5" t="inlineStr">
        <is>
          <t>Macrophage/cytokine-balancing matrices</t>
        </is>
      </c>
      <c r="C223" s="5" t="inlineStr">
        <is>
          <t>Angiogenic or vascular</t>
        </is>
      </c>
      <c r="D223" s="6" t="n">
        <v>6</v>
      </c>
      <c r="E223" s="7" t="n">
        <f>'Matrix_S07'!G6</f>
        <v>6</v>
      </c>
      <c r="F223" s="8" t="str">
        <f>IF(ABS(D223-E223)&lt;0.00001,"PASS","MISMATCH")</f>
        <v>PASS</v>
      </c>
      <c r="G223" s="9" t="inlineStr">
        <is>
          <t>Selected-source descriptor only; numeric reproduction does not validate scientific classification.</t>
        </is>
      </c>
    </row>
    <row r="224">
      <c r="A224" s="5" t="inlineStr">
        <is>
          <t>S7</t>
        </is>
      </c>
      <c r="B224" s="5" t="inlineStr">
        <is>
          <t>Macrophage/cytokine-balancing matrices</t>
        </is>
      </c>
      <c r="C224" s="5" t="inlineStr">
        <is>
          <t>Histology, collagen, or matrix repair</t>
        </is>
      </c>
      <c r="D224" s="6" t="n">
        <v>6</v>
      </c>
      <c r="E224" s="7" t="n">
        <f>'Matrix_S07'!H6</f>
        <v>6</v>
      </c>
      <c r="F224" s="8" t="str">
        <f>IF(ABS(D224-E224)&lt;0.00001,"PASS","MISMATCH")</f>
        <v>PASS</v>
      </c>
      <c r="G224" s="9" t="inlineStr">
        <is>
          <t>Selected-source descriptor only; numeric reproduction does not validate scientific classification.</t>
        </is>
      </c>
    </row>
    <row r="225">
      <c r="A225" s="5" t="inlineStr">
        <is>
          <t>S7</t>
        </is>
      </c>
      <c r="B225" s="5" t="inlineStr">
        <is>
          <t>Macrophage/cytokine-balancing matrices</t>
        </is>
      </c>
      <c r="C225" s="5" t="inlineStr">
        <is>
          <t>Wound-area trajectory</t>
        </is>
      </c>
      <c r="D225" s="6" t="n">
        <v>6</v>
      </c>
      <c r="E225" s="7" t="n">
        <f>'Matrix_S07'!I6</f>
        <v>6</v>
      </c>
      <c r="F225" s="8" t="str">
        <f>IF(ABS(D225-E225)&lt;0.00001,"PASS","MISMATCH")</f>
        <v>PASS</v>
      </c>
      <c r="G225" s="9" t="inlineStr">
        <is>
          <t>Selected-source descriptor only; numeric reproduction does not validate scientific classification.</t>
        </is>
      </c>
    </row>
    <row r="226">
      <c r="A226" s="5" t="inlineStr">
        <is>
          <t>S7</t>
        </is>
      </c>
      <c r="B226" s="5" t="inlineStr">
        <is>
          <t>Macrophage/cytokine-balancing matrices</t>
        </is>
      </c>
      <c r="C226" s="5" t="inlineStr">
        <is>
          <t>Safety or cytocompatibility</t>
        </is>
      </c>
      <c r="D226" s="6" t="n">
        <v>6</v>
      </c>
      <c r="E226" s="7" t="n">
        <f>'Matrix_S07'!J6</f>
        <v>6</v>
      </c>
      <c r="F226" s="8" t="str">
        <f>IF(ABS(D226-E226)&lt;0.00001,"PASS","MISMATCH")</f>
        <v>PASS</v>
      </c>
      <c r="G226" s="9" t="inlineStr">
        <is>
          <t>Selected-source descriptor only; numeric reproduction does not validate scientific classification.</t>
        </is>
      </c>
    </row>
    <row r="227">
      <c r="A227" s="5" t="inlineStr">
        <is>
          <t>S7</t>
        </is>
      </c>
      <c r="B227" s="5" t="inlineStr">
        <is>
          <t>Antimicrobial/antibiofilm depots</t>
        </is>
      </c>
      <c r="C227" s="5" t="inlineStr">
        <is>
          <t>Material properties</t>
        </is>
      </c>
      <c r="D227" s="6" t="n">
        <v>5</v>
      </c>
      <c r="E227" s="7" t="n">
        <f>'Matrix_S07'!B7</f>
        <v>5</v>
      </c>
      <c r="F227" s="8" t="str">
        <f>IF(ABS(D227-E227)&lt;0.00001,"PASS","MISMATCH")</f>
        <v>PASS</v>
      </c>
      <c r="G227" s="9" t="inlineStr">
        <is>
          <t>Selected-source descriptor only; numeric reproduction does not validate scientific classification.</t>
        </is>
      </c>
    </row>
    <row r="228">
      <c r="A228" s="5" t="inlineStr">
        <is>
          <t>S7</t>
        </is>
      </c>
      <c r="B228" s="5" t="inlineStr">
        <is>
          <t>Antimicrobial/antibiofilm depots</t>
        </is>
      </c>
      <c r="C228" s="5" t="inlineStr">
        <is>
          <t>Release or activation kinetics</t>
        </is>
      </c>
      <c r="D228" s="6" t="n">
        <v>5</v>
      </c>
      <c r="E228" s="7" t="n">
        <f>'Matrix_S07'!C7</f>
        <v>5</v>
      </c>
      <c r="F228" s="8" t="str">
        <f>IF(ABS(D228-E228)&lt;0.00001,"PASS","MISMATCH")</f>
        <v>PASS</v>
      </c>
      <c r="G228" s="9" t="inlineStr">
        <is>
          <t>Selected-source descriptor only; numeric reproduction does not validate scientific classification.</t>
        </is>
      </c>
    </row>
    <row r="229">
      <c r="A229" s="5" t="inlineStr">
        <is>
          <t>S7</t>
        </is>
      </c>
      <c r="B229" s="5" t="inlineStr">
        <is>
          <t>Antimicrobial/antibiofilm depots</t>
        </is>
      </c>
      <c r="C229" s="5" t="inlineStr">
        <is>
          <t>Antimicrobial or biofilm</t>
        </is>
      </c>
      <c r="D229" s="6" t="n">
        <v>6</v>
      </c>
      <c r="E229" s="7" t="n">
        <f>'Matrix_S07'!D7</f>
        <v>6</v>
      </c>
      <c r="F229" s="8" t="str">
        <f>IF(ABS(D229-E229)&lt;0.00001,"PASS","MISMATCH")</f>
        <v>PASS</v>
      </c>
      <c r="G229" s="9" t="inlineStr">
        <is>
          <t>Selected-source descriptor only; numeric reproduction does not validate scientific classification.</t>
        </is>
      </c>
    </row>
    <row r="230">
      <c r="A230" s="5" t="inlineStr">
        <is>
          <t>S7</t>
        </is>
      </c>
      <c r="B230" s="5" t="inlineStr">
        <is>
          <t>Antimicrobial/antibiofilm depots</t>
        </is>
      </c>
      <c r="C230" s="5" t="inlineStr">
        <is>
          <t>ROS, oxidative, or metabolic</t>
        </is>
      </c>
      <c r="D230" s="6" t="n">
        <v>3</v>
      </c>
      <c r="E230" s="7" t="n">
        <f>'Matrix_S07'!E7</f>
        <v>3</v>
      </c>
      <c r="F230" s="8" t="str">
        <f>IF(ABS(D230-E230)&lt;0.00001,"PASS","MISMATCH")</f>
        <v>PASS</v>
      </c>
      <c r="G230" s="9" t="inlineStr">
        <is>
          <t>Selected-source descriptor only; numeric reproduction does not validate scientific classification.</t>
        </is>
      </c>
    </row>
    <row r="231">
      <c r="A231" s="5" t="inlineStr">
        <is>
          <t>S7</t>
        </is>
      </c>
      <c r="B231" s="5" t="inlineStr">
        <is>
          <t>Antimicrobial/antibiofilm depots</t>
        </is>
      </c>
      <c r="C231" s="5" t="inlineStr">
        <is>
          <t>Immune, cytokine, or macrophage</t>
        </is>
      </c>
      <c r="D231" s="6" t="n">
        <v>5</v>
      </c>
      <c r="E231" s="7" t="n">
        <f>'Matrix_S07'!F7</f>
        <v>5</v>
      </c>
      <c r="F231" s="8" t="str">
        <f>IF(ABS(D231-E231)&lt;0.00001,"PASS","MISMATCH")</f>
        <v>PASS</v>
      </c>
      <c r="G231" s="9" t="inlineStr">
        <is>
          <t>Selected-source descriptor only; numeric reproduction does not validate scientific classification.</t>
        </is>
      </c>
    </row>
    <row r="232">
      <c r="A232" s="5" t="inlineStr">
        <is>
          <t>S7</t>
        </is>
      </c>
      <c r="B232" s="5" t="inlineStr">
        <is>
          <t>Antimicrobial/antibiofilm depots</t>
        </is>
      </c>
      <c r="C232" s="5" t="inlineStr">
        <is>
          <t>Angiogenic or vascular</t>
        </is>
      </c>
      <c r="D232" s="6" t="n">
        <v>2</v>
      </c>
      <c r="E232" s="7" t="n">
        <f>'Matrix_S07'!G7</f>
        <v>2</v>
      </c>
      <c r="F232" s="8" t="str">
        <f>IF(ABS(D232-E232)&lt;0.00001,"PASS","MISMATCH")</f>
        <v>PASS</v>
      </c>
      <c r="G232" s="9" t="inlineStr">
        <is>
          <t>Selected-source descriptor only; numeric reproduction does not validate scientific classification.</t>
        </is>
      </c>
    </row>
    <row r="233">
      <c r="A233" s="5" t="inlineStr">
        <is>
          <t>S7</t>
        </is>
      </c>
      <c r="B233" s="5" t="inlineStr">
        <is>
          <t>Antimicrobial/antibiofilm depots</t>
        </is>
      </c>
      <c r="C233" s="5" t="inlineStr">
        <is>
          <t>Histology, collagen, or matrix repair</t>
        </is>
      </c>
      <c r="D233" s="6" t="n">
        <v>5</v>
      </c>
      <c r="E233" s="7" t="n">
        <f>'Matrix_S07'!H7</f>
        <v>5</v>
      </c>
      <c r="F233" s="8" t="str">
        <f>IF(ABS(D233-E233)&lt;0.00001,"PASS","MISMATCH")</f>
        <v>PASS</v>
      </c>
      <c r="G233" s="9" t="inlineStr">
        <is>
          <t>Selected-source descriptor only; numeric reproduction does not validate scientific classification.</t>
        </is>
      </c>
    </row>
    <row r="234">
      <c r="A234" s="5" t="inlineStr">
        <is>
          <t>S7</t>
        </is>
      </c>
      <c r="B234" s="5" t="inlineStr">
        <is>
          <t>Antimicrobial/antibiofilm depots</t>
        </is>
      </c>
      <c r="C234" s="5" t="inlineStr">
        <is>
          <t>Wound-area trajectory</t>
        </is>
      </c>
      <c r="D234" s="6" t="n">
        <v>4</v>
      </c>
      <c r="E234" s="7" t="n">
        <f>'Matrix_S07'!I7</f>
        <v>4</v>
      </c>
      <c r="F234" s="8" t="str">
        <f>IF(ABS(D234-E234)&lt;0.00001,"PASS","MISMATCH")</f>
        <v>PASS</v>
      </c>
      <c r="G234" s="9" t="inlineStr">
        <is>
          <t>Selected-source descriptor only; numeric reproduction does not validate scientific classification.</t>
        </is>
      </c>
    </row>
    <row r="235">
      <c r="A235" s="5" t="inlineStr">
        <is>
          <t>S7</t>
        </is>
      </c>
      <c r="B235" s="5" t="inlineStr">
        <is>
          <t>Antimicrobial/antibiofilm depots</t>
        </is>
      </c>
      <c r="C235" s="5" t="inlineStr">
        <is>
          <t>Safety or cytocompatibility</t>
        </is>
      </c>
      <c r="D235" s="6" t="n">
        <v>3</v>
      </c>
      <c r="E235" s="7" t="n">
        <f>'Matrix_S07'!J7</f>
        <v>3</v>
      </c>
      <c r="F235" s="8" t="str">
        <f>IF(ABS(D235-E235)&lt;0.00001,"PASS","MISMATCH")</f>
        <v>PASS</v>
      </c>
      <c r="G235" s="9" t="inlineStr">
        <is>
          <t>Selected-source descriptor only; numeric reproduction does not validate scientific classification.</t>
        </is>
      </c>
    </row>
    <row r="236">
      <c r="A236" s="5" t="inlineStr">
        <is>
          <t>S7</t>
        </is>
      </c>
      <c r="B236" s="5" t="inlineStr">
        <is>
          <t>Growth-factor/protein delivery depots</t>
        </is>
      </c>
      <c r="C236" s="5" t="inlineStr">
        <is>
          <t>Material properties</t>
        </is>
      </c>
      <c r="D236" s="6" t="n">
        <v>5</v>
      </c>
      <c r="E236" s="7" t="n">
        <f>'Matrix_S07'!B8</f>
        <v>5</v>
      </c>
      <c r="F236" s="8" t="str">
        <f>IF(ABS(D236-E236)&lt;0.00001,"PASS","MISMATCH")</f>
        <v>PASS</v>
      </c>
      <c r="G236" s="9" t="inlineStr">
        <is>
          <t>Selected-source descriptor only; numeric reproduction does not validate scientific classification.</t>
        </is>
      </c>
    </row>
    <row r="237">
      <c r="A237" s="5" t="inlineStr">
        <is>
          <t>S7</t>
        </is>
      </c>
      <c r="B237" s="5" t="inlineStr">
        <is>
          <t>Growth-factor/protein delivery depots</t>
        </is>
      </c>
      <c r="C237" s="5" t="inlineStr">
        <is>
          <t>Release or activation kinetics</t>
        </is>
      </c>
      <c r="D237" s="6" t="n">
        <v>6</v>
      </c>
      <c r="E237" s="7" t="n">
        <f>'Matrix_S07'!C8</f>
        <v>6</v>
      </c>
      <c r="F237" s="8" t="str">
        <f>IF(ABS(D237-E237)&lt;0.00001,"PASS","MISMATCH")</f>
        <v>PASS</v>
      </c>
      <c r="G237" s="9" t="inlineStr">
        <is>
          <t>Selected-source descriptor only; numeric reproduction does not validate scientific classification.</t>
        </is>
      </c>
    </row>
    <row r="238">
      <c r="A238" s="5" t="inlineStr">
        <is>
          <t>S7</t>
        </is>
      </c>
      <c r="B238" s="5" t="inlineStr">
        <is>
          <t>Growth-factor/protein delivery depots</t>
        </is>
      </c>
      <c r="C238" s="5" t="inlineStr">
        <is>
          <t>Antimicrobial or biofilm</t>
        </is>
      </c>
      <c r="D238" s="6" t="n">
        <v>5</v>
      </c>
      <c r="E238" s="7" t="n">
        <f>'Matrix_S07'!D8</f>
        <v>5</v>
      </c>
      <c r="F238" s="8" t="str">
        <f>IF(ABS(D238-E238)&lt;0.00001,"PASS","MISMATCH")</f>
        <v>PASS</v>
      </c>
      <c r="G238" s="9" t="inlineStr">
        <is>
          <t>Selected-source descriptor only; numeric reproduction does not validate scientific classification.</t>
        </is>
      </c>
    </row>
    <row r="239">
      <c r="A239" s="5" t="inlineStr">
        <is>
          <t>S7</t>
        </is>
      </c>
      <c r="B239" s="5" t="inlineStr">
        <is>
          <t>Growth-factor/protein delivery depots</t>
        </is>
      </c>
      <c r="C239" s="5" t="inlineStr">
        <is>
          <t>ROS, oxidative, or metabolic</t>
        </is>
      </c>
      <c r="D239" s="6" t="n">
        <v>5</v>
      </c>
      <c r="E239" s="7" t="n">
        <f>'Matrix_S07'!E8</f>
        <v>5</v>
      </c>
      <c r="F239" s="8" t="str">
        <f>IF(ABS(D239-E239)&lt;0.00001,"PASS","MISMATCH")</f>
        <v>PASS</v>
      </c>
      <c r="G239" s="9" t="inlineStr">
        <is>
          <t>Selected-source descriptor only; numeric reproduction does not validate scientific classification.</t>
        </is>
      </c>
    </row>
    <row r="240">
      <c r="A240" s="5" t="inlineStr">
        <is>
          <t>S7</t>
        </is>
      </c>
      <c r="B240" s="5" t="inlineStr">
        <is>
          <t>Growth-factor/protein delivery depots</t>
        </is>
      </c>
      <c r="C240" s="5" t="inlineStr">
        <is>
          <t>Immune, cytokine, or macrophage</t>
        </is>
      </c>
      <c r="D240" s="6" t="n">
        <v>3</v>
      </c>
      <c r="E240" s="7" t="n">
        <f>'Matrix_S07'!F8</f>
        <v>3</v>
      </c>
      <c r="F240" s="8" t="str">
        <f>IF(ABS(D240-E240)&lt;0.00001,"PASS","MISMATCH")</f>
        <v>PASS</v>
      </c>
      <c r="G240" s="9" t="inlineStr">
        <is>
          <t>Selected-source descriptor only; numeric reproduction does not validate scientific classification.</t>
        </is>
      </c>
    </row>
    <row r="241">
      <c r="A241" s="5" t="inlineStr">
        <is>
          <t>S7</t>
        </is>
      </c>
      <c r="B241" s="5" t="inlineStr">
        <is>
          <t>Growth-factor/protein delivery depots</t>
        </is>
      </c>
      <c r="C241" s="5" t="inlineStr">
        <is>
          <t>Angiogenic or vascular</t>
        </is>
      </c>
      <c r="D241" s="6" t="n">
        <v>6</v>
      </c>
      <c r="E241" s="7" t="n">
        <f>'Matrix_S07'!G8</f>
        <v>6</v>
      </c>
      <c r="F241" s="8" t="str">
        <f>IF(ABS(D241-E241)&lt;0.00001,"PASS","MISMATCH")</f>
        <v>PASS</v>
      </c>
      <c r="G241" s="9" t="inlineStr">
        <is>
          <t>Selected-source descriptor only; numeric reproduction does not validate scientific classification.</t>
        </is>
      </c>
    </row>
    <row r="242">
      <c r="A242" s="5" t="inlineStr">
        <is>
          <t>S7</t>
        </is>
      </c>
      <c r="B242" s="5" t="inlineStr">
        <is>
          <t>Growth-factor/protein delivery depots</t>
        </is>
      </c>
      <c r="C242" s="5" t="inlineStr">
        <is>
          <t>Histology, collagen, or matrix repair</t>
        </is>
      </c>
      <c r="D242" s="6" t="n">
        <v>6</v>
      </c>
      <c r="E242" s="7" t="n">
        <f>'Matrix_S07'!H8</f>
        <v>6</v>
      </c>
      <c r="F242" s="8" t="str">
        <f>IF(ABS(D242-E242)&lt;0.00001,"PASS","MISMATCH")</f>
        <v>PASS</v>
      </c>
      <c r="G242" s="9" t="inlineStr">
        <is>
          <t>Selected-source descriptor only; numeric reproduction does not validate scientific classification.</t>
        </is>
      </c>
    </row>
    <row r="243">
      <c r="A243" s="5" t="inlineStr">
        <is>
          <t>S7</t>
        </is>
      </c>
      <c r="B243" s="5" t="inlineStr">
        <is>
          <t>Growth-factor/protein delivery depots</t>
        </is>
      </c>
      <c r="C243" s="5" t="inlineStr">
        <is>
          <t>Wound-area trajectory</t>
        </is>
      </c>
      <c r="D243" s="6" t="n">
        <v>6</v>
      </c>
      <c r="E243" s="7" t="n">
        <f>'Matrix_S07'!I8</f>
        <v>6</v>
      </c>
      <c r="F243" s="8" t="str">
        <f>IF(ABS(D243-E243)&lt;0.00001,"PASS","MISMATCH")</f>
        <v>PASS</v>
      </c>
      <c r="G243" s="9" t="inlineStr">
        <is>
          <t>Selected-source descriptor only; numeric reproduction does not validate scientific classification.</t>
        </is>
      </c>
    </row>
    <row r="244">
      <c r="A244" s="5" t="inlineStr">
        <is>
          <t>S7</t>
        </is>
      </c>
      <c r="B244" s="5" t="inlineStr">
        <is>
          <t>Growth-factor/protein delivery depots</t>
        </is>
      </c>
      <c r="C244" s="5" t="inlineStr">
        <is>
          <t>Safety or cytocompatibility</t>
        </is>
      </c>
      <c r="D244" s="6" t="n">
        <v>6</v>
      </c>
      <c r="E244" s="7" t="n">
        <f>'Matrix_S07'!J8</f>
        <v>6</v>
      </c>
      <c r="F244" s="8" t="str">
        <f>IF(ABS(D244-E244)&lt;0.00001,"PASS","MISMATCH")</f>
        <v>PASS</v>
      </c>
      <c r="G244" s="9" t="inlineStr">
        <is>
          <t>Selected-source descriptor only; numeric reproduction does not validate scientific classification.</t>
        </is>
      </c>
    </row>
    <row r="245">
      <c r="A245" s="5" t="inlineStr">
        <is>
          <t>S7</t>
        </is>
      </c>
      <c r="B245" s="5" t="inlineStr">
        <is>
          <t>Multicargo sequence-delivery formulations</t>
        </is>
      </c>
      <c r="C245" s="5" t="inlineStr">
        <is>
          <t>Material properties</t>
        </is>
      </c>
      <c r="D245" s="6" t="n">
        <v>2</v>
      </c>
      <c r="E245" s="7" t="n">
        <f>'Matrix_S07'!B9</f>
        <v>2</v>
      </c>
      <c r="F245" s="8" t="str">
        <f>IF(ABS(D245-E245)&lt;0.00001,"PASS","MISMATCH")</f>
        <v>PASS</v>
      </c>
      <c r="G245" s="9" t="inlineStr">
        <is>
          <t>Selected-source descriptor only; numeric reproduction does not validate scientific classification.</t>
        </is>
      </c>
    </row>
    <row r="246">
      <c r="A246" s="5" t="inlineStr">
        <is>
          <t>S7</t>
        </is>
      </c>
      <c r="B246" s="5" t="inlineStr">
        <is>
          <t>Multicargo sequence-delivery formulations</t>
        </is>
      </c>
      <c r="C246" s="5" t="inlineStr">
        <is>
          <t>Release or activation kinetics</t>
        </is>
      </c>
      <c r="D246" s="6" t="n">
        <v>2</v>
      </c>
      <c r="E246" s="7" t="n">
        <f>'Matrix_S07'!C9</f>
        <v>2</v>
      </c>
      <c r="F246" s="8" t="str">
        <f>IF(ABS(D246-E246)&lt;0.00001,"PASS","MISMATCH")</f>
        <v>PASS</v>
      </c>
      <c r="G246" s="9" t="inlineStr">
        <is>
          <t>Selected-source descriptor only; numeric reproduction does not validate scientific classification.</t>
        </is>
      </c>
    </row>
    <row r="247">
      <c r="A247" s="5" t="inlineStr">
        <is>
          <t>S7</t>
        </is>
      </c>
      <c r="B247" s="5" t="inlineStr">
        <is>
          <t>Multicargo sequence-delivery formulations</t>
        </is>
      </c>
      <c r="C247" s="5" t="inlineStr">
        <is>
          <t>Antimicrobial or biofilm</t>
        </is>
      </c>
      <c r="D247" s="6" t="n">
        <v>2</v>
      </c>
      <c r="E247" s="7" t="n">
        <f>'Matrix_S07'!D9</f>
        <v>2</v>
      </c>
      <c r="F247" s="8" t="str">
        <f>IF(ABS(D247-E247)&lt;0.00001,"PASS","MISMATCH")</f>
        <v>PASS</v>
      </c>
      <c r="G247" s="9" t="inlineStr">
        <is>
          <t>Selected-source descriptor only; numeric reproduction does not validate scientific classification.</t>
        </is>
      </c>
    </row>
    <row r="248">
      <c r="A248" s="5" t="inlineStr">
        <is>
          <t>S7</t>
        </is>
      </c>
      <c r="B248" s="5" t="inlineStr">
        <is>
          <t>Multicargo sequence-delivery formulations</t>
        </is>
      </c>
      <c r="C248" s="5" t="inlineStr">
        <is>
          <t>ROS, oxidative, or metabolic</t>
        </is>
      </c>
      <c r="D248" s="6" t="n">
        <v>2</v>
      </c>
      <c r="E248" s="7" t="n">
        <f>'Matrix_S07'!E9</f>
        <v>2</v>
      </c>
      <c r="F248" s="8" t="str">
        <f>IF(ABS(D248-E248)&lt;0.00001,"PASS","MISMATCH")</f>
        <v>PASS</v>
      </c>
      <c r="G248" s="9" t="inlineStr">
        <is>
          <t>Selected-source descriptor only; numeric reproduction does not validate scientific classification.</t>
        </is>
      </c>
    </row>
    <row r="249">
      <c r="A249" s="5" t="inlineStr">
        <is>
          <t>S7</t>
        </is>
      </c>
      <c r="B249" s="5" t="inlineStr">
        <is>
          <t>Multicargo sequence-delivery formulations</t>
        </is>
      </c>
      <c r="C249" s="5" t="inlineStr">
        <is>
          <t>Immune, cytokine, or macrophage</t>
        </is>
      </c>
      <c r="D249" s="6" t="n">
        <v>2</v>
      </c>
      <c r="E249" s="7" t="n">
        <f>'Matrix_S07'!F9</f>
        <v>2</v>
      </c>
      <c r="F249" s="8" t="str">
        <f>IF(ABS(D249-E249)&lt;0.00001,"PASS","MISMATCH")</f>
        <v>PASS</v>
      </c>
      <c r="G249" s="9" t="inlineStr">
        <is>
          <t>Selected-source descriptor only; numeric reproduction does not validate scientific classification.</t>
        </is>
      </c>
    </row>
    <row r="250">
      <c r="A250" s="5" t="inlineStr">
        <is>
          <t>S7</t>
        </is>
      </c>
      <c r="B250" s="5" t="inlineStr">
        <is>
          <t>Multicargo sequence-delivery formulations</t>
        </is>
      </c>
      <c r="C250" s="5" t="inlineStr">
        <is>
          <t>Angiogenic or vascular</t>
        </is>
      </c>
      <c r="D250" s="6" t="n">
        <v>2</v>
      </c>
      <c r="E250" s="7" t="n">
        <f>'Matrix_S07'!G9</f>
        <v>2</v>
      </c>
      <c r="F250" s="8" t="str">
        <f>IF(ABS(D250-E250)&lt;0.00001,"PASS","MISMATCH")</f>
        <v>PASS</v>
      </c>
      <c r="G250" s="9" t="inlineStr">
        <is>
          <t>Selected-source descriptor only; numeric reproduction does not validate scientific classification.</t>
        </is>
      </c>
    </row>
    <row r="251">
      <c r="A251" s="5" t="inlineStr">
        <is>
          <t>S7</t>
        </is>
      </c>
      <c r="B251" s="5" t="inlineStr">
        <is>
          <t>Multicargo sequence-delivery formulations</t>
        </is>
      </c>
      <c r="C251" s="5" t="inlineStr">
        <is>
          <t>Histology, collagen, or matrix repair</t>
        </is>
      </c>
      <c r="D251" s="6" t="n">
        <v>2</v>
      </c>
      <c r="E251" s="7" t="n">
        <f>'Matrix_S07'!H9</f>
        <v>2</v>
      </c>
      <c r="F251" s="8" t="str">
        <f>IF(ABS(D251-E251)&lt;0.00001,"PASS","MISMATCH")</f>
        <v>PASS</v>
      </c>
      <c r="G251" s="9" t="inlineStr">
        <is>
          <t>Selected-source descriptor only; numeric reproduction does not validate scientific classification.</t>
        </is>
      </c>
    </row>
    <row r="252">
      <c r="A252" s="5" t="inlineStr">
        <is>
          <t>S7</t>
        </is>
      </c>
      <c r="B252" s="5" t="inlineStr">
        <is>
          <t>Multicargo sequence-delivery formulations</t>
        </is>
      </c>
      <c r="C252" s="5" t="inlineStr">
        <is>
          <t>Wound-area trajectory</t>
        </is>
      </c>
      <c r="D252" s="6" t="n">
        <v>2</v>
      </c>
      <c r="E252" s="7" t="n">
        <f>'Matrix_S07'!I9</f>
        <v>2</v>
      </c>
      <c r="F252" s="8" t="str">
        <f>IF(ABS(D252-E252)&lt;0.00001,"PASS","MISMATCH")</f>
        <v>PASS</v>
      </c>
      <c r="G252" s="9" t="inlineStr">
        <is>
          <t>Selected-source descriptor only; numeric reproduction does not validate scientific classification.</t>
        </is>
      </c>
    </row>
    <row r="253">
      <c r="A253" s="5" t="inlineStr">
        <is>
          <t>S7</t>
        </is>
      </c>
      <c r="B253" s="5" t="inlineStr">
        <is>
          <t>Multicargo sequence-delivery formulations</t>
        </is>
      </c>
      <c r="C253" s="5" t="inlineStr">
        <is>
          <t>Safety or cytocompatibility</t>
        </is>
      </c>
      <c r="D253" s="6" t="n">
        <v>2</v>
      </c>
      <c r="E253" s="7" t="n">
        <f>'Matrix_S07'!J9</f>
        <v>2</v>
      </c>
      <c r="F253" s="8" t="str">
        <f>IF(ABS(D253-E253)&lt;0.00001,"PASS","MISMATCH")</f>
        <v>PASS</v>
      </c>
      <c r="G253" s="9" t="inlineStr">
        <is>
          <t>Selected-source descriptor only; numeric reproduction does not validate scientific classification.</t>
        </is>
      </c>
    </row>
    <row r="254">
      <c r="A254" s="5" t="inlineStr">
        <is>
          <t>S7</t>
        </is>
      </c>
      <c r="B254" s="5" t="inlineStr">
        <is>
          <t>Exosome/EV release systems</t>
        </is>
      </c>
      <c r="C254" s="5" t="inlineStr">
        <is>
          <t>Material properties</t>
        </is>
      </c>
      <c r="D254" s="6" t="n">
        <v>4</v>
      </c>
      <c r="E254" s="7" t="n">
        <f>'Matrix_S07'!B10</f>
        <v>4</v>
      </c>
      <c r="F254" s="8" t="str">
        <f>IF(ABS(D254-E254)&lt;0.00001,"PASS","MISMATCH")</f>
        <v>PASS</v>
      </c>
      <c r="G254" s="9" t="inlineStr">
        <is>
          <t>Selected-source descriptor only; numeric reproduction does not validate scientific classification.</t>
        </is>
      </c>
    </row>
    <row r="255">
      <c r="A255" s="5" t="inlineStr">
        <is>
          <t>S7</t>
        </is>
      </c>
      <c r="B255" s="5" t="inlineStr">
        <is>
          <t>Exosome/EV release systems</t>
        </is>
      </c>
      <c r="C255" s="5" t="inlineStr">
        <is>
          <t>Release or activation kinetics</t>
        </is>
      </c>
      <c r="D255" s="6" t="n">
        <v>4</v>
      </c>
      <c r="E255" s="7" t="n">
        <f>'Matrix_S07'!C10</f>
        <v>4</v>
      </c>
      <c r="F255" s="8" t="str">
        <f>IF(ABS(D255-E255)&lt;0.00001,"PASS","MISMATCH")</f>
        <v>PASS</v>
      </c>
      <c r="G255" s="9" t="inlineStr">
        <is>
          <t>Selected-source descriptor only; numeric reproduction does not validate scientific classification.</t>
        </is>
      </c>
    </row>
    <row r="256">
      <c r="A256" s="5" t="inlineStr">
        <is>
          <t>S7</t>
        </is>
      </c>
      <c r="B256" s="5" t="inlineStr">
        <is>
          <t>Exosome/EV release systems</t>
        </is>
      </c>
      <c r="C256" s="5" t="inlineStr">
        <is>
          <t>Antimicrobial or biofilm</t>
        </is>
      </c>
      <c r="D256" s="6" t="n">
        <v>3</v>
      </c>
      <c r="E256" s="7" t="n">
        <f>'Matrix_S07'!D10</f>
        <v>3</v>
      </c>
      <c r="F256" s="8" t="str">
        <f>IF(ABS(D256-E256)&lt;0.00001,"PASS","MISMATCH")</f>
        <v>PASS</v>
      </c>
      <c r="G256" s="9" t="inlineStr">
        <is>
          <t>Selected-source descriptor only; numeric reproduction does not validate scientific classification.</t>
        </is>
      </c>
    </row>
    <row r="257">
      <c r="A257" s="5" t="inlineStr">
        <is>
          <t>S7</t>
        </is>
      </c>
      <c r="B257" s="5" t="inlineStr">
        <is>
          <t>Exosome/EV release systems</t>
        </is>
      </c>
      <c r="C257" s="5" t="inlineStr">
        <is>
          <t>ROS, oxidative, or metabolic</t>
        </is>
      </c>
      <c r="D257" s="6" t="n">
        <v>2</v>
      </c>
      <c r="E257" s="7" t="n">
        <f>'Matrix_S07'!E10</f>
        <v>2</v>
      </c>
      <c r="F257" s="8" t="str">
        <f>IF(ABS(D257-E257)&lt;0.00001,"PASS","MISMATCH")</f>
        <v>PASS</v>
      </c>
      <c r="G257" s="9" t="inlineStr">
        <is>
          <t>Selected-source descriptor only; numeric reproduction does not validate scientific classification.</t>
        </is>
      </c>
    </row>
    <row r="258">
      <c r="A258" s="5" t="inlineStr">
        <is>
          <t>S7</t>
        </is>
      </c>
      <c r="B258" s="5" t="inlineStr">
        <is>
          <t>Exosome/EV release systems</t>
        </is>
      </c>
      <c r="C258" s="5" t="inlineStr">
        <is>
          <t>Immune, cytokine, or macrophage</t>
        </is>
      </c>
      <c r="D258" s="6" t="n">
        <v>3</v>
      </c>
      <c r="E258" s="7" t="n">
        <f>'Matrix_S07'!F10</f>
        <v>3</v>
      </c>
      <c r="F258" s="8" t="str">
        <f>IF(ABS(D258-E258)&lt;0.00001,"PASS","MISMATCH")</f>
        <v>PASS</v>
      </c>
      <c r="G258" s="9" t="inlineStr">
        <is>
          <t>Selected-source descriptor only; numeric reproduction does not validate scientific classification.</t>
        </is>
      </c>
    </row>
    <row r="259">
      <c r="A259" s="5" t="inlineStr">
        <is>
          <t>S7</t>
        </is>
      </c>
      <c r="B259" s="5" t="inlineStr">
        <is>
          <t>Exosome/EV release systems</t>
        </is>
      </c>
      <c r="C259" s="5" t="inlineStr">
        <is>
          <t>Angiogenic or vascular</t>
        </is>
      </c>
      <c r="D259" s="6" t="n">
        <v>3</v>
      </c>
      <c r="E259" s="7" t="n">
        <f>'Matrix_S07'!G10</f>
        <v>3</v>
      </c>
      <c r="F259" s="8" t="str">
        <f>IF(ABS(D259-E259)&lt;0.00001,"PASS","MISMATCH")</f>
        <v>PASS</v>
      </c>
      <c r="G259" s="9" t="inlineStr">
        <is>
          <t>Selected-source descriptor only; numeric reproduction does not validate scientific classification.</t>
        </is>
      </c>
    </row>
    <row r="260">
      <c r="A260" s="5" t="inlineStr">
        <is>
          <t>S7</t>
        </is>
      </c>
      <c r="B260" s="5" t="inlineStr">
        <is>
          <t>Exosome/EV release systems</t>
        </is>
      </c>
      <c r="C260" s="5" t="inlineStr">
        <is>
          <t>Histology, collagen, or matrix repair</t>
        </is>
      </c>
      <c r="D260" s="6" t="n">
        <v>4</v>
      </c>
      <c r="E260" s="7" t="n">
        <f>'Matrix_S07'!H10</f>
        <v>4</v>
      </c>
      <c r="F260" s="8" t="str">
        <f>IF(ABS(D260-E260)&lt;0.00001,"PASS","MISMATCH")</f>
        <v>PASS</v>
      </c>
      <c r="G260" s="9" t="inlineStr">
        <is>
          <t>Selected-source descriptor only; numeric reproduction does not validate scientific classification.</t>
        </is>
      </c>
    </row>
    <row r="261">
      <c r="A261" s="5" t="inlineStr">
        <is>
          <t>S7</t>
        </is>
      </c>
      <c r="B261" s="5" t="inlineStr">
        <is>
          <t>Exosome/EV release systems</t>
        </is>
      </c>
      <c r="C261" s="5" t="inlineStr">
        <is>
          <t>Wound-area trajectory</t>
        </is>
      </c>
      <c r="D261" s="6" t="n">
        <v>4</v>
      </c>
      <c r="E261" s="7" t="n">
        <f>'Matrix_S07'!I10</f>
        <v>4</v>
      </c>
      <c r="F261" s="8" t="str">
        <f>IF(ABS(D261-E261)&lt;0.00001,"PASS","MISMATCH")</f>
        <v>PASS</v>
      </c>
      <c r="G261" s="9" t="inlineStr">
        <is>
          <t>Selected-source descriptor only; numeric reproduction does not validate scientific classification.</t>
        </is>
      </c>
    </row>
    <row r="262">
      <c r="A262" s="5" t="inlineStr">
        <is>
          <t>S7</t>
        </is>
      </c>
      <c r="B262" s="5" t="inlineStr">
        <is>
          <t>Exosome/EV release systems</t>
        </is>
      </c>
      <c r="C262" s="5" t="inlineStr">
        <is>
          <t>Safety or cytocompatibility</t>
        </is>
      </c>
      <c r="D262" s="6" t="n">
        <v>4</v>
      </c>
      <c r="E262" s="7" t="n">
        <f>'Matrix_S07'!J10</f>
        <v>4</v>
      </c>
      <c r="F262" s="8" t="str">
        <f>IF(ABS(D262-E262)&lt;0.00001,"PASS","MISMATCH")</f>
        <v>PASS</v>
      </c>
      <c r="G262" s="9" t="inlineStr">
        <is>
          <t>Selected-source descriptor only; numeric reproduction does not validate scientific classification.</t>
        </is>
      </c>
    </row>
    <row r="263">
      <c r="A263" s="5" t="inlineStr">
        <is>
          <t>S8</t>
        </is>
      </c>
      <c r="B263" s="5" t="inlineStr">
        <is>
          <t>Automated image segmentation and quantitative wound-image analysis</t>
        </is>
      </c>
      <c r="C263" s="5" t="inlineStr">
        <is>
          <t>Study count</t>
        </is>
      </c>
      <c r="D263" s="6" t="n">
        <v>10</v>
      </c>
      <c r="E263" s="7" t="n">
        <f>'Matrix_S08'!B2</f>
        <v>10</v>
      </c>
      <c r="F263" s="8" t="str">
        <f>IF(ABS(D263-E263)&lt;0.00001,"PASS","MISMATCH")</f>
        <v>PASS</v>
      </c>
      <c r="G263" s="9" t="inlineStr">
        <is>
          <t>Selected-source descriptor only; numeric reproduction does not validate scientific classification.</t>
        </is>
      </c>
    </row>
    <row r="264">
      <c r="A264" s="5" t="inlineStr">
        <is>
          <t>S8</t>
        </is>
      </c>
      <c r="B264" s="5" t="inlineStr">
        <is>
          <t>Image-based classification and detection</t>
        </is>
      </c>
      <c r="C264" s="5" t="inlineStr">
        <is>
          <t>Study count</t>
        </is>
      </c>
      <c r="D264" s="6" t="n">
        <v>2</v>
      </c>
      <c r="E264" s="7" t="n">
        <f>'Matrix_S08'!B3</f>
        <v>2</v>
      </c>
      <c r="F264" s="8" t="str">
        <f>IF(ABS(D264-E264)&lt;0.00001,"PASS","MISMATCH")</f>
        <v>PASS</v>
      </c>
      <c r="G264" s="9" t="inlineStr">
        <is>
          <t>Selected-source descriptor only; numeric reproduction does not validate scientific classification.</t>
        </is>
      </c>
    </row>
    <row r="265">
      <c r="A265" s="5" t="inlineStr">
        <is>
          <t>S8</t>
        </is>
      </c>
      <c r="B265" s="5" t="inlineStr">
        <is>
          <t>Healing prediction, prognosis, and trajectory modeling</t>
        </is>
      </c>
      <c r="C265" s="5" t="inlineStr">
        <is>
          <t>Study count</t>
        </is>
      </c>
      <c r="D265" s="6" t="n">
        <v>10</v>
      </c>
      <c r="E265" s="7" t="n">
        <f>'Matrix_S08'!B4</f>
        <v>10</v>
      </c>
      <c r="F265" s="8" t="str">
        <f>IF(ABS(D265-E265)&lt;0.00001,"PASS","MISMATCH")</f>
        <v>PASS</v>
      </c>
      <c r="G265" s="9" t="inlineStr">
        <is>
          <t>Selected-source descriptor only; numeric reproduction does not validate scientific classification.</t>
        </is>
      </c>
    </row>
    <row r="266">
      <c r="A266" s="5" t="inlineStr">
        <is>
          <t>S8</t>
        </is>
      </c>
      <c r="B266" s="5" t="inlineStr">
        <is>
          <t>Risk stratification for recurrence, amputation, or mortality</t>
        </is>
      </c>
      <c r="C266" s="5" t="inlineStr">
        <is>
          <t>Study count</t>
        </is>
      </c>
      <c r="D266" s="6" t="n">
        <v>6</v>
      </c>
      <c r="E266" s="7" t="n">
        <f>'Matrix_S08'!B5</f>
        <v>6</v>
      </c>
      <c r="F266" s="8" t="str">
        <f>IF(ABS(D266-E266)&lt;0.00001,"PASS","MISMATCH")</f>
        <v>PASS</v>
      </c>
      <c r="G266" s="9" t="inlineStr">
        <is>
          <t>Selected-source descriptor only; numeric reproduction does not validate scientific classification.</t>
        </is>
      </c>
    </row>
    <row r="267">
      <c r="A267" s="5" t="inlineStr">
        <is>
          <t>S8</t>
        </is>
      </c>
      <c r="B267" s="5" t="inlineStr">
        <is>
          <t>Biomaterial design and formulation optimization</t>
        </is>
      </c>
      <c r="C267" s="5" t="inlineStr">
        <is>
          <t>Study count</t>
        </is>
      </c>
      <c r="D267" s="6" t="n">
        <v>3</v>
      </c>
      <c r="E267" s="7" t="n">
        <f>'Matrix_S08'!B6</f>
        <v>3</v>
      </c>
      <c r="F267" s="8" t="str">
        <f>IF(ABS(D267-E267)&lt;0.00001,"PASS","MISMATCH")</f>
        <v>PASS</v>
      </c>
      <c r="G267" s="9" t="inlineStr">
        <is>
          <t>Selected-source descriptor only; numeric reproduction does not validate scientific classification.</t>
        </is>
      </c>
    </row>
    <row r="268">
      <c r="A268" s="5" t="inlineStr">
        <is>
          <t>S8</t>
        </is>
      </c>
      <c r="B268" s="5" t="inlineStr">
        <is>
          <t>AI-enabled wound-status sensing and classification</t>
        </is>
      </c>
      <c r="C268" s="5" t="inlineStr">
        <is>
          <t>Study count</t>
        </is>
      </c>
      <c r="D268" s="6" t="n">
        <v>2</v>
      </c>
      <c r="E268" s="7" t="n">
        <f>'Matrix_S08'!B7</f>
        <v>2</v>
      </c>
      <c r="F268" s="8" t="str">
        <f>IF(ABS(D268-E268)&lt;0.00001,"PASS","MISMATCH")</f>
        <v>PASS</v>
      </c>
      <c r="G268" s="9" t="inlineStr">
        <is>
          <t>Selected-source descriptor only; numeric reproduction does not validate scientific classification.</t>
        </is>
      </c>
    </row>
    <row r="269">
      <c r="A269" s="5" t="inlineStr">
        <is>
          <t>S8</t>
        </is>
      </c>
      <c r="B269" s="5" t="inlineStr">
        <is>
          <t>AI-ready smart sensing and closed-loop therapeutic platforms</t>
        </is>
      </c>
      <c r="C269" s="5" t="inlineStr">
        <is>
          <t>Study count</t>
        </is>
      </c>
      <c r="D269" s="6" t="n">
        <v>12</v>
      </c>
      <c r="E269" s="7" t="n">
        <f>'Matrix_S08'!B8</f>
        <v>12</v>
      </c>
      <c r="F269" s="8" t="str">
        <f>IF(ABS(D269-E269)&lt;0.00001,"PASS","MISMATCH")</f>
        <v>PASS</v>
      </c>
      <c r="G269" s="9" t="inlineStr">
        <is>
          <t>Selected-source descriptor only; numeric reproduction does not validate scientific classification.</t>
        </is>
      </c>
    </row>
    <row r="270">
      <c r="A270" s="5" t="inlineStr">
        <is>
          <t>S9</t>
        </is>
      </c>
      <c r="B270" s="5" t="inlineStr">
        <is>
          <t>Automated image segmentation and quantitative wound-image analysis</t>
        </is>
      </c>
      <c r="C270" s="5" t="inlineStr">
        <is>
          <t>2D wound images</t>
        </is>
      </c>
      <c r="D270" s="6" t="n">
        <v>10</v>
      </c>
      <c r="E270" s="7" t="n">
        <f>'Matrix_S09'!B2</f>
        <v>10</v>
      </c>
      <c r="F270" s="8" t="str">
        <f>IF(ABS(D270-E270)&lt;0.00001,"PASS","MISMATCH")</f>
        <v>PASS</v>
      </c>
      <c r="G270" s="9" t="inlineStr">
        <is>
          <t>Selected-source descriptor only; numeric reproduction does not validate scientific classification.</t>
        </is>
      </c>
    </row>
    <row r="271">
      <c r="A271" s="5" t="inlineStr">
        <is>
          <t>S9</t>
        </is>
      </c>
      <c r="B271" s="5" t="inlineStr">
        <is>
          <t>Automated image segmentation and quantitative wound-image analysis</t>
        </is>
      </c>
      <c r="C271" s="5" t="inlineStr">
        <is>
          <t>Multimodal / advanced imaging</t>
        </is>
      </c>
      <c r="D271" s="6" t="n">
        <v>0</v>
      </c>
      <c r="E271" s="7" t="n">
        <f>'Matrix_S09'!C2</f>
        <v>0</v>
      </c>
      <c r="F271" s="8" t="str">
        <f>IF(ABS(D271-E271)&lt;0.00001,"PASS","MISMATCH")</f>
        <v>PASS</v>
      </c>
      <c r="G271" s="9" t="inlineStr">
        <is>
          <t>Selected-source descriptor only; numeric reproduction does not validate scientific classification.</t>
        </is>
      </c>
    </row>
    <row r="272">
      <c r="A272" s="5" t="inlineStr">
        <is>
          <t>S9</t>
        </is>
      </c>
      <c r="B272" s="5" t="inlineStr">
        <is>
          <t>Automated image segmentation and quantitative wound-image analysis</t>
        </is>
      </c>
      <c r="C272" s="5" t="inlineStr">
        <is>
          <t>Clinical / EMR variables</t>
        </is>
      </c>
      <c r="D272" s="6" t="n">
        <v>0</v>
      </c>
      <c r="E272" s="7" t="n">
        <f>'Matrix_S09'!D2</f>
        <v>0</v>
      </c>
      <c r="F272" s="8" t="str">
        <f>IF(ABS(D272-E272)&lt;0.00001,"PASS","MISMATCH")</f>
        <v>PASS</v>
      </c>
      <c r="G272" s="9" t="inlineStr">
        <is>
          <t>Selected-source descriptor only; numeric reproduction does not validate scientific classification.</t>
        </is>
      </c>
    </row>
    <row r="273">
      <c r="A273" s="5" t="inlineStr">
        <is>
          <t>S9</t>
        </is>
      </c>
      <c r="B273" s="5" t="inlineStr">
        <is>
          <t>Automated image segmentation and quantitative wound-image analysis</t>
        </is>
      </c>
      <c r="C273" s="5" t="inlineStr">
        <is>
          <t>Longitudinal / time-series data</t>
        </is>
      </c>
      <c r="D273" s="6" t="n">
        <v>0</v>
      </c>
      <c r="E273" s="7" t="n">
        <f>'Matrix_S09'!E2</f>
        <v>0</v>
      </c>
      <c r="F273" s="8" t="str">
        <f>IF(ABS(D273-E273)&lt;0.00001,"PASS","MISMATCH")</f>
        <v>PASS</v>
      </c>
      <c r="G273" s="9" t="inlineStr">
        <is>
          <t>Selected-source descriptor only; numeric reproduction does not validate scientific classification.</t>
        </is>
      </c>
    </row>
    <row r="274">
      <c r="A274" s="5" t="inlineStr">
        <is>
          <t>S9</t>
        </is>
      </c>
      <c r="B274" s="5" t="inlineStr">
        <is>
          <t>Automated image segmentation and quantitative wound-image analysis</t>
        </is>
      </c>
      <c r="C274" s="5" t="inlineStr">
        <is>
          <t>Omics / molecular biomarkers</t>
        </is>
      </c>
      <c r="D274" s="6" t="n">
        <v>0</v>
      </c>
      <c r="E274" s="7" t="n">
        <f>'Matrix_S09'!F2</f>
        <v>0</v>
      </c>
      <c r="F274" s="8" t="str">
        <f>IF(ABS(D274-E274)&lt;0.00001,"PASS","MISMATCH")</f>
        <v>PASS</v>
      </c>
      <c r="G274" s="9" t="inlineStr">
        <is>
          <t>Selected-source descriptor only; numeric reproduction does not validate scientific classification.</t>
        </is>
      </c>
    </row>
    <row r="275">
      <c r="A275" s="5" t="inlineStr">
        <is>
          <t>S9</t>
        </is>
      </c>
      <c r="B275" s="5" t="inlineStr">
        <is>
          <t>Automated image segmentation and quantitative wound-image analysis</t>
        </is>
      </c>
      <c r="C275" s="5" t="inlineStr">
        <is>
          <t>Material / formulation descriptors</t>
        </is>
      </c>
      <c r="D275" s="6" t="n">
        <v>0</v>
      </c>
      <c r="E275" s="7" t="n">
        <f>'Matrix_S09'!G2</f>
        <v>0</v>
      </c>
      <c r="F275" s="8" t="str">
        <f>IF(ABS(D275-E275)&lt;0.00001,"PASS","MISMATCH")</f>
        <v>PASS</v>
      </c>
      <c r="G275" s="9" t="inlineStr">
        <is>
          <t>Selected-source descriptor only; numeric reproduction does not validate scientific classification.</t>
        </is>
      </c>
    </row>
    <row r="276">
      <c r="A276" s="5" t="inlineStr">
        <is>
          <t>S9</t>
        </is>
      </c>
      <c r="B276" s="5" t="inlineStr">
        <is>
          <t>Automated image segmentation and quantitative wound-image analysis</t>
        </is>
      </c>
      <c r="C276" s="5" t="inlineStr">
        <is>
          <t>Sensor / electronic signals</t>
        </is>
      </c>
      <c r="D276" s="6" t="n">
        <v>0</v>
      </c>
      <c r="E276" s="7" t="n">
        <f>'Matrix_S09'!H2</f>
        <v>0</v>
      </c>
      <c r="F276" s="8" t="str">
        <f>IF(ABS(D276-E276)&lt;0.00001,"PASS","MISMATCH")</f>
        <v>PASS</v>
      </c>
      <c r="G276" s="9" t="inlineStr">
        <is>
          <t>Selected-source descriptor only; numeric reproduction does not validate scientific classification.</t>
        </is>
      </c>
    </row>
    <row r="277">
      <c r="A277" s="5" t="inlineStr">
        <is>
          <t>S9</t>
        </is>
      </c>
      <c r="B277" s="5" t="inlineStr">
        <is>
          <t>Automated image segmentation and quantitative wound-image analysis</t>
        </is>
      </c>
      <c r="C277" s="5" t="inlineStr">
        <is>
          <t>Closed-loop / actuation variables</t>
        </is>
      </c>
      <c r="D277" s="6" t="n">
        <v>0</v>
      </c>
      <c r="E277" s="7" t="n">
        <f>'Matrix_S09'!I2</f>
        <v>0</v>
      </c>
      <c r="F277" s="8" t="str">
        <f>IF(ABS(D277-E277)&lt;0.00001,"PASS","MISMATCH")</f>
        <v>PASS</v>
      </c>
      <c r="G277" s="9" t="inlineStr">
        <is>
          <t>Selected-source descriptor only; numeric reproduction does not validate scientific classification.</t>
        </is>
      </c>
    </row>
    <row r="278">
      <c r="A278" s="5" t="inlineStr">
        <is>
          <t>S9</t>
        </is>
      </c>
      <c r="B278" s="5" t="inlineStr">
        <is>
          <t>Image-based classification and detection</t>
        </is>
      </c>
      <c r="C278" s="5" t="inlineStr">
        <is>
          <t>2D wound images</t>
        </is>
      </c>
      <c r="D278" s="6" t="n">
        <v>2</v>
      </c>
      <c r="E278" s="7" t="n">
        <f>'Matrix_S09'!B3</f>
        <v>2</v>
      </c>
      <c r="F278" s="8" t="str">
        <f>IF(ABS(D278-E278)&lt;0.00001,"PASS","MISMATCH")</f>
        <v>PASS</v>
      </c>
      <c r="G278" s="9" t="inlineStr">
        <is>
          <t>Selected-source descriptor only; numeric reproduction does not validate scientific classification.</t>
        </is>
      </c>
    </row>
    <row r="279">
      <c r="A279" s="5" t="inlineStr">
        <is>
          <t>S9</t>
        </is>
      </c>
      <c r="B279" s="5" t="inlineStr">
        <is>
          <t>Image-based classification and detection</t>
        </is>
      </c>
      <c r="C279" s="5" t="inlineStr">
        <is>
          <t>Multimodal / advanced imaging</t>
        </is>
      </c>
      <c r="D279" s="6" t="n">
        <v>1</v>
      </c>
      <c r="E279" s="7" t="n">
        <f>'Matrix_S09'!C3</f>
        <v>1</v>
      </c>
      <c r="F279" s="8" t="str">
        <f>IF(ABS(D279-E279)&lt;0.00001,"PASS","MISMATCH")</f>
        <v>PASS</v>
      </c>
      <c r="G279" s="9" t="inlineStr">
        <is>
          <t>Selected-source descriptor only; numeric reproduction does not validate scientific classification.</t>
        </is>
      </c>
    </row>
    <row r="280">
      <c r="A280" s="5" t="inlineStr">
        <is>
          <t>S9</t>
        </is>
      </c>
      <c r="B280" s="5" t="inlineStr">
        <is>
          <t>Image-based classification and detection</t>
        </is>
      </c>
      <c r="C280" s="5" t="inlineStr">
        <is>
          <t>Clinical / EMR variables</t>
        </is>
      </c>
      <c r="D280" s="6" t="n">
        <v>0</v>
      </c>
      <c r="E280" s="7" t="n">
        <f>'Matrix_S09'!D3</f>
        <v>0</v>
      </c>
      <c r="F280" s="8" t="str">
        <f>IF(ABS(D280-E280)&lt;0.00001,"PASS","MISMATCH")</f>
        <v>PASS</v>
      </c>
      <c r="G280" s="9" t="inlineStr">
        <is>
          <t>Selected-source descriptor only; numeric reproduction does not validate scientific classification.</t>
        </is>
      </c>
    </row>
    <row r="281">
      <c r="A281" s="5" t="inlineStr">
        <is>
          <t>S9</t>
        </is>
      </c>
      <c r="B281" s="5" t="inlineStr">
        <is>
          <t>Image-based classification and detection</t>
        </is>
      </c>
      <c r="C281" s="5" t="inlineStr">
        <is>
          <t>Longitudinal / time-series data</t>
        </is>
      </c>
      <c r="D281" s="6" t="n">
        <v>0</v>
      </c>
      <c r="E281" s="7" t="n">
        <f>'Matrix_S09'!E3</f>
        <v>0</v>
      </c>
      <c r="F281" s="8" t="str">
        <f>IF(ABS(D281-E281)&lt;0.00001,"PASS","MISMATCH")</f>
        <v>PASS</v>
      </c>
      <c r="G281" s="9" t="inlineStr">
        <is>
          <t>Selected-source descriptor only; numeric reproduction does not validate scientific classification.</t>
        </is>
      </c>
    </row>
    <row r="282">
      <c r="A282" s="5" t="inlineStr">
        <is>
          <t>S9</t>
        </is>
      </c>
      <c r="B282" s="5" t="inlineStr">
        <is>
          <t>Image-based classification and detection</t>
        </is>
      </c>
      <c r="C282" s="5" t="inlineStr">
        <is>
          <t>Omics / molecular biomarkers</t>
        </is>
      </c>
      <c r="D282" s="6" t="n">
        <v>0</v>
      </c>
      <c r="E282" s="7" t="n">
        <f>'Matrix_S09'!F3</f>
        <v>0</v>
      </c>
      <c r="F282" s="8" t="str">
        <f>IF(ABS(D282-E282)&lt;0.00001,"PASS","MISMATCH")</f>
        <v>PASS</v>
      </c>
      <c r="G282" s="9" t="inlineStr">
        <is>
          <t>Selected-source descriptor only; numeric reproduction does not validate scientific classification.</t>
        </is>
      </c>
    </row>
    <row r="283">
      <c r="A283" s="5" t="inlineStr">
        <is>
          <t>S9</t>
        </is>
      </c>
      <c r="B283" s="5" t="inlineStr">
        <is>
          <t>Image-based classification and detection</t>
        </is>
      </c>
      <c r="C283" s="5" t="inlineStr">
        <is>
          <t>Material / formulation descriptors</t>
        </is>
      </c>
      <c r="D283" s="6" t="n">
        <v>0</v>
      </c>
      <c r="E283" s="7" t="n">
        <f>'Matrix_S09'!G3</f>
        <v>0</v>
      </c>
      <c r="F283" s="8" t="str">
        <f>IF(ABS(D283-E283)&lt;0.00001,"PASS","MISMATCH")</f>
        <v>PASS</v>
      </c>
      <c r="G283" s="9" t="inlineStr">
        <is>
          <t>Selected-source descriptor only; numeric reproduction does not validate scientific classification.</t>
        </is>
      </c>
    </row>
    <row r="284">
      <c r="A284" s="5" t="inlineStr">
        <is>
          <t>S9</t>
        </is>
      </c>
      <c r="B284" s="5" t="inlineStr">
        <is>
          <t>Image-based classification and detection</t>
        </is>
      </c>
      <c r="C284" s="5" t="inlineStr">
        <is>
          <t>Sensor / electronic signals</t>
        </is>
      </c>
      <c r="D284" s="6" t="n">
        <v>0</v>
      </c>
      <c r="E284" s="7" t="n">
        <f>'Matrix_S09'!H3</f>
        <v>0</v>
      </c>
      <c r="F284" s="8" t="str">
        <f>IF(ABS(D284-E284)&lt;0.00001,"PASS","MISMATCH")</f>
        <v>PASS</v>
      </c>
      <c r="G284" s="9" t="inlineStr">
        <is>
          <t>Selected-source descriptor only; numeric reproduction does not validate scientific classification.</t>
        </is>
      </c>
    </row>
    <row r="285">
      <c r="A285" s="5" t="inlineStr">
        <is>
          <t>S9</t>
        </is>
      </c>
      <c r="B285" s="5" t="inlineStr">
        <is>
          <t>Image-based classification and detection</t>
        </is>
      </c>
      <c r="C285" s="5" t="inlineStr">
        <is>
          <t>Closed-loop / actuation variables</t>
        </is>
      </c>
      <c r="D285" s="6" t="n">
        <v>0</v>
      </c>
      <c r="E285" s="7" t="n">
        <f>'Matrix_S09'!I3</f>
        <v>0</v>
      </c>
      <c r="F285" s="8" t="str">
        <f>IF(ABS(D285-E285)&lt;0.00001,"PASS","MISMATCH")</f>
        <v>PASS</v>
      </c>
      <c r="G285" s="9" t="inlineStr">
        <is>
          <t>Selected-source descriptor only; numeric reproduction does not validate scientific classification.</t>
        </is>
      </c>
    </row>
    <row r="286">
      <c r="A286" s="5" t="inlineStr">
        <is>
          <t>S9</t>
        </is>
      </c>
      <c r="B286" s="5" t="inlineStr">
        <is>
          <t>Healing prediction, prognosis, and trajectory modeling</t>
        </is>
      </c>
      <c r="C286" s="5" t="inlineStr">
        <is>
          <t>2D wound images</t>
        </is>
      </c>
      <c r="D286" s="6" t="n">
        <v>2</v>
      </c>
      <c r="E286" s="7" t="n">
        <f>'Matrix_S09'!B4</f>
        <v>2</v>
      </c>
      <c r="F286" s="8" t="str">
        <f>IF(ABS(D286-E286)&lt;0.00001,"PASS","MISMATCH")</f>
        <v>PASS</v>
      </c>
      <c r="G286" s="9" t="inlineStr">
        <is>
          <t>Selected-source descriptor only; numeric reproduction does not validate scientific classification.</t>
        </is>
      </c>
    </row>
    <row r="287">
      <c r="A287" s="5" t="inlineStr">
        <is>
          <t>S9</t>
        </is>
      </c>
      <c r="B287" s="5" t="inlineStr">
        <is>
          <t>Healing prediction, prognosis, and trajectory modeling</t>
        </is>
      </c>
      <c r="C287" s="5" t="inlineStr">
        <is>
          <t>Multimodal / advanced imaging</t>
        </is>
      </c>
      <c r="D287" s="6" t="n">
        <v>1</v>
      </c>
      <c r="E287" s="7" t="n">
        <f>'Matrix_S09'!C4</f>
        <v>1</v>
      </c>
      <c r="F287" s="8" t="str">
        <f>IF(ABS(D287-E287)&lt;0.00001,"PASS","MISMATCH")</f>
        <v>PASS</v>
      </c>
      <c r="G287" s="9" t="inlineStr">
        <is>
          <t>Selected-source descriptor only; numeric reproduction does not validate scientific classification.</t>
        </is>
      </c>
    </row>
    <row r="288">
      <c r="A288" s="5" t="inlineStr">
        <is>
          <t>S9</t>
        </is>
      </c>
      <c r="B288" s="5" t="inlineStr">
        <is>
          <t>Healing prediction, prognosis, and trajectory modeling</t>
        </is>
      </c>
      <c r="C288" s="5" t="inlineStr">
        <is>
          <t>Clinical / EMR variables</t>
        </is>
      </c>
      <c r="D288" s="6" t="n">
        <v>7</v>
      </c>
      <c r="E288" s="7" t="n">
        <f>'Matrix_S09'!D4</f>
        <v>7</v>
      </c>
      <c r="F288" s="8" t="str">
        <f>IF(ABS(D288-E288)&lt;0.00001,"PASS","MISMATCH")</f>
        <v>PASS</v>
      </c>
      <c r="G288" s="9" t="inlineStr">
        <is>
          <t>Selected-source descriptor only; numeric reproduction does not validate scientific classification.</t>
        </is>
      </c>
    </row>
    <row r="289">
      <c r="A289" s="5" t="inlineStr">
        <is>
          <t>S9</t>
        </is>
      </c>
      <c r="B289" s="5" t="inlineStr">
        <is>
          <t>Healing prediction, prognosis, and trajectory modeling</t>
        </is>
      </c>
      <c r="C289" s="5" t="inlineStr">
        <is>
          <t>Longitudinal / time-series data</t>
        </is>
      </c>
      <c r="D289" s="6" t="n">
        <v>7</v>
      </c>
      <c r="E289" s="7" t="n">
        <f>'Matrix_S09'!E4</f>
        <v>7</v>
      </c>
      <c r="F289" s="8" t="str">
        <f>IF(ABS(D289-E289)&lt;0.00001,"PASS","MISMATCH")</f>
        <v>PASS</v>
      </c>
      <c r="G289" s="9" t="inlineStr">
        <is>
          <t>Selected-source descriptor only; numeric reproduction does not validate scientific classification.</t>
        </is>
      </c>
    </row>
    <row r="290">
      <c r="A290" s="5" t="inlineStr">
        <is>
          <t>S9</t>
        </is>
      </c>
      <c r="B290" s="5" t="inlineStr">
        <is>
          <t>Healing prediction, prognosis, and trajectory modeling</t>
        </is>
      </c>
      <c r="C290" s="5" t="inlineStr">
        <is>
          <t>Omics / molecular biomarkers</t>
        </is>
      </c>
      <c r="D290" s="6" t="n">
        <v>3</v>
      </c>
      <c r="E290" s="7" t="n">
        <f>'Matrix_S09'!F4</f>
        <v>3</v>
      </c>
      <c r="F290" s="8" t="str">
        <f>IF(ABS(D290-E290)&lt;0.00001,"PASS","MISMATCH")</f>
        <v>PASS</v>
      </c>
      <c r="G290" s="9" t="inlineStr">
        <is>
          <t>Selected-source descriptor only; numeric reproduction does not validate scientific classification.</t>
        </is>
      </c>
    </row>
    <row r="291">
      <c r="A291" s="5" t="inlineStr">
        <is>
          <t>S9</t>
        </is>
      </c>
      <c r="B291" s="5" t="inlineStr">
        <is>
          <t>Healing prediction, prognosis, and trajectory modeling</t>
        </is>
      </c>
      <c r="C291" s="5" t="inlineStr">
        <is>
          <t>Material / formulation descriptors</t>
        </is>
      </c>
      <c r="D291" s="6" t="n">
        <v>0</v>
      </c>
      <c r="E291" s="7" t="n">
        <f>'Matrix_S09'!G4</f>
        <v>0</v>
      </c>
      <c r="F291" s="8" t="str">
        <f>IF(ABS(D291-E291)&lt;0.00001,"PASS","MISMATCH")</f>
        <v>PASS</v>
      </c>
      <c r="G291" s="9" t="inlineStr">
        <is>
          <t>Selected-source descriptor only; numeric reproduction does not validate scientific classification.</t>
        </is>
      </c>
    </row>
    <row r="292">
      <c r="A292" s="5" t="inlineStr">
        <is>
          <t>S9</t>
        </is>
      </c>
      <c r="B292" s="5" t="inlineStr">
        <is>
          <t>Healing prediction, prognosis, and trajectory modeling</t>
        </is>
      </c>
      <c r="C292" s="5" t="inlineStr">
        <is>
          <t>Sensor / electronic signals</t>
        </is>
      </c>
      <c r="D292" s="6" t="n">
        <v>0</v>
      </c>
      <c r="E292" s="7" t="n">
        <f>'Matrix_S09'!H4</f>
        <v>0</v>
      </c>
      <c r="F292" s="8" t="str">
        <f>IF(ABS(D292-E292)&lt;0.00001,"PASS","MISMATCH")</f>
        <v>PASS</v>
      </c>
      <c r="G292" s="9" t="inlineStr">
        <is>
          <t>Selected-source descriptor only; numeric reproduction does not validate scientific classification.</t>
        </is>
      </c>
    </row>
    <row r="293">
      <c r="A293" s="5" t="inlineStr">
        <is>
          <t>S9</t>
        </is>
      </c>
      <c r="B293" s="5" t="inlineStr">
        <is>
          <t>Healing prediction, prognosis, and trajectory modeling</t>
        </is>
      </c>
      <c r="C293" s="5" t="inlineStr">
        <is>
          <t>Closed-loop / actuation variables</t>
        </is>
      </c>
      <c r="D293" s="6" t="n">
        <v>0</v>
      </c>
      <c r="E293" s="7" t="n">
        <f>'Matrix_S09'!I4</f>
        <v>0</v>
      </c>
      <c r="F293" s="8" t="str">
        <f>IF(ABS(D293-E293)&lt;0.00001,"PASS","MISMATCH")</f>
        <v>PASS</v>
      </c>
      <c r="G293" s="9" t="inlineStr">
        <is>
          <t>Selected-source descriptor only; numeric reproduction does not validate scientific classification.</t>
        </is>
      </c>
    </row>
    <row r="294">
      <c r="A294" s="5" t="inlineStr">
        <is>
          <t>S9</t>
        </is>
      </c>
      <c r="B294" s="5" t="inlineStr">
        <is>
          <t>Risk stratification for recurrence, amputation, or mortality</t>
        </is>
      </c>
      <c r="C294" s="5" t="inlineStr">
        <is>
          <t>2D wound images</t>
        </is>
      </c>
      <c r="D294" s="6" t="n">
        <v>0</v>
      </c>
      <c r="E294" s="7" t="n">
        <f>'Matrix_S09'!B5</f>
        <v>0</v>
      </c>
      <c r="F294" s="8" t="str">
        <f>IF(ABS(D294-E294)&lt;0.00001,"PASS","MISMATCH")</f>
        <v>PASS</v>
      </c>
      <c r="G294" s="9" t="inlineStr">
        <is>
          <t>Selected-source descriptor only; numeric reproduction does not validate scientific classification.</t>
        </is>
      </c>
    </row>
    <row r="295">
      <c r="A295" s="5" t="inlineStr">
        <is>
          <t>S9</t>
        </is>
      </c>
      <c r="B295" s="5" t="inlineStr">
        <is>
          <t>Risk stratification for recurrence, amputation, or mortality</t>
        </is>
      </c>
      <c r="C295" s="5" t="inlineStr">
        <is>
          <t>Multimodal / advanced imaging</t>
        </is>
      </c>
      <c r="D295" s="6" t="n">
        <v>1</v>
      </c>
      <c r="E295" s="7" t="n">
        <f>'Matrix_S09'!C5</f>
        <v>1</v>
      </c>
      <c r="F295" s="8" t="str">
        <f>IF(ABS(D295-E295)&lt;0.00001,"PASS","MISMATCH")</f>
        <v>PASS</v>
      </c>
      <c r="G295" s="9" t="inlineStr">
        <is>
          <t>Selected-source descriptor only; numeric reproduction does not validate scientific classification.</t>
        </is>
      </c>
    </row>
    <row r="296">
      <c r="A296" s="5" t="inlineStr">
        <is>
          <t>S9</t>
        </is>
      </c>
      <c r="B296" s="5" t="inlineStr">
        <is>
          <t>Risk stratification for recurrence, amputation, or mortality</t>
        </is>
      </c>
      <c r="C296" s="5" t="inlineStr">
        <is>
          <t>Clinical / EMR variables</t>
        </is>
      </c>
      <c r="D296" s="6" t="n">
        <v>6</v>
      </c>
      <c r="E296" s="7" t="n">
        <f>'Matrix_S09'!D5</f>
        <v>6</v>
      </c>
      <c r="F296" s="8" t="str">
        <f>IF(ABS(D296-E296)&lt;0.00001,"PASS","MISMATCH")</f>
        <v>PASS</v>
      </c>
      <c r="G296" s="9" t="inlineStr">
        <is>
          <t>Selected-source descriptor only; numeric reproduction does not validate scientific classification.</t>
        </is>
      </c>
    </row>
    <row r="297">
      <c r="A297" s="5" t="inlineStr">
        <is>
          <t>S9</t>
        </is>
      </c>
      <c r="B297" s="5" t="inlineStr">
        <is>
          <t>Risk stratification for recurrence, amputation, or mortality</t>
        </is>
      </c>
      <c r="C297" s="5" t="inlineStr">
        <is>
          <t>Longitudinal / time-series data</t>
        </is>
      </c>
      <c r="D297" s="6" t="n">
        <v>0</v>
      </c>
      <c r="E297" s="7" t="n">
        <f>'Matrix_S09'!E5</f>
        <v>0</v>
      </c>
      <c r="F297" s="8" t="str">
        <f>IF(ABS(D297-E297)&lt;0.00001,"PASS","MISMATCH")</f>
        <v>PASS</v>
      </c>
      <c r="G297" s="9" t="inlineStr">
        <is>
          <t>Selected-source descriptor only; numeric reproduction does not validate scientific classification.</t>
        </is>
      </c>
    </row>
    <row r="298">
      <c r="A298" s="5" t="inlineStr">
        <is>
          <t>S9</t>
        </is>
      </c>
      <c r="B298" s="5" t="inlineStr">
        <is>
          <t>Risk stratification for recurrence, amputation, or mortality</t>
        </is>
      </c>
      <c r="C298" s="5" t="inlineStr">
        <is>
          <t>Omics / molecular biomarkers</t>
        </is>
      </c>
      <c r="D298" s="6" t="n">
        <v>0</v>
      </c>
      <c r="E298" s="7" t="n">
        <f>'Matrix_S09'!F5</f>
        <v>0</v>
      </c>
      <c r="F298" s="8" t="str">
        <f>IF(ABS(D298-E298)&lt;0.00001,"PASS","MISMATCH")</f>
        <v>PASS</v>
      </c>
      <c r="G298" s="9" t="inlineStr">
        <is>
          <t>Selected-source descriptor only; numeric reproduction does not validate scientific classification.</t>
        </is>
      </c>
    </row>
    <row r="299">
      <c r="A299" s="5" t="inlineStr">
        <is>
          <t>S9</t>
        </is>
      </c>
      <c r="B299" s="5" t="inlineStr">
        <is>
          <t>Risk stratification for recurrence, amputation, or mortality</t>
        </is>
      </c>
      <c r="C299" s="5" t="inlineStr">
        <is>
          <t>Material / formulation descriptors</t>
        </is>
      </c>
      <c r="D299" s="6" t="n">
        <v>0</v>
      </c>
      <c r="E299" s="7" t="n">
        <f>'Matrix_S09'!G5</f>
        <v>0</v>
      </c>
      <c r="F299" s="8" t="str">
        <f>IF(ABS(D299-E299)&lt;0.00001,"PASS","MISMATCH")</f>
        <v>PASS</v>
      </c>
      <c r="G299" s="9" t="inlineStr">
        <is>
          <t>Selected-source descriptor only; numeric reproduction does not validate scientific classification.</t>
        </is>
      </c>
    </row>
    <row r="300">
      <c r="A300" s="5" t="inlineStr">
        <is>
          <t>S9</t>
        </is>
      </c>
      <c r="B300" s="5" t="inlineStr">
        <is>
          <t>Risk stratification for recurrence, amputation, or mortality</t>
        </is>
      </c>
      <c r="C300" s="5" t="inlineStr">
        <is>
          <t>Sensor / electronic signals</t>
        </is>
      </c>
      <c r="D300" s="6" t="n">
        <v>0</v>
      </c>
      <c r="E300" s="7" t="n">
        <f>'Matrix_S09'!H5</f>
        <v>0</v>
      </c>
      <c r="F300" s="8" t="str">
        <f>IF(ABS(D300-E300)&lt;0.00001,"PASS","MISMATCH")</f>
        <v>PASS</v>
      </c>
      <c r="G300" s="9" t="inlineStr">
        <is>
          <t>Selected-source descriptor only; numeric reproduction does not validate scientific classification.</t>
        </is>
      </c>
    </row>
    <row r="301">
      <c r="A301" s="5" t="inlineStr">
        <is>
          <t>S9</t>
        </is>
      </c>
      <c r="B301" s="5" t="inlineStr">
        <is>
          <t>Risk stratification for recurrence, amputation, or mortality</t>
        </is>
      </c>
      <c r="C301" s="5" t="inlineStr">
        <is>
          <t>Closed-loop / actuation variables</t>
        </is>
      </c>
      <c r="D301" s="6" t="n">
        <v>0</v>
      </c>
      <c r="E301" s="7" t="n">
        <f>'Matrix_S09'!I5</f>
        <v>0</v>
      </c>
      <c r="F301" s="8" t="str">
        <f>IF(ABS(D301-E301)&lt;0.00001,"PASS","MISMATCH")</f>
        <v>PASS</v>
      </c>
      <c r="G301" s="9" t="inlineStr">
        <is>
          <t>Selected-source descriptor only; numeric reproduction does not validate scientific classification.</t>
        </is>
      </c>
    </row>
    <row r="302">
      <c r="A302" s="5" t="inlineStr">
        <is>
          <t>S9</t>
        </is>
      </c>
      <c r="B302" s="5" t="inlineStr">
        <is>
          <t>Biomaterial design and formulation optimization</t>
        </is>
      </c>
      <c r="C302" s="5" t="inlineStr">
        <is>
          <t>2D wound images</t>
        </is>
      </c>
      <c r="D302" s="6" t="n">
        <v>0</v>
      </c>
      <c r="E302" s="7" t="n">
        <f>'Matrix_S09'!B6</f>
        <v>0</v>
      </c>
      <c r="F302" s="8" t="str">
        <f>IF(ABS(D302-E302)&lt;0.00001,"PASS","MISMATCH")</f>
        <v>PASS</v>
      </c>
      <c r="G302" s="9" t="inlineStr">
        <is>
          <t>Selected-source descriptor only; numeric reproduction does not validate scientific classification.</t>
        </is>
      </c>
    </row>
    <row r="303">
      <c r="A303" s="5" t="inlineStr">
        <is>
          <t>S9</t>
        </is>
      </c>
      <c r="B303" s="5" t="inlineStr">
        <is>
          <t>Biomaterial design and formulation optimization</t>
        </is>
      </c>
      <c r="C303" s="5" t="inlineStr">
        <is>
          <t>Multimodal / advanced imaging</t>
        </is>
      </c>
      <c r="D303" s="6" t="n">
        <v>0</v>
      </c>
      <c r="E303" s="7" t="n">
        <f>'Matrix_S09'!C6</f>
        <v>0</v>
      </c>
      <c r="F303" s="8" t="str">
        <f>IF(ABS(D303-E303)&lt;0.00001,"PASS","MISMATCH")</f>
        <v>PASS</v>
      </c>
      <c r="G303" s="9" t="inlineStr">
        <is>
          <t>Selected-source descriptor only; numeric reproduction does not validate scientific classification.</t>
        </is>
      </c>
    </row>
    <row r="304">
      <c r="A304" s="5" t="inlineStr">
        <is>
          <t>S9</t>
        </is>
      </c>
      <c r="B304" s="5" t="inlineStr">
        <is>
          <t>Biomaterial design and formulation optimization</t>
        </is>
      </c>
      <c r="C304" s="5" t="inlineStr">
        <is>
          <t>Clinical / EMR variables</t>
        </is>
      </c>
      <c r="D304" s="6" t="n">
        <v>0</v>
      </c>
      <c r="E304" s="7" t="n">
        <f>'Matrix_S09'!D6</f>
        <v>0</v>
      </c>
      <c r="F304" s="8" t="str">
        <f>IF(ABS(D304-E304)&lt;0.00001,"PASS","MISMATCH")</f>
        <v>PASS</v>
      </c>
      <c r="G304" s="9" t="inlineStr">
        <is>
          <t>Selected-source descriptor only; numeric reproduction does not validate scientific classification.</t>
        </is>
      </c>
    </row>
    <row r="305">
      <c r="A305" s="5" t="inlineStr">
        <is>
          <t>S9</t>
        </is>
      </c>
      <c r="B305" s="5" t="inlineStr">
        <is>
          <t>Biomaterial design and formulation optimization</t>
        </is>
      </c>
      <c r="C305" s="5" t="inlineStr">
        <is>
          <t>Longitudinal / time-series data</t>
        </is>
      </c>
      <c r="D305" s="6" t="n">
        <v>1</v>
      </c>
      <c r="E305" s="7" t="n">
        <f>'Matrix_S09'!E6</f>
        <v>1</v>
      </c>
      <c r="F305" s="8" t="str">
        <f>IF(ABS(D305-E305)&lt;0.00001,"PASS","MISMATCH")</f>
        <v>PASS</v>
      </c>
      <c r="G305" s="9" t="inlineStr">
        <is>
          <t>Selected-source descriptor only; numeric reproduction does not validate scientific classification.</t>
        </is>
      </c>
    </row>
    <row r="306">
      <c r="A306" s="5" t="inlineStr">
        <is>
          <t>S9</t>
        </is>
      </c>
      <c r="B306" s="5" t="inlineStr">
        <is>
          <t>Biomaterial design and formulation optimization</t>
        </is>
      </c>
      <c r="C306" s="5" t="inlineStr">
        <is>
          <t>Omics / molecular biomarkers</t>
        </is>
      </c>
      <c r="D306" s="6" t="n">
        <v>0</v>
      </c>
      <c r="E306" s="7" t="n">
        <f>'Matrix_S09'!F6</f>
        <v>0</v>
      </c>
      <c r="F306" s="8" t="str">
        <f>IF(ABS(D306-E306)&lt;0.00001,"PASS","MISMATCH")</f>
        <v>PASS</v>
      </c>
      <c r="G306" s="9" t="inlineStr">
        <is>
          <t>Selected-source descriptor only; numeric reproduction does not validate scientific classification.</t>
        </is>
      </c>
    </row>
    <row r="307">
      <c r="A307" s="5" t="inlineStr">
        <is>
          <t>S9</t>
        </is>
      </c>
      <c r="B307" s="5" t="inlineStr">
        <is>
          <t>Biomaterial design and formulation optimization</t>
        </is>
      </c>
      <c r="C307" s="5" t="inlineStr">
        <is>
          <t>Material / formulation descriptors</t>
        </is>
      </c>
      <c r="D307" s="6" t="n">
        <v>3</v>
      </c>
      <c r="E307" s="7" t="n">
        <f>'Matrix_S09'!G6</f>
        <v>3</v>
      </c>
      <c r="F307" s="8" t="str">
        <f>IF(ABS(D307-E307)&lt;0.00001,"PASS","MISMATCH")</f>
        <v>PASS</v>
      </c>
      <c r="G307" s="9" t="inlineStr">
        <is>
          <t>Selected-source descriptor only; numeric reproduction does not validate scientific classification.</t>
        </is>
      </c>
    </row>
    <row r="308">
      <c r="A308" s="5" t="inlineStr">
        <is>
          <t>S9</t>
        </is>
      </c>
      <c r="B308" s="5" t="inlineStr">
        <is>
          <t>Biomaterial design and formulation optimization</t>
        </is>
      </c>
      <c r="C308" s="5" t="inlineStr">
        <is>
          <t>Sensor / electronic signals</t>
        </is>
      </c>
      <c r="D308" s="6" t="n">
        <v>0</v>
      </c>
      <c r="E308" s="7" t="n">
        <f>'Matrix_S09'!H6</f>
        <v>0</v>
      </c>
      <c r="F308" s="8" t="str">
        <f>IF(ABS(D308-E308)&lt;0.00001,"PASS","MISMATCH")</f>
        <v>PASS</v>
      </c>
      <c r="G308" s="9" t="inlineStr">
        <is>
          <t>Selected-source descriptor only; numeric reproduction does not validate scientific classification.</t>
        </is>
      </c>
    </row>
    <row r="309">
      <c r="A309" s="5" t="inlineStr">
        <is>
          <t>S9</t>
        </is>
      </c>
      <c r="B309" s="5" t="inlineStr">
        <is>
          <t>Biomaterial design and formulation optimization</t>
        </is>
      </c>
      <c r="C309" s="5" t="inlineStr">
        <is>
          <t>Closed-loop / actuation variables</t>
        </is>
      </c>
      <c r="D309" s="6" t="n">
        <v>0</v>
      </c>
      <c r="E309" s="7" t="n">
        <f>'Matrix_S09'!I6</f>
        <v>0</v>
      </c>
      <c r="F309" s="8" t="str">
        <f>IF(ABS(D309-E309)&lt;0.00001,"PASS","MISMATCH")</f>
        <v>PASS</v>
      </c>
      <c r="G309" s="9" t="inlineStr">
        <is>
          <t>Selected-source descriptor only; numeric reproduction does not validate scientific classification.</t>
        </is>
      </c>
    </row>
    <row r="310">
      <c r="A310" s="5" t="inlineStr">
        <is>
          <t>S9</t>
        </is>
      </c>
      <c r="B310" s="5" t="inlineStr">
        <is>
          <t>AI-enabled wound-status sensing and classification</t>
        </is>
      </c>
      <c r="C310" s="5" t="inlineStr">
        <is>
          <t>2D wound images</t>
        </is>
      </c>
      <c r="D310" s="6" t="n">
        <v>2</v>
      </c>
      <c r="E310" s="7" t="n">
        <f>'Matrix_S09'!B7</f>
        <v>2</v>
      </c>
      <c r="F310" s="8" t="str">
        <f>IF(ABS(D310-E310)&lt;0.00001,"PASS","MISMATCH")</f>
        <v>PASS</v>
      </c>
      <c r="G310" s="9" t="inlineStr">
        <is>
          <t>Selected-source descriptor only; numeric reproduction does not validate scientific classification.</t>
        </is>
      </c>
    </row>
    <row r="311">
      <c r="A311" s="5" t="inlineStr">
        <is>
          <t>S9</t>
        </is>
      </c>
      <c r="B311" s="5" t="inlineStr">
        <is>
          <t>AI-enabled wound-status sensing and classification</t>
        </is>
      </c>
      <c r="C311" s="5" t="inlineStr">
        <is>
          <t>Multimodal / advanced imaging</t>
        </is>
      </c>
      <c r="D311" s="6" t="n">
        <v>0</v>
      </c>
      <c r="E311" s="7" t="n">
        <f>'Matrix_S09'!C7</f>
        <v>0</v>
      </c>
      <c r="F311" s="8" t="str">
        <f>IF(ABS(D311-E311)&lt;0.00001,"PASS","MISMATCH")</f>
        <v>PASS</v>
      </c>
      <c r="G311" s="9" t="inlineStr">
        <is>
          <t>Selected-source descriptor only; numeric reproduction does not validate scientific classification.</t>
        </is>
      </c>
    </row>
    <row r="312">
      <c r="A312" s="5" t="inlineStr">
        <is>
          <t>S9</t>
        </is>
      </c>
      <c r="B312" s="5" t="inlineStr">
        <is>
          <t>AI-enabled wound-status sensing and classification</t>
        </is>
      </c>
      <c r="C312" s="5" t="inlineStr">
        <is>
          <t>Clinical / EMR variables</t>
        </is>
      </c>
      <c r="D312" s="6" t="n">
        <v>0</v>
      </c>
      <c r="E312" s="7" t="n">
        <f>'Matrix_S09'!D7</f>
        <v>0</v>
      </c>
      <c r="F312" s="8" t="str">
        <f>IF(ABS(D312-E312)&lt;0.00001,"PASS","MISMATCH")</f>
        <v>PASS</v>
      </c>
      <c r="G312" s="9" t="inlineStr">
        <is>
          <t>Selected-source descriptor only; numeric reproduction does not validate scientific classification.</t>
        </is>
      </c>
    </row>
    <row r="313">
      <c r="A313" s="5" t="inlineStr">
        <is>
          <t>S9</t>
        </is>
      </c>
      <c r="B313" s="5" t="inlineStr">
        <is>
          <t>AI-enabled wound-status sensing and classification</t>
        </is>
      </c>
      <c r="C313" s="5" t="inlineStr">
        <is>
          <t>Longitudinal / time-series data</t>
        </is>
      </c>
      <c r="D313" s="6" t="n">
        <v>0</v>
      </c>
      <c r="E313" s="7" t="n">
        <f>'Matrix_S09'!E7</f>
        <v>0</v>
      </c>
      <c r="F313" s="8" t="str">
        <f>IF(ABS(D313-E313)&lt;0.00001,"PASS","MISMATCH")</f>
        <v>PASS</v>
      </c>
      <c r="G313" s="9" t="inlineStr">
        <is>
          <t>Selected-source descriptor only; numeric reproduction does not validate scientific classification.</t>
        </is>
      </c>
    </row>
    <row r="314">
      <c r="A314" s="5" t="inlineStr">
        <is>
          <t>S9</t>
        </is>
      </c>
      <c r="B314" s="5" t="inlineStr">
        <is>
          <t>AI-enabled wound-status sensing and classification</t>
        </is>
      </c>
      <c r="C314" s="5" t="inlineStr">
        <is>
          <t>Omics / molecular biomarkers</t>
        </is>
      </c>
      <c r="D314" s="6" t="n">
        <v>0</v>
      </c>
      <c r="E314" s="7" t="n">
        <f>'Matrix_S09'!F7</f>
        <v>0</v>
      </c>
      <c r="F314" s="8" t="str">
        <f>IF(ABS(D314-E314)&lt;0.00001,"PASS","MISMATCH")</f>
        <v>PASS</v>
      </c>
      <c r="G314" s="9" t="inlineStr">
        <is>
          <t>Selected-source descriptor only; numeric reproduction does not validate scientific classification.</t>
        </is>
      </c>
    </row>
    <row r="315">
      <c r="A315" s="5" t="inlineStr">
        <is>
          <t>S9</t>
        </is>
      </c>
      <c r="B315" s="5" t="inlineStr">
        <is>
          <t>AI-enabled wound-status sensing and classification</t>
        </is>
      </c>
      <c r="C315" s="5" t="inlineStr">
        <is>
          <t>Material / formulation descriptors</t>
        </is>
      </c>
      <c r="D315" s="6" t="n">
        <v>0</v>
      </c>
      <c r="E315" s="7" t="n">
        <f>'Matrix_S09'!G7</f>
        <v>0</v>
      </c>
      <c r="F315" s="8" t="str">
        <f>IF(ABS(D315-E315)&lt;0.00001,"PASS","MISMATCH")</f>
        <v>PASS</v>
      </c>
      <c r="G315" s="9" t="inlineStr">
        <is>
          <t>Selected-source descriptor only; numeric reproduction does not validate scientific classification.</t>
        </is>
      </c>
    </row>
    <row r="316">
      <c r="A316" s="5" t="inlineStr">
        <is>
          <t>S9</t>
        </is>
      </c>
      <c r="B316" s="5" t="inlineStr">
        <is>
          <t>AI-enabled wound-status sensing and classification</t>
        </is>
      </c>
      <c r="C316" s="5" t="inlineStr">
        <is>
          <t>Sensor / electronic signals</t>
        </is>
      </c>
      <c r="D316" s="6" t="n">
        <v>2</v>
      </c>
      <c r="E316" s="7" t="n">
        <f>'Matrix_S09'!H7</f>
        <v>2</v>
      </c>
      <c r="F316" s="8" t="str">
        <f>IF(ABS(D316-E316)&lt;0.00001,"PASS","MISMATCH")</f>
        <v>PASS</v>
      </c>
      <c r="G316" s="9" t="inlineStr">
        <is>
          <t>Selected-source descriptor only; numeric reproduction does not validate scientific classification.</t>
        </is>
      </c>
    </row>
    <row r="317">
      <c r="A317" s="5" t="inlineStr">
        <is>
          <t>S9</t>
        </is>
      </c>
      <c r="B317" s="5" t="inlineStr">
        <is>
          <t>AI-enabled wound-status sensing and classification</t>
        </is>
      </c>
      <c r="C317" s="5" t="inlineStr">
        <is>
          <t>Closed-loop / actuation variables</t>
        </is>
      </c>
      <c r="D317" s="6" t="n">
        <v>0</v>
      </c>
      <c r="E317" s="7" t="n">
        <f>'Matrix_S09'!I7</f>
        <v>0</v>
      </c>
      <c r="F317" s="8" t="str">
        <f>IF(ABS(D317-E317)&lt;0.00001,"PASS","MISMATCH")</f>
        <v>PASS</v>
      </c>
      <c r="G317" s="9" t="inlineStr">
        <is>
          <t>Selected-source descriptor only; numeric reproduction does not validate scientific classification.</t>
        </is>
      </c>
    </row>
    <row r="318">
      <c r="A318" s="5" t="inlineStr">
        <is>
          <t>S9</t>
        </is>
      </c>
      <c r="B318" s="5" t="inlineStr">
        <is>
          <t>AI-ready smart sensing and closed-loop therapeutic platforms</t>
        </is>
      </c>
      <c r="C318" s="5" t="inlineStr">
        <is>
          <t>2D wound images</t>
        </is>
      </c>
      <c r="D318" s="6" t="n">
        <v>0</v>
      </c>
      <c r="E318" s="7" t="n">
        <f>'Matrix_S09'!B8</f>
        <v>0</v>
      </c>
      <c r="F318" s="8" t="str">
        <f>IF(ABS(D318-E318)&lt;0.00001,"PASS","MISMATCH")</f>
        <v>PASS</v>
      </c>
      <c r="G318" s="9" t="inlineStr">
        <is>
          <t>Selected-source descriptor only; numeric reproduction does not validate scientific classification.</t>
        </is>
      </c>
    </row>
    <row r="319">
      <c r="A319" s="5" t="inlineStr">
        <is>
          <t>S9</t>
        </is>
      </c>
      <c r="B319" s="5" t="inlineStr">
        <is>
          <t>AI-ready smart sensing and closed-loop therapeutic platforms</t>
        </is>
      </c>
      <c r="C319" s="5" t="inlineStr">
        <is>
          <t>Multimodal / advanced imaging</t>
        </is>
      </c>
      <c r="D319" s="6" t="n">
        <v>0</v>
      </c>
      <c r="E319" s="7" t="n">
        <f>'Matrix_S09'!C8</f>
        <v>0</v>
      </c>
      <c r="F319" s="8" t="str">
        <f>IF(ABS(D319-E319)&lt;0.00001,"PASS","MISMATCH")</f>
        <v>PASS</v>
      </c>
      <c r="G319" s="9" t="inlineStr">
        <is>
          <t>Selected-source descriptor only; numeric reproduction does not validate scientific classification.</t>
        </is>
      </c>
    </row>
    <row r="320">
      <c r="A320" s="5" t="inlineStr">
        <is>
          <t>S9</t>
        </is>
      </c>
      <c r="B320" s="5" t="inlineStr">
        <is>
          <t>AI-ready smart sensing and closed-loop therapeutic platforms</t>
        </is>
      </c>
      <c r="C320" s="5" t="inlineStr">
        <is>
          <t>Clinical / EMR variables</t>
        </is>
      </c>
      <c r="D320" s="6" t="n">
        <v>0</v>
      </c>
      <c r="E320" s="7" t="n">
        <f>'Matrix_S09'!D8</f>
        <v>0</v>
      </c>
      <c r="F320" s="8" t="str">
        <f>IF(ABS(D320-E320)&lt;0.00001,"PASS","MISMATCH")</f>
        <v>PASS</v>
      </c>
      <c r="G320" s="9" t="inlineStr">
        <is>
          <t>Selected-source descriptor only; numeric reproduction does not validate scientific classification.</t>
        </is>
      </c>
    </row>
    <row r="321">
      <c r="A321" s="5" t="inlineStr">
        <is>
          <t>S9</t>
        </is>
      </c>
      <c r="B321" s="5" t="inlineStr">
        <is>
          <t>AI-ready smart sensing and closed-loop therapeutic platforms</t>
        </is>
      </c>
      <c r="C321" s="5" t="inlineStr">
        <is>
          <t>Longitudinal / time-series data</t>
        </is>
      </c>
      <c r="D321" s="6" t="n">
        <v>0</v>
      </c>
      <c r="E321" s="7" t="n">
        <f>'Matrix_S09'!E8</f>
        <v>0</v>
      </c>
      <c r="F321" s="8" t="str">
        <f>IF(ABS(D321-E321)&lt;0.00001,"PASS","MISMATCH")</f>
        <v>PASS</v>
      </c>
      <c r="G321" s="9" t="inlineStr">
        <is>
          <t>Selected-source descriptor only; numeric reproduction does not validate scientific classification.</t>
        </is>
      </c>
    </row>
    <row r="322">
      <c r="A322" s="5" t="inlineStr">
        <is>
          <t>S9</t>
        </is>
      </c>
      <c r="B322" s="5" t="inlineStr">
        <is>
          <t>AI-ready smart sensing and closed-loop therapeutic platforms</t>
        </is>
      </c>
      <c r="C322" s="5" t="inlineStr">
        <is>
          <t>Omics / molecular biomarkers</t>
        </is>
      </c>
      <c r="D322" s="6" t="n">
        <v>1</v>
      </c>
      <c r="E322" s="7" t="n">
        <f>'Matrix_S09'!F8</f>
        <v>1</v>
      </c>
      <c r="F322" s="8" t="str">
        <f>IF(ABS(D322-E322)&lt;0.00001,"PASS","MISMATCH")</f>
        <v>PASS</v>
      </c>
      <c r="G322" s="9" t="inlineStr">
        <is>
          <t>Selected-source descriptor only; numeric reproduction does not validate scientific classification.</t>
        </is>
      </c>
    </row>
    <row r="323">
      <c r="A323" s="5" t="inlineStr">
        <is>
          <t>S9</t>
        </is>
      </c>
      <c r="B323" s="5" t="inlineStr">
        <is>
          <t>AI-ready smart sensing and closed-loop therapeutic platforms</t>
        </is>
      </c>
      <c r="C323" s="5" t="inlineStr">
        <is>
          <t>Material / formulation descriptors</t>
        </is>
      </c>
      <c r="D323" s="6" t="n">
        <v>0</v>
      </c>
      <c r="E323" s="7" t="n">
        <f>'Matrix_S09'!G8</f>
        <v>0</v>
      </c>
      <c r="F323" s="8" t="str">
        <f>IF(ABS(D323-E323)&lt;0.00001,"PASS","MISMATCH")</f>
        <v>PASS</v>
      </c>
      <c r="G323" s="9" t="inlineStr">
        <is>
          <t>Selected-source descriptor only; numeric reproduction does not validate scientific classification.</t>
        </is>
      </c>
    </row>
    <row r="324">
      <c r="A324" s="5" t="inlineStr">
        <is>
          <t>S9</t>
        </is>
      </c>
      <c r="B324" s="5" t="inlineStr">
        <is>
          <t>AI-ready smart sensing and closed-loop therapeutic platforms</t>
        </is>
      </c>
      <c r="C324" s="5" t="inlineStr">
        <is>
          <t>Sensor / electronic signals</t>
        </is>
      </c>
      <c r="D324" s="6" t="n">
        <v>12</v>
      </c>
      <c r="E324" s="7" t="n">
        <f>'Matrix_S09'!H8</f>
        <v>12</v>
      </c>
      <c r="F324" s="8" t="str">
        <f>IF(ABS(D324-E324)&lt;0.00001,"PASS","MISMATCH")</f>
        <v>PASS</v>
      </c>
      <c r="G324" s="9" t="inlineStr">
        <is>
          <t>Selected-source descriptor only; numeric reproduction does not validate scientific classification.</t>
        </is>
      </c>
    </row>
    <row r="325">
      <c r="A325" s="5" t="inlineStr">
        <is>
          <t>S9</t>
        </is>
      </c>
      <c r="B325" s="5" t="inlineStr">
        <is>
          <t>AI-ready smart sensing and closed-loop therapeutic platforms</t>
        </is>
      </c>
      <c r="C325" s="5" t="inlineStr">
        <is>
          <t>Closed-loop / actuation variables</t>
        </is>
      </c>
      <c r="D325" s="6" t="n">
        <v>12</v>
      </c>
      <c r="E325" s="7" t="n">
        <f>'Matrix_S09'!I8</f>
        <v>12</v>
      </c>
      <c r="F325" s="8" t="str">
        <f>IF(ABS(D325-E325)&lt;0.00001,"PASS","MISMATCH")</f>
        <v>PASS</v>
      </c>
      <c r="G325" s="9" t="inlineStr">
        <is>
          <t>Selected-source descriptor only; numeric reproduction does not validate scientific classification.</t>
        </is>
      </c>
    </row>
    <row r="326">
      <c r="A326" s="5" t="inlineStr">
        <is>
          <t>S10</t>
        </is>
      </c>
      <c r="B326" s="5" t="inlineStr">
        <is>
          <t>Weak chronic / diabetic / infected wound relevance</t>
        </is>
      </c>
      <c r="C326" s="5" t="inlineStr">
        <is>
          <t>Study count</t>
        </is>
      </c>
      <c r="D326" s="6" t="n">
        <v>23</v>
      </c>
      <c r="E326" s="7" t="n">
        <f>'Matrix_S10'!B2</f>
        <v>23</v>
      </c>
      <c r="F326" s="8" t="str">
        <f>IF(ABS(D326-E326)&lt;0.00001,"PASS","MISMATCH")</f>
        <v>PASS</v>
      </c>
      <c r="G326" s="9" t="inlineStr">
        <is>
          <t>Selected-source descriptor only; numeric reproduction does not validate scientific classification.</t>
        </is>
      </c>
    </row>
    <row r="327">
      <c r="A327" s="5" t="inlineStr">
        <is>
          <t>S10</t>
        </is>
      </c>
      <c r="B327" s="5" t="inlineStr">
        <is>
          <t>Limited biological complexity or incomplete wound biology</t>
        </is>
      </c>
      <c r="C327" s="5" t="inlineStr">
        <is>
          <t>Study count</t>
        </is>
      </c>
      <c r="D327" s="6" t="n">
        <v>13</v>
      </c>
      <c r="E327" s="7" t="n">
        <f>'Matrix_S10'!B3</f>
        <v>13</v>
      </c>
      <c r="F327" s="8" t="str">
        <f>IF(ABS(D327-E327)&lt;0.00001,"PASS","MISMATCH")</f>
        <v>PASS</v>
      </c>
      <c r="G327" s="9" t="inlineStr">
        <is>
          <t>Selected-source descriptor only; numeric reproduction does not validate scientific classification.</t>
        </is>
      </c>
    </row>
    <row r="328">
      <c r="A328" s="5" t="inlineStr">
        <is>
          <t>S10</t>
        </is>
      </c>
      <c r="B328" s="5" t="inlineStr">
        <is>
          <t>Manufacturing, standardization, regulatory, or scale-up barriers</t>
        </is>
      </c>
      <c r="C328" s="5" t="inlineStr">
        <is>
          <t>Study count</t>
        </is>
      </c>
      <c r="D328" s="6" t="n">
        <v>13</v>
      </c>
      <c r="E328" s="7" t="n">
        <f>'Matrix_S10'!B4</f>
        <v>13</v>
      </c>
      <c r="F328" s="8" t="str">
        <f>IF(ABS(D328-E328)&lt;0.00001,"PASS","MISMATCH")</f>
        <v>PASS</v>
      </c>
      <c r="G328" s="9" t="inlineStr">
        <is>
          <t>Selected-source descriptor only; numeric reproduction does not validate scientific classification.</t>
        </is>
      </c>
    </row>
    <row r="329">
      <c r="A329" s="5" t="inlineStr">
        <is>
          <t>S10</t>
        </is>
      </c>
      <c r="B329" s="5" t="inlineStr">
        <is>
          <t>Safety, toxicity, delivery, stability, or dose concerns</t>
        </is>
      </c>
      <c r="C329" s="5" t="inlineStr">
        <is>
          <t>Study count</t>
        </is>
      </c>
      <c r="D329" s="6" t="n">
        <v>11</v>
      </c>
      <c r="E329" s="7" t="n">
        <f>'Matrix_S10'!B5</f>
        <v>11</v>
      </c>
      <c r="F329" s="8" t="str">
        <f>IF(ABS(D329-E329)&lt;0.00001,"PASS","MISMATCH")</f>
        <v>PASS</v>
      </c>
      <c r="G329" s="9" t="inlineStr">
        <is>
          <t>Selected-source descriptor only; numeric reproduction does not validate scientific classification.</t>
        </is>
      </c>
    </row>
    <row r="330">
      <c r="A330" s="5" t="inlineStr">
        <is>
          <t>S10</t>
        </is>
      </c>
      <c r="B330" s="5" t="inlineStr">
        <is>
          <t>Mechanistic uncertainty or active-agent complexity</t>
        </is>
      </c>
      <c r="C330" s="5" t="inlineStr">
        <is>
          <t>Study count</t>
        </is>
      </c>
      <c r="D330" s="6" t="n">
        <v>6</v>
      </c>
      <c r="E330" s="7" t="n">
        <f>'Matrix_S10'!B6</f>
        <v>6</v>
      </c>
      <c r="F330" s="8" t="str">
        <f>IF(ABS(D330-E330)&lt;0.00001,"PASS","MISMATCH")</f>
        <v>PASS</v>
      </c>
      <c r="G330" s="9" t="inlineStr">
        <is>
          <t>Selected-source descriptor only; numeric reproduction does not validate scientific classification.</t>
        </is>
      </c>
    </row>
    <row r="331">
      <c r="A331" s="5" t="inlineStr">
        <is>
          <t>S10</t>
        </is>
      </c>
      <c r="B331" s="5" t="inlineStr">
        <is>
          <t>Limited human or clinical validation</t>
        </is>
      </c>
      <c r="C331" s="5" t="inlineStr">
        <is>
          <t>Study count</t>
        </is>
      </c>
      <c r="D331" s="6" t="n">
        <v>14</v>
      </c>
      <c r="E331" s="7" t="n">
        <f>'Matrix_S10'!B7</f>
        <v>14</v>
      </c>
      <c r="F331" s="8" t="str">
        <f>IF(ABS(D331-E331)&lt;0.00001,"PASS","MISMATCH")</f>
        <v>PASS</v>
      </c>
      <c r="G331" s="9" t="inlineStr">
        <is>
          <t>Selected-source descriptor only; numeric reproduction does not validate scientific classification.</t>
        </is>
      </c>
    </row>
    <row r="332">
      <c r="A332" s="5" t="inlineStr">
        <is>
          <t>S10</t>
        </is>
      </c>
      <c r="B332" s="5" t="inlineStr">
        <is>
          <t>Data, model, annotation, or generalizability limitations</t>
        </is>
      </c>
      <c r="C332" s="5" t="inlineStr">
        <is>
          <t>Study count</t>
        </is>
      </c>
      <c r="D332" s="6" t="n">
        <v>13</v>
      </c>
      <c r="E332" s="7" t="n">
        <f>'Matrix_S10'!B8</f>
        <v>13</v>
      </c>
      <c r="F332" s="8" t="str">
        <f>IF(ABS(D332-E332)&lt;0.00001,"PASS","MISMATCH")</f>
        <v>PASS</v>
      </c>
      <c r="G332" s="9" t="inlineStr">
        <is>
          <t>Selected-source descriptor only; numeric reproduction does not validate scientific classification.</t>
        </is>
      </c>
    </row>
    <row r="333">
      <c r="A333" s="5" t="inlineStr">
        <is>
          <t>S10</t>
        </is>
      </c>
      <c r="B333" s="5" t="inlineStr">
        <is>
          <t>Device, sensor, actuation, or deployment constraints</t>
        </is>
      </c>
      <c r="C333" s="5" t="inlineStr">
        <is>
          <t>Study count</t>
        </is>
      </c>
      <c r="D333" s="6" t="n">
        <v>7</v>
      </c>
      <c r="E333" s="7" t="n">
        <f>'Matrix_S10'!B9</f>
        <v>7</v>
      </c>
      <c r="F333" s="8" t="str">
        <f>IF(ABS(D333-E333)&lt;0.00001,"PASS","MISMATCH")</f>
        <v>PASS</v>
      </c>
      <c r="G333" s="9" t="inlineStr">
        <is>
          <t>Selected-source descriptor only; numeric reproduction does not validate scientific classification.</t>
        </is>
      </c>
    </row>
    <row r="334">
      <c r="A334" s="5" t="inlineStr">
        <is>
          <t>S11</t>
        </is>
      </c>
      <c r="B334" s="5" t="inlineStr">
        <is>
          <t>Misclassifying AI-ready systems as AI-integrated platforms</t>
        </is>
      </c>
      <c r="C334" s="5" t="inlineStr">
        <is>
          <t>Study count</t>
        </is>
      </c>
      <c r="D334" s="6" t="n">
        <v>23</v>
      </c>
      <c r="E334" s="7" t="n">
        <f>'Matrix_S11'!B2</f>
        <v>23</v>
      </c>
      <c r="F334" s="8" t="str">
        <f>IF(ABS(D334-E334)&lt;0.00001,"PASS","MISMATCH")</f>
        <v>PASS</v>
      </c>
      <c r="G334" s="9" t="inlineStr">
        <is>
          <t>Selected-source descriptor only; numeric reproduction does not validate scientific classification.</t>
        </is>
      </c>
    </row>
    <row r="335">
      <c r="A335" s="5" t="inlineStr">
        <is>
          <t>S11</t>
        </is>
      </c>
      <c r="B335" s="5" t="inlineStr">
        <is>
          <t>Overstating clinical validation or therapeutic efficacy</t>
        </is>
      </c>
      <c r="C335" s="5" t="inlineStr">
        <is>
          <t>Study count</t>
        </is>
      </c>
      <c r="D335" s="6" t="n">
        <v>22</v>
      </c>
      <c r="E335" s="7" t="n">
        <f>'Matrix_S11'!B3</f>
        <v>22</v>
      </c>
      <c r="F335" s="8" t="str">
        <f>IF(ABS(D335-E335)&lt;0.00001,"PASS","MISMATCH")</f>
        <v>PASS</v>
      </c>
      <c r="G335" s="9" t="inlineStr">
        <is>
          <t>Selected-source descriptor only; numeric reproduction does not validate scientific classification.</t>
        </is>
      </c>
    </row>
    <row r="336">
      <c r="A336" s="5" t="inlineStr">
        <is>
          <t>S11</t>
        </is>
      </c>
      <c r="B336" s="5" t="inlineStr">
        <is>
          <t>Overstating chronic wound or DFU specificity</t>
        </is>
      </c>
      <c r="C336" s="5" t="inlineStr">
        <is>
          <t>Study count</t>
        </is>
      </c>
      <c r="D336" s="6" t="n">
        <v>26</v>
      </c>
      <c r="E336" s="7" t="n">
        <f>'Matrix_S11'!B4</f>
        <v>26</v>
      </c>
      <c r="F336" s="8" t="str">
        <f>IF(ABS(D336-E336)&lt;0.00001,"PASS","MISMATCH")</f>
        <v>PASS</v>
      </c>
      <c r="G336" s="9" t="inlineStr">
        <is>
          <t>Selected-source descriptor only; numeric reproduction does not validate scientific classification.</t>
        </is>
      </c>
    </row>
    <row r="337">
      <c r="A337" s="5" t="inlineStr">
        <is>
          <t>S11</t>
        </is>
      </c>
      <c r="B337" s="5" t="inlineStr">
        <is>
          <t>Treating assay, endpoint, or measurement tools as full discovery platforms</t>
        </is>
      </c>
      <c r="C337" s="5" t="inlineStr">
        <is>
          <t>Study count</t>
        </is>
      </c>
      <c r="D337" s="6" t="n">
        <v>17</v>
      </c>
      <c r="E337" s="7" t="n">
        <f>'Matrix_S11'!B5</f>
        <v>17</v>
      </c>
      <c r="F337" s="8" t="str">
        <f>IF(ABS(D337-E337)&lt;0.00001,"PASS","MISMATCH")</f>
        <v>PASS</v>
      </c>
      <c r="G337" s="9" t="inlineStr">
        <is>
          <t>Selected-source descriptor only; numeric reproduction does not validate scientific classification.</t>
        </is>
      </c>
    </row>
    <row r="338">
      <c r="A338" s="5" t="inlineStr">
        <is>
          <t>S11</t>
        </is>
      </c>
      <c r="B338" s="5" t="inlineStr">
        <is>
          <t>Overstating predictive or decision-support capability</t>
        </is>
      </c>
      <c r="C338" s="5" t="inlineStr">
        <is>
          <t>Study count</t>
        </is>
      </c>
      <c r="D338" s="6" t="n">
        <v>7</v>
      </c>
      <c r="E338" s="7" t="n">
        <f>'Matrix_S11'!B6</f>
        <v>7</v>
      </c>
      <c r="F338" s="8" t="str">
        <f>IF(ABS(D338-E338)&lt;0.00001,"PASS","MISMATCH")</f>
        <v>PASS</v>
      </c>
      <c r="G338" s="9" t="inlineStr">
        <is>
          <t>Selected-source descriptor only; numeric reproduction does not validate scientific classification.</t>
        </is>
      </c>
    </row>
    <row r="339">
      <c r="A339" s="5" t="inlineStr">
        <is>
          <t>S11</t>
        </is>
      </c>
      <c r="B339" s="5" t="inlineStr">
        <is>
          <t>Overstating smart dressing or sensing as definitive diagnosis or therapy</t>
        </is>
      </c>
      <c r="C339" s="5" t="inlineStr">
        <is>
          <t>Study count</t>
        </is>
      </c>
      <c r="D339" s="6" t="n">
        <v>4</v>
      </c>
      <c r="E339" s="7" t="n">
        <f>'Matrix_S11'!B7</f>
        <v>4</v>
      </c>
      <c r="F339" s="8" t="str">
        <f>IF(ABS(D339-E339)&lt;0.00001,"PASS","MISMATCH")</f>
        <v>PASS</v>
      </c>
      <c r="G339" s="9" t="inlineStr">
        <is>
          <t>Selected-source descriptor only; numeric reproduction does not validate scientific classification.</t>
        </is>
      </c>
    </row>
    <row r="340">
      <c r="A340" s="5" t="inlineStr">
        <is>
          <t>S11</t>
        </is>
      </c>
      <c r="B340" s="5" t="inlineStr">
        <is>
          <t>Equating simplified endpoints with true wound repair</t>
        </is>
      </c>
      <c r="C340" s="5" t="inlineStr">
        <is>
          <t>Study count</t>
        </is>
      </c>
      <c r="D340" s="6" t="n">
        <v>5</v>
      </c>
      <c r="E340" s="7" t="n">
        <f>'Matrix_S11'!B8</f>
        <v>5</v>
      </c>
      <c r="F340" s="8" t="str">
        <f>IF(ABS(D340-E340)&lt;0.00001,"PASS","MISMATCH")</f>
        <v>PASS</v>
      </c>
      <c r="G340" s="9" t="inlineStr">
        <is>
          <t>Selected-source descriptor only; numeric reproduction does not validate scientific classification.</t>
        </is>
      </c>
    </row>
  </sheetData>
  <autoFilter ref="A1:G340"/>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itle xmlns:dc="http://purl.org/dc/elements/1.1/">Chronic wound supplementary evidence map | Stage4</dc:title>
  <dc:description xmlns:dc="http://purl.org/dc/elements/1.1/">No independent clinical validation implied; code-derived counts reproducible</dc:description>
  <dc:subject xmlns:dc="http://purl.org/dc/elements/1.1/">Eleven descriptive charts; three ordinal charts excluded</dc:subject>
  <dcterms:created xmlns:dcterms="http://purl.org/dc/terms/" xmlns:xsi="http://www.w3.org/2001/XMLSchema-instance" xsi:type="dcterms:W3CDTF">2026-10-28T00:19:30Z</dcterms:created>
  <dcterms:modified xmlns:dcterms="http://purl.org/dc/terms/" xmlns:xsi="http://www.w3.org/2001/XMLSchema-instance" xsi:type="dcterms:W3CDTF">2026-10-29T01:18:55Z</dcterms:modified>
</cp:coreProperties>
</file>